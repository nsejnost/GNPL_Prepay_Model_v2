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rameters" sheetId="2" state="visible" r:id="rId2"/>
    <sheet name="PLC_Rates" sheetId="3" state="visible" r:id="rId3"/>
    <sheet name="Vintage_Rates" sheetId="4" state="visible" r:id="rId4"/>
    <sheet name="FHA_Lookup" sheetId="5" state="visible" r:id="rId5"/>
    <sheet name="Loan_Input" sheetId="6" state="visible" r:id="rId6"/>
    <sheet name="Deal_Summary" sheetId="7" state="visible" r:id="rId7"/>
    <sheet name="Deal_Comparison" sheetId="8" state="visible" r:id="rId8"/>
    <sheet name="Validation" sheetId="9" state="visible" r:id="rId9"/>
  </sheets>
  <definedNames/>
  <calcPr calcId="124519" fullCalcOnLoad="1"/>
</workbook>
</file>

<file path=xl/styles.xml><?xml version="1.0" encoding="utf-8"?>
<styleSheet xmlns="http://schemas.openxmlformats.org/spreadsheetml/2006/main">
  <numFmts count="7">
    <numFmt numFmtId="164" formatCode="0.00000000"/>
    <numFmt numFmtId="165" formatCode="0.000"/>
    <numFmt numFmtId="166" formatCode="0.00000%"/>
    <numFmt numFmtId="167" formatCode="0.0000"/>
    <numFmt numFmtId="168" formatCode="#,##0.0"/>
    <numFmt numFmtId="169" formatCode="0.0"/>
    <numFmt numFmtId="170" formatCode="0.0%"/>
  </numFmts>
  <fonts count="8">
    <font>
      <name val="Calibri"/>
      <family val="2"/>
      <color theme="1"/>
      <sz val="11"/>
      <scheme val="minor"/>
    </font>
    <font>
      <b val="1"/>
      <sz val="16"/>
    </font>
    <font>
      <b val="1"/>
      <sz val="12"/>
    </font>
    <font>
      <b val="1"/>
      <sz val="11"/>
    </font>
    <font>
      <b val="1"/>
      <color rgb="00FFFFFF"/>
    </font>
    <font>
      <b val="1"/>
    </font>
    <font>
      <b val="1"/>
      <color rgb="00000000"/>
    </font>
    <font>
      <b val="1"/>
      <sz val="14"/>
    </font>
  </fonts>
  <fills count="15">
    <fill>
      <patternFill/>
    </fill>
    <fill>
      <patternFill patternType="gray125"/>
    </fill>
    <fill>
      <patternFill patternType="solid">
        <fgColor rgb="001F4E78"/>
      </patternFill>
    </fill>
    <fill>
      <patternFill patternType="solid">
        <fgColor rgb="00DDEBF7"/>
      </patternFill>
    </fill>
    <fill>
      <patternFill patternType="solid">
        <fgColor rgb="00375623"/>
      </patternFill>
    </fill>
    <fill>
      <patternFill patternType="solid">
        <fgColor rgb="00843C0C"/>
      </patternFill>
    </fill>
    <fill>
      <patternFill patternType="solid">
        <fgColor rgb="002F5496"/>
      </patternFill>
    </fill>
    <fill>
      <patternFill patternType="solid">
        <fgColor rgb="00FFD966"/>
      </patternFill>
    </fill>
    <fill>
      <patternFill patternType="solid">
        <fgColor rgb="00C6E0B4"/>
      </patternFill>
    </fill>
    <fill>
      <patternFill patternType="solid">
        <fgColor rgb="00F4B084"/>
      </patternFill>
    </fill>
    <fill>
      <patternFill patternType="solid">
        <fgColor rgb="009DC3E6"/>
      </patternFill>
    </fill>
    <fill>
      <patternFill patternType="solid">
        <fgColor rgb="00FFF2CC"/>
      </patternFill>
    </fill>
    <fill>
      <patternFill patternType="solid">
        <fgColor rgb="00E2EFDA"/>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4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xf>
    <xf numFmtId="164" fontId="0" fillId="3" borderId="0" pivotButton="0" quotePrefix="0" xfId="0"/>
    <xf numFmtId="2" fontId="0" fillId="3" borderId="0" pivotButton="0" quotePrefix="0" xfId="0"/>
    <xf numFmtId="0" fontId="5" fillId="0" borderId="0" pivotButton="0" quotePrefix="0" xfId="0"/>
    <xf numFmtId="0" fontId="4" fillId="2" borderId="0" pivotButton="0" quotePrefix="0" xfId="0"/>
    <xf numFmtId="0" fontId="6" fillId="7" borderId="0" applyAlignment="1" pivotButton="0" quotePrefix="0" xfId="0">
      <alignment horizontal="center"/>
    </xf>
    <xf numFmtId="0" fontId="6" fillId="8" borderId="0" applyAlignment="1" pivotButton="0" quotePrefix="0" xfId="0">
      <alignment horizontal="center"/>
    </xf>
    <xf numFmtId="0" fontId="6" fillId="9" borderId="0" applyAlignment="1" pivotButton="0" quotePrefix="0" xfId="0">
      <alignment horizontal="center"/>
    </xf>
    <xf numFmtId="0" fontId="6" fillId="10"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0" fillId="11" borderId="0" pivotButton="0" quotePrefix="0" xfId="0"/>
    <xf numFmtId="165" fontId="0" fillId="11" borderId="0" pivotButton="0" quotePrefix="0" xfId="0"/>
    <xf numFmtId="3" fontId="0" fillId="11" borderId="0" pivotButton="0" quotePrefix="0" xfId="0"/>
    <xf numFmtId="0" fontId="0" fillId="12" borderId="0" pivotButton="0" quotePrefix="0" xfId="0"/>
    <xf numFmtId="165" fontId="0" fillId="12" borderId="0" pivotButton="0" quotePrefix="0" xfId="0"/>
    <xf numFmtId="167" fontId="0" fillId="13" borderId="0" pivotButton="0" quotePrefix="0" xfId="0"/>
    <xf numFmtId="0" fontId="0" fillId="8" borderId="0" pivotButton="0" quotePrefix="0" xfId="0"/>
    <xf numFmtId="166" fontId="0" fillId="8" borderId="0" pivotButton="0" quotePrefix="0" xfId="0"/>
    <xf numFmtId="165" fontId="0" fillId="8" borderId="0" pivotButton="0" quotePrefix="0" xfId="0"/>
    <xf numFmtId="168" fontId="0" fillId="0" borderId="0" pivotButton="0" quotePrefix="0" xfId="0"/>
    <xf numFmtId="2" fontId="0" fillId="0" borderId="0" pivotButton="0" quotePrefix="0" xfId="0"/>
    <xf numFmtId="169" fontId="0" fillId="0" borderId="0" pivotButton="0" quotePrefix="0" xfId="0"/>
    <xf numFmtId="165" fontId="0" fillId="0" borderId="0" pivotButton="0" quotePrefix="0" xfId="0"/>
    <xf numFmtId="1" fontId="0" fillId="0" borderId="0" pivotButton="0" quotePrefix="0" xfId="0"/>
    <xf numFmtId="170" fontId="0" fillId="0" borderId="0" pivotButton="0" quotePrefix="0" xfId="0"/>
    <xf numFmtId="0" fontId="5" fillId="11" borderId="0" pivotButton="0" quotePrefix="0" xfId="0"/>
    <xf numFmtId="0" fontId="5" fillId="12" borderId="0" pivotButton="0" quotePrefix="0" xfId="0"/>
    <xf numFmtId="3" fontId="0" fillId="12" borderId="0" pivotButton="0" quotePrefix="0" xfId="0"/>
    <xf numFmtId="168" fontId="0" fillId="12" borderId="0" pivotButton="0" quotePrefix="0" xfId="0"/>
    <xf numFmtId="2" fontId="0" fillId="12" borderId="0" pivotButton="0" quotePrefix="0" xfId="0"/>
    <xf numFmtId="169" fontId="0" fillId="12" borderId="0" pivotButton="0" quotePrefix="0" xfId="0"/>
    <xf numFmtId="1" fontId="0" fillId="12" borderId="0" pivotButton="0" quotePrefix="0" xfId="0"/>
    <xf numFmtId="170" fontId="0" fillId="12" borderId="0" pivotButton="0" quotePrefix="0" xfId="0"/>
    <xf numFmtId="0" fontId="5" fillId="13" borderId="0" pivotButton="0" quotePrefix="0" xfId="0"/>
    <xf numFmtId="2" fontId="0" fillId="13" borderId="0" pivotButton="0" quotePrefix="0" xfId="0"/>
    <xf numFmtId="0" fontId="0" fillId="13" borderId="0" pivotButton="0" quotePrefix="0" xfId="0"/>
    <xf numFmtId="0" fontId="5" fillId="14" borderId="0" pivotButton="0" quotePrefix="0" xfId="0"/>
    <xf numFmtId="170" fontId="0" fillId="14" borderId="0" pivotButton="0" quotePrefix="0" xfId="0"/>
    <xf numFmtId="0" fontId="0" fillId="14" borderId="0" pivotButton="0" quotePrefix="0" xfId="0"/>
    <xf numFmtId="0" fontId="7"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10" customWidth="1" min="1" max="1"/>
  </cols>
  <sheetData>
    <row r="1" ht="18" customHeight="1">
      <c r="A1" s="1" t="inlineStr">
        <is>
          <t>GNMA Project Loan Prepayment Model</t>
        </is>
      </c>
    </row>
    <row r="2" ht="15" customHeight="1">
      <c r="A2" s="2" t="inlineStr"/>
    </row>
    <row r="3" ht="18" customHeight="1">
      <c r="A3" s="3" t="inlineStr">
        <is>
          <t>PURPOSE</t>
        </is>
      </c>
    </row>
    <row r="4" ht="63" customHeight="1">
      <c r="A4" s="2" t="inlineStr">
        <is>
          <t>This workbook predicts monthly SMM (Single Monthly Mortality) and annualized CPR (Conditional Prepayment Rate) for individual GNMA multifamily project loans, then aggregates loans up to the GNR REMIC deal level so deals can be compared and the drivers of speed differences can be isolated.</t>
        </is>
      </c>
    </row>
    <row r="5" ht="15" customHeight="1">
      <c r="A5" s="2" t="inlineStr"/>
    </row>
    <row r="6" ht="18" customHeight="1">
      <c r="A6" s="3" t="inlineStr">
        <is>
          <t>HOW TO USE</t>
        </is>
      </c>
    </row>
    <row r="7" ht="18" customHeight="1">
      <c r="A7" s="2" t="inlineStr">
        <is>
          <t>1.  Open the Loan_Input sheet.</t>
        </is>
      </c>
    </row>
    <row r="8" ht="75" customHeight="1">
      <c r="A8" s="2" t="inlineStr">
        <is>
          <t>2.  Replace the demo data (rows 2 and below) with your own loan-level data.  At minimum you need: deal_id, loan_rate, upb, dates (origination, maturity, lockout end, prepay end), prepay penalty period, FHA program code, affordable status, modified/non-level/mature flags, period (YYYYMM).  All formulas to the right derive features and predict CPR automatically.</t>
        </is>
      </c>
    </row>
    <row r="9" ht="33" customHeight="1">
      <c r="A9" s="2" t="inlineStr">
        <is>
          <t>3.  Yellow cells are user input.  Green cells are derived/computed.  Orange cells are per-component attribution.</t>
        </is>
      </c>
    </row>
    <row r="10" ht="48" customHeight="1">
      <c r="A10" s="2" t="inlineStr">
        <is>
          <t>4.  The Deal_Summary sheet aggregates loans by deal_id with weighted averages.  The Deal_Comparison sheet displays the underlying drivers of CPR differences across deals side-by-side.</t>
        </is>
      </c>
    </row>
    <row r="11" ht="33" customHeight="1">
      <c r="A11" s="2" t="inlineStr">
        <is>
          <t>5.  To override a model coefficient (e.g. for a stress scenario), edit the corresponding cell on Parameters.</t>
        </is>
      </c>
    </row>
    <row r="12" ht="15" customHeight="1">
      <c r="A12" s="2" t="inlineStr"/>
    </row>
    <row r="13" ht="18" customHeight="1">
      <c r="A13" s="3" t="inlineStr">
        <is>
          <t>MODEL ARCHITECTURE</t>
        </is>
      </c>
    </row>
    <row r="14" ht="33" customHeight="1">
      <c r="A14" s="2" t="inlineStr">
        <is>
          <t>Trained on 932,014 loan-month observations from 201812 through 202406 (8,881 voluntary prepay events).  Held-out test: 308,876 observations from 202407 through 202603.</t>
        </is>
      </c>
    </row>
    <row r="15" ht="15" customHeight="1">
      <c r="A15" s="2" t="inlineStr"/>
    </row>
    <row r="16" ht="48" customHeight="1">
      <c r="A16" s="2" t="inlineStr">
        <is>
          <t>Functional form: logistic regression on engineered piecewise-linear splines.  log( SMM/(1-SMM) ) = intercept + Σ contributions.  Each contribution maps cleanly to an Excel formula and to a CPR attribution.</t>
        </is>
      </c>
    </row>
    <row r="17" ht="15" customHeight="1">
      <c r="A17" s="2" t="inlineStr"/>
    </row>
    <row r="18" ht="18" customHeight="1">
      <c r="A18" s="4" t="inlineStr">
        <is>
          <t>Components:</t>
        </is>
      </c>
    </row>
    <row r="19" ht="18" customHeight="1">
      <c r="A19" s="2" t="inlineStr">
        <is>
          <t xml:space="preserve">  •  Refi incentive S-curve (loan rate vs penalty-adjusted PLC).</t>
        </is>
      </c>
    </row>
    <row r="20" ht="18" customHeight="1">
      <c r="A20" s="2" t="inlineStr">
        <is>
          <t xml:space="preserve">  •  Loan age ramp + burnout (piecewise-linear seasoning).</t>
        </is>
      </c>
    </row>
    <row r="21" ht="18" customHeight="1">
      <c r="A21" s="2" t="inlineStr">
        <is>
          <t xml:space="preserve">  •  Penalty point S-curve (interaction with refi incentive).</t>
        </is>
      </c>
    </row>
    <row r="22" ht="18" customHeight="1">
      <c r="A22" s="2" t="inlineStr">
        <is>
          <t xml:space="preserve">  •  SATO (spread at origination — borrower quality proxy).</t>
        </is>
      </c>
    </row>
    <row r="23" ht="18" customHeight="1">
      <c r="A23" s="2" t="inlineStr">
        <is>
          <t xml:space="preserve">  •  Loan size effect (larger loans refi more easily).</t>
        </is>
      </c>
    </row>
    <row r="24" ht="18" customHeight="1">
      <c r="A24" s="2" t="inlineStr">
        <is>
          <t xml:space="preserve">  •  Months-to-maturity (balloon-driven refi pull).</t>
        </is>
      </c>
    </row>
    <row r="25" ht="18" customHeight="1">
      <c r="A25" s="2" t="inlineStr">
        <is>
          <t xml:space="preserve">  •  Months-post-lockout (pent-up demand).</t>
        </is>
      </c>
    </row>
    <row r="26" ht="18" customHeight="1">
      <c r="A26" s="2" t="inlineStr">
        <is>
          <t xml:space="preserve">  •  Refi × penalty interaction.</t>
        </is>
      </c>
    </row>
    <row r="27" ht="18" customHeight="1">
      <c r="A27" s="2" t="inlineStr">
        <is>
          <t xml:space="preserve">  •  In-penalty-window phase indicator.</t>
        </is>
      </c>
    </row>
    <row r="28" ht="18" customHeight="1">
      <c r="A28" s="2" t="inlineStr">
        <is>
          <t xml:space="preserve">  •  FHA program category dummies (221d4, 223a7, 232, 538, 241, 220, OTHER vs 223f).</t>
        </is>
      </c>
    </row>
    <row r="29" ht="18" customHeight="1">
      <c r="A29" s="2" t="inlineStr">
        <is>
          <t xml:space="preserve">  •  Loan purpose (NC vs RP).</t>
        </is>
      </c>
    </row>
    <row r="30" ht="18" customHeight="1">
      <c r="A30" s="2" t="inlineStr">
        <is>
          <t xml:space="preserve">  •  Affordable status (AFF/BAF/MKT vs unknown).</t>
        </is>
      </c>
    </row>
    <row r="31" ht="18" customHeight="1">
      <c r="A31" s="2" t="inlineStr">
        <is>
          <t xml:space="preserve">  •  Pool-type dummies (LM/PN/LS/RX vs reference).</t>
        </is>
      </c>
    </row>
    <row r="32" ht="15" customHeight="1">
      <c r="A32" s="2" t="inlineStr"/>
    </row>
    <row r="33" ht="18" customHeight="1">
      <c r="A33" s="3" t="inlineStr">
        <is>
          <t>VALIDATION</t>
        </is>
      </c>
    </row>
    <row r="34" ht="18" customHeight="1">
      <c r="A34" s="2" t="inlineStr">
        <is>
          <t>Train AUC: 0.769, predicted CPR 10.84% vs actual 10.85%.</t>
        </is>
      </c>
    </row>
    <row r="35" ht="18" customHeight="1">
      <c r="A35" s="2" t="inlineStr">
        <is>
          <t>Test  AUC: 0.586, predicted CPR 4.25% vs actual 2.87%.</t>
        </is>
      </c>
    </row>
    <row r="36" ht="15" customHeight="1">
      <c r="A36" s="2" t="inlineStr"/>
    </row>
    <row r="37" ht="75" customHeight="1">
      <c r="A37" s="2" t="inlineStr">
        <is>
          <t>The test period (Jul 2024 – Mar 2026) is a steeply out-of-the-money regime in which observed prepay rates are unusually low.  The model over-predicts in absolute level but ranks loans correctly.  This regime sensitivity is well-documented in the BAM and Citi project loan model papers (see /pdfs).  Use the OPTIONAL_CPR_SCALAR field on Parameters to apply a level adjustment if desired.</t>
        </is>
      </c>
    </row>
    <row r="38" ht="15" customHeight="1">
      <c r="A38" s="2" t="inlineStr"/>
    </row>
    <row r="39" ht="18" customHeight="1">
      <c r="A39" s="3" t="inlineStr">
        <is>
          <t>KEY ASSUMPTIONS / LIMITATIONS</t>
        </is>
      </c>
    </row>
    <row r="40" ht="33" customHeight="1">
      <c r="A40" s="2" t="inlineStr">
        <is>
          <t xml:space="preserve">  •  Construction-phase loans (CL/CS pool types) are excluded — they are 0% voluntary prepay by definition.</t>
        </is>
      </c>
    </row>
    <row r="41" ht="33" customHeight="1">
      <c r="A41" s="2" t="inlineStr">
        <is>
          <t xml:space="preserve">  •  In-lockout loans are predicted as 0% voluntary prepay (capture scheduled by formula; manual override possible).</t>
        </is>
      </c>
    </row>
    <row r="42" ht="48" customHeight="1">
      <c r="A42" s="2" t="inlineStr">
        <is>
          <t xml:space="preserve">  •  This is a VOLUNTARY prepayment model only.  Involuntary buyouts (default-driven repurchase) are not predicted here — they are sparse (~0.02% per month) and require a credit model.</t>
        </is>
      </c>
    </row>
    <row r="43" ht="33" customHeight="1">
      <c r="A43" s="2" t="inlineStr">
        <is>
          <t xml:space="preserve">  •  Property-price-appreciation cashout dynamics are NOT explicitly modeled (no PPA inputs in GNMA disclosure).  They are captured implicitly via SATO and vintage effects.</t>
        </is>
      </c>
    </row>
    <row r="44" ht="33" customHeight="1">
      <c r="A44" s="2" t="inlineStr">
        <is>
          <t xml:space="preserve">  •  All dates use YYYYMMDD numeric format (e.g. 20240315 = 2024-03-15).  Period uses YYYYMM (e.g. 202603 = March 2026).</t>
        </is>
      </c>
    </row>
    <row r="45" ht="15" customHeight="1">
      <c r="A45" s="2" t="inlineStr"/>
    </row>
    <row r="46" ht="18" customHeight="1">
      <c r="A46" s="3" t="inlineStr">
        <is>
          <t>LEGEND</t>
        </is>
      </c>
    </row>
    <row r="47" ht="18" customHeight="1">
      <c r="A47" s="2" t="inlineStr">
        <is>
          <t>Yellow cells = user input</t>
        </is>
      </c>
    </row>
    <row r="48" ht="18" customHeight="1">
      <c r="A48" s="2" t="inlineStr">
        <is>
          <t>Green cells  = formula-derived feature</t>
        </is>
      </c>
    </row>
    <row r="49" ht="18" customHeight="1">
      <c r="A49" s="2" t="inlineStr">
        <is>
          <t>Orange cells = attribution to predicted CPR</t>
        </is>
      </c>
    </row>
    <row r="50" ht="18" customHeight="1">
      <c r="A50" s="2" t="inlineStr">
        <is>
          <t>Blue cells   = parameter / coefficient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21" customWidth="1" min="1" max="1"/>
    <col width="20" customWidth="1" min="2" max="2"/>
    <col width="70" customWidth="1" min="3" max="3"/>
    <col width="69" customWidth="1" min="4" max="4"/>
  </cols>
  <sheetData>
    <row r="1">
      <c r="A1" s="5" t="inlineStr">
        <is>
          <t>Parameter</t>
        </is>
      </c>
      <c r="B1" s="5" t="inlineStr">
        <is>
          <t>Value</t>
        </is>
      </c>
      <c r="C1" s="5" t="inlineStr">
        <is>
          <t>Description</t>
        </is>
      </c>
    </row>
    <row r="2">
      <c r="A2" t="inlineStr">
        <is>
          <t>INTERCEPT</t>
        </is>
      </c>
      <c r="B2" s="6" t="n">
        <v>-6.583065278239806</v>
      </c>
      <c r="C2" t="inlineStr">
        <is>
          <t>Logistic intercept; baseline log-odds when all features = 0.</t>
        </is>
      </c>
    </row>
    <row r="3">
      <c r="A3" t="inlineStr">
        <is>
          <t>OPTIONAL_CPR_SCALAR</t>
        </is>
      </c>
      <c r="B3" s="7" t="n">
        <v>1</v>
      </c>
      <c r="C3" t="inlineStr">
        <is>
          <t>Multiplier on final predicted SMM. Use 1.0 for the unbiased model; use &lt;1 to dampen if you believe the regime is more out-of-money than training; &gt;1 for stress.</t>
        </is>
      </c>
    </row>
    <row r="4"/>
    <row r="5">
      <c r="A5" s="5" t="inlineStr">
        <is>
          <t>Component</t>
        </is>
      </c>
      <c r="B5" s="5" t="inlineStr">
        <is>
          <t>Feature</t>
        </is>
      </c>
      <c r="C5" s="5" t="inlineStr">
        <is>
          <t>Coefficient</t>
        </is>
      </c>
      <c r="D5" s="5" t="inlineStr">
        <is>
          <t>Description</t>
        </is>
      </c>
    </row>
    <row r="6">
      <c r="A6" t="inlineStr">
        <is>
          <t>REFI</t>
        </is>
      </c>
      <c r="B6" s="8" t="inlineStr">
        <is>
          <t>refi_lin</t>
        </is>
      </c>
      <c r="C6" s="6" t="n">
        <v>0.004320370927372</v>
      </c>
      <c r="D6" t="inlineStr">
        <is>
          <t>Linear slope of refi incentive in bps</t>
        </is>
      </c>
    </row>
    <row r="7">
      <c r="A7" t="inlineStr">
        <is>
          <t>REFI</t>
        </is>
      </c>
      <c r="B7" s="8" t="inlineStr">
        <is>
          <t>refi_k-150</t>
        </is>
      </c>
      <c r="C7" s="6" t="n">
        <v>0.0022721146269841</v>
      </c>
      <c r="D7" t="inlineStr">
        <is>
          <t>Hinge: extra slope past −150 bps incentive</t>
        </is>
      </c>
    </row>
    <row r="8">
      <c r="A8" t="inlineStr">
        <is>
          <t>REFI</t>
        </is>
      </c>
      <c r="B8" s="8" t="inlineStr">
        <is>
          <t>refi_k-50</t>
        </is>
      </c>
      <c r="C8" s="6" t="n">
        <v>0.0017670998050352</v>
      </c>
      <c r="D8" t="inlineStr">
        <is>
          <t>Hinge: extra slope past −50 bps incentive</t>
        </is>
      </c>
    </row>
    <row r="9">
      <c r="A9" t="inlineStr">
        <is>
          <t>REFI</t>
        </is>
      </c>
      <c r="B9" s="8" t="inlineStr">
        <is>
          <t>refi_k0</t>
        </is>
      </c>
      <c r="C9" s="6" t="n">
        <v>0.0009122345816079</v>
      </c>
      <c r="D9" t="inlineStr">
        <is>
          <t>Hinge: extra slope past 0 bps (at-money)</t>
        </is>
      </c>
    </row>
    <row r="10">
      <c r="A10" t="inlineStr">
        <is>
          <t>REFI</t>
        </is>
      </c>
      <c r="B10" s="8" t="inlineStr">
        <is>
          <t>refi_k50</t>
        </is>
      </c>
      <c r="C10" s="6" t="n">
        <v>-0.0015626207332975</v>
      </c>
      <c r="D10" t="inlineStr">
        <is>
          <t>Hinge: extra slope past +50 bps incentive</t>
        </is>
      </c>
    </row>
    <row r="11">
      <c r="A11" t="inlineStr">
        <is>
          <t>REFI</t>
        </is>
      </c>
      <c r="B11" s="8" t="inlineStr">
        <is>
          <t>refi_k100</t>
        </is>
      </c>
      <c r="C11" s="6" t="n">
        <v>-0.0034164294637231</v>
      </c>
      <c r="D11" t="inlineStr">
        <is>
          <t>Hinge: extra slope past +100 bps incentive</t>
        </is>
      </c>
    </row>
    <row r="12">
      <c r="A12" t="inlineStr">
        <is>
          <t>REFI</t>
        </is>
      </c>
      <c r="B12" s="8" t="inlineStr">
        <is>
          <t>refi_k150</t>
        </is>
      </c>
      <c r="C12" s="6" t="n">
        <v>-0.0023538753564155</v>
      </c>
      <c r="D12" t="inlineStr">
        <is>
          <t>Hinge: extra slope past +150 bps incentive</t>
        </is>
      </c>
    </row>
    <row r="13">
      <c r="A13" t="inlineStr">
        <is>
          <t>REFI</t>
        </is>
      </c>
      <c r="B13" s="8" t="inlineStr">
        <is>
          <t>refi_k250</t>
        </is>
      </c>
      <c r="C13" s="6" t="n">
        <v>-0.0009769816688914</v>
      </c>
      <c r="D13" t="inlineStr">
        <is>
          <t>Hinge: extra slope past +250 bps incentive</t>
        </is>
      </c>
    </row>
    <row r="14">
      <c r="A14" t="inlineStr">
        <is>
          <t>AGE</t>
        </is>
      </c>
      <c r="B14" s="8" t="inlineStr">
        <is>
          <t>age_lin</t>
        </is>
      </c>
      <c r="C14" s="6" t="n">
        <v>0.0059010869128381</v>
      </c>
      <c r="D14" t="inlineStr">
        <is>
          <t>Linear slope of loan age (months)</t>
        </is>
      </c>
    </row>
    <row r="15">
      <c r="A15" t="inlineStr">
        <is>
          <t>AGE</t>
        </is>
      </c>
      <c r="B15" s="8" t="inlineStr">
        <is>
          <t>age_k12</t>
        </is>
      </c>
      <c r="C15" s="6" t="n">
        <v>0.0053604490113782</v>
      </c>
      <c r="D15" t="inlineStr">
        <is>
          <t>Hinge: extra slope past 12 months age</t>
        </is>
      </c>
    </row>
    <row r="16">
      <c r="A16" t="inlineStr">
        <is>
          <t>AGE</t>
        </is>
      </c>
      <c r="B16" s="8" t="inlineStr">
        <is>
          <t>age_k36</t>
        </is>
      </c>
      <c r="C16" s="6" t="n">
        <v>0.0005680631854614</v>
      </c>
      <c r="D16" t="inlineStr">
        <is>
          <t>Hinge: extra slope past 36 months age</t>
        </is>
      </c>
    </row>
    <row r="17">
      <c r="A17" t="inlineStr">
        <is>
          <t>AGE</t>
        </is>
      </c>
      <c r="B17" s="8" t="inlineStr">
        <is>
          <t>age_k60</t>
        </is>
      </c>
      <c r="C17" s="6" t="n">
        <v>-0.0029967448368979</v>
      </c>
      <c r="D17" t="inlineStr">
        <is>
          <t>Hinge: extra slope past 60 months age</t>
        </is>
      </c>
    </row>
    <row r="18">
      <c r="A18" t="inlineStr">
        <is>
          <t>AGE</t>
        </is>
      </c>
      <c r="B18" s="8" t="inlineStr">
        <is>
          <t>age_k84</t>
        </is>
      </c>
      <c r="C18" s="6" t="n">
        <v>-0.0049135452115772</v>
      </c>
      <c r="D18" t="inlineStr">
        <is>
          <t>Hinge: extra slope past 84 months age</t>
        </is>
      </c>
    </row>
    <row r="19">
      <c r="A19" t="inlineStr">
        <is>
          <t>AGE</t>
        </is>
      </c>
      <c r="B19" s="8" t="inlineStr">
        <is>
          <t>age_k120</t>
        </is>
      </c>
      <c r="C19" s="6" t="n">
        <v>-0.0194994193608194</v>
      </c>
      <c r="D19" t="inlineStr">
        <is>
          <t>Hinge: extra slope past 120 months age (burnout)</t>
        </is>
      </c>
    </row>
    <row r="20">
      <c r="A20" t="inlineStr">
        <is>
          <t>AGE</t>
        </is>
      </c>
      <c r="B20" s="8" t="inlineStr">
        <is>
          <t>age_k180</t>
        </is>
      </c>
      <c r="C20" s="6" t="n">
        <v>0.0205522570183075</v>
      </c>
      <c r="D20" t="inlineStr">
        <is>
          <t>Hinge: extra slope past 180 months age</t>
        </is>
      </c>
    </row>
    <row r="21">
      <c r="A21" t="inlineStr">
        <is>
          <t>PENALTY</t>
        </is>
      </c>
      <c r="B21" s="8" t="inlineStr">
        <is>
          <t>pen_lin</t>
        </is>
      </c>
      <c r="C21" s="6" t="n">
        <v>0.0218860018022879</v>
      </c>
      <c r="D21" t="inlineStr">
        <is>
          <t>Linear slope of penalty points</t>
        </is>
      </c>
    </row>
    <row r="22">
      <c r="A22" t="inlineStr">
        <is>
          <t>PENALTY</t>
        </is>
      </c>
      <c r="B22" s="8" t="inlineStr">
        <is>
          <t>pen_k0</t>
        </is>
      </c>
      <c r="C22" s="6" t="n">
        <v>0.0218860018022879</v>
      </c>
      <c r="D22" t="inlineStr">
        <is>
          <t>Hinge: extra slope past 0 pts</t>
        </is>
      </c>
    </row>
    <row r="23">
      <c r="A23" t="inlineStr">
        <is>
          <t>PENALTY</t>
        </is>
      </c>
      <c r="B23" s="8" t="inlineStr">
        <is>
          <t>pen_k2</t>
        </is>
      </c>
      <c r="C23" s="6" t="n">
        <v>-0.0527471852017386</v>
      </c>
      <c r="D23" t="inlineStr">
        <is>
          <t>Hinge: extra slope past 2 pts</t>
        </is>
      </c>
    </row>
    <row r="24">
      <c r="A24" t="inlineStr">
        <is>
          <t>PENALTY</t>
        </is>
      </c>
      <c r="B24" s="8" t="inlineStr">
        <is>
          <t>pen_k5</t>
        </is>
      </c>
      <c r="C24" s="6" t="n">
        <v>-0.0067666103237343</v>
      </c>
      <c r="D24" t="inlineStr">
        <is>
          <t>Hinge: extra slope past 5 pts</t>
        </is>
      </c>
    </row>
    <row r="25">
      <c r="A25" t="inlineStr">
        <is>
          <t>PENALTY</t>
        </is>
      </c>
      <c r="B25" s="8" t="inlineStr">
        <is>
          <t>pen_k8</t>
        </is>
      </c>
      <c r="C25" s="6" t="n">
        <v>0.0415181393553758</v>
      </c>
      <c r="D25" t="inlineStr">
        <is>
          <t>Hinge: extra slope past 8 pts</t>
        </is>
      </c>
    </row>
    <row r="26">
      <c r="A26" t="inlineStr">
        <is>
          <t>SATO</t>
        </is>
      </c>
      <c r="B26" s="8" t="inlineStr">
        <is>
          <t>sato_lin</t>
        </is>
      </c>
      <c r="C26" s="6" t="n">
        <v>-0.0012081854075442</v>
      </c>
      <c r="D26" t="inlineStr">
        <is>
          <t>Linear slope of SATO (bps)</t>
        </is>
      </c>
    </row>
    <row r="27">
      <c r="A27" t="inlineStr">
        <is>
          <t>SATO</t>
        </is>
      </c>
      <c r="B27" s="8" t="inlineStr">
        <is>
          <t>sato_k-100</t>
        </is>
      </c>
      <c r="C27" s="6" t="n">
        <v>0.0016515061578033</v>
      </c>
      <c r="D27" t="inlineStr">
        <is>
          <t>Hinge: extra slope past −100 bps SATO</t>
        </is>
      </c>
    </row>
    <row r="28">
      <c r="A28" t="inlineStr">
        <is>
          <t>SATO</t>
        </is>
      </c>
      <c r="B28" s="8" t="inlineStr">
        <is>
          <t>sato_k-25</t>
        </is>
      </c>
      <c r="C28" s="6" t="n">
        <v>-0.0006815554563151</v>
      </c>
      <c r="D28" t="inlineStr">
        <is>
          <t>Hinge: extra slope past −25 bps SATO</t>
        </is>
      </c>
    </row>
    <row r="29">
      <c r="A29" t="inlineStr">
        <is>
          <t>SATO</t>
        </is>
      </c>
      <c r="B29" s="8" t="inlineStr">
        <is>
          <t>sato_k25</t>
        </is>
      </c>
      <c r="C29" s="6" t="n">
        <v>-0.0015030342534118</v>
      </c>
      <c r="D29" t="inlineStr">
        <is>
          <t>Hinge: extra slope past +25 bps SATO</t>
        </is>
      </c>
    </row>
    <row r="30">
      <c r="A30" t="inlineStr">
        <is>
          <t>SATO</t>
        </is>
      </c>
      <c r="B30" s="8" t="inlineStr">
        <is>
          <t>sato_k100</t>
        </is>
      </c>
      <c r="C30" s="6" t="n">
        <v>-0.0048348329501202</v>
      </c>
      <c r="D30" t="inlineStr">
        <is>
          <t>Hinge: extra slope past +100 bps SATO</t>
        </is>
      </c>
    </row>
    <row r="31">
      <c r="A31" t="inlineStr">
        <is>
          <t>SIZE</t>
        </is>
      </c>
      <c r="B31" s="8" t="inlineStr">
        <is>
          <t>size_lin</t>
        </is>
      </c>
      <c r="C31" s="6" t="n">
        <v>0.0531506156077567</v>
      </c>
      <c r="D31" t="inlineStr">
        <is>
          <t>Linear slope of UPB ($M)</t>
        </is>
      </c>
    </row>
    <row r="32">
      <c r="A32" t="inlineStr">
        <is>
          <t>SIZE</t>
        </is>
      </c>
      <c r="B32" s="8" t="inlineStr">
        <is>
          <t>size_k2</t>
        </is>
      </c>
      <c r="C32" s="6" t="n">
        <v>0.038992644258368</v>
      </c>
      <c r="D32" t="inlineStr">
        <is>
          <t>Hinge: extra slope past $2M UPB</t>
        </is>
      </c>
    </row>
    <row r="33">
      <c r="A33" t="inlineStr">
        <is>
          <t>SIZE</t>
        </is>
      </c>
      <c r="B33" s="8" t="inlineStr">
        <is>
          <t>size_k10</t>
        </is>
      </c>
      <c r="C33" s="6" t="n">
        <v>-0.0596512523519153</v>
      </c>
      <c r="D33" t="inlineStr">
        <is>
          <t>Hinge: extra slope past $10M UPB</t>
        </is>
      </c>
    </row>
    <row r="34">
      <c r="A34" t="inlineStr">
        <is>
          <t>SIZE</t>
        </is>
      </c>
      <c r="B34" s="8" t="inlineStr">
        <is>
          <t>size_k25</t>
        </is>
      </c>
      <c r="C34" s="6" t="n">
        <v>-0.0308547139487613</v>
      </c>
      <c r="D34" t="inlineStr">
        <is>
          <t>Hinge: extra slope past $25M UPB</t>
        </is>
      </c>
    </row>
    <row r="35">
      <c r="A35" t="inlineStr">
        <is>
          <t>M2M</t>
        </is>
      </c>
      <c r="B35" s="8" t="inlineStr">
        <is>
          <t>m2m_lin</t>
        </is>
      </c>
      <c r="C35" s="6" t="n">
        <v>-0.0004235851639883</v>
      </c>
      <c r="D35" t="inlineStr">
        <is>
          <t>Linear slope of months-to-maturity</t>
        </is>
      </c>
    </row>
    <row r="36">
      <c r="A36" t="inlineStr">
        <is>
          <t>M2M</t>
        </is>
      </c>
      <c r="B36" s="8" t="inlineStr">
        <is>
          <t>m2m_k12</t>
        </is>
      </c>
      <c r="C36" s="6" t="n">
        <v>-0.0001961457862516</v>
      </c>
      <c r="D36" t="inlineStr">
        <is>
          <t>Hinge: extra slope past 12 months to maturity</t>
        </is>
      </c>
    </row>
    <row r="37">
      <c r="A37" t="inlineStr">
        <is>
          <t>M2M</t>
        </is>
      </c>
      <c r="B37" s="8" t="inlineStr">
        <is>
          <t>m2m_k24</t>
        </is>
      </c>
      <c r="C37" s="6" t="n">
        <v>9.162519761975138e-05</v>
      </c>
      <c r="D37" t="inlineStr">
        <is>
          <t>Hinge: extra slope past 24 months to maturity</t>
        </is>
      </c>
    </row>
    <row r="38">
      <c r="A38" t="inlineStr">
        <is>
          <t>M2M</t>
        </is>
      </c>
      <c r="B38" s="8" t="inlineStr">
        <is>
          <t>m2m_k60</t>
        </is>
      </c>
      <c r="C38" s="6" t="n">
        <v>0.0009516060403751</v>
      </c>
      <c r="D38" t="inlineStr">
        <is>
          <t>Hinge: extra slope past 60 months to maturity</t>
        </is>
      </c>
    </row>
    <row r="39">
      <c r="A39" t="inlineStr">
        <is>
          <t>MPL</t>
        </is>
      </c>
      <c r="B39" s="8" t="inlineStr">
        <is>
          <t>mpl_lin</t>
        </is>
      </c>
      <c r="C39" s="6" t="n">
        <v>-0.0062609994128686</v>
      </c>
      <c r="D39" t="inlineStr">
        <is>
          <t>Linear slope of months-post-lockout</t>
        </is>
      </c>
    </row>
    <row r="40">
      <c r="A40" t="inlineStr">
        <is>
          <t>MPL</t>
        </is>
      </c>
      <c r="B40" s="8" t="inlineStr">
        <is>
          <t>mpl_k6</t>
        </is>
      </c>
      <c r="C40" s="6" t="n">
        <v>-0.0035252507547331</v>
      </c>
      <c r="D40" t="inlineStr">
        <is>
          <t>Hinge: extra slope past 6 months post-lockout</t>
        </is>
      </c>
    </row>
    <row r="41">
      <c r="A41" t="inlineStr">
        <is>
          <t>MPL</t>
        </is>
      </c>
      <c r="B41" s="8" t="inlineStr">
        <is>
          <t>mpl_k12</t>
        </is>
      </c>
      <c r="C41" s="6" t="n">
        <v>0.0001795012225122</v>
      </c>
      <c r="D41" t="inlineStr">
        <is>
          <t>Hinge: extra slope past 12 months post-lockout</t>
        </is>
      </c>
    </row>
    <row r="42">
      <c r="A42" t="inlineStr">
        <is>
          <t>MPL</t>
        </is>
      </c>
      <c r="B42" s="8" t="inlineStr">
        <is>
          <t>mpl_k24</t>
        </is>
      </c>
      <c r="C42" s="6" t="n">
        <v>0.0121055796456898</v>
      </c>
      <c r="D42" t="inlineStr">
        <is>
          <t>Hinge: extra slope past 24 months post-lockout</t>
        </is>
      </c>
    </row>
    <row r="43">
      <c r="A43" t="inlineStr">
        <is>
          <t>INTERACTION</t>
        </is>
      </c>
      <c r="B43" s="8" t="inlineStr">
        <is>
          <t>refi_x_pen</t>
        </is>
      </c>
      <c r="C43" s="6" t="n">
        <v>0.0834288442995806</v>
      </c>
      <c r="D43" t="inlineStr">
        <is>
          <t>Refi×penalty interaction (refi_pos × pen_clip / 100)</t>
        </is>
      </c>
    </row>
    <row r="44">
      <c r="A44" t="inlineStr">
        <is>
          <t>PHASE</t>
        </is>
      </c>
      <c r="B44" s="8" t="inlineStr">
        <is>
          <t>in_penalty</t>
        </is>
      </c>
      <c r="C44" s="6" t="n">
        <v>-0.4255794748139353</v>
      </c>
      <c r="D44" t="inlineStr">
        <is>
          <t>1 if in prepay-penalty window, else 0</t>
        </is>
      </c>
    </row>
    <row r="45">
      <c r="A45" t="inlineStr">
        <is>
          <t>FHA</t>
        </is>
      </c>
      <c r="B45" s="8" t="inlineStr">
        <is>
          <t>fha_221d4</t>
        </is>
      </c>
      <c r="C45" s="6" t="n">
        <v>0.0656699859254043</v>
      </c>
      <c r="D45" t="inlineStr">
        <is>
          <t>FHA 221(d)(4) new-construction multifamily dummy</t>
        </is>
      </c>
    </row>
    <row r="46">
      <c r="A46" t="inlineStr">
        <is>
          <t>FHA</t>
        </is>
      </c>
      <c r="B46" s="8" t="inlineStr">
        <is>
          <t>fha_223a7</t>
        </is>
      </c>
      <c r="C46" s="6" t="n">
        <v>-0.0530921864160268</v>
      </c>
      <c r="D46" t="inlineStr">
        <is>
          <t>FHA 223(a)(7) streamlined refi dummy</t>
        </is>
      </c>
    </row>
    <row r="47">
      <c r="A47" t="inlineStr">
        <is>
          <t>FHA</t>
        </is>
      </c>
      <c r="B47" s="8" t="inlineStr">
        <is>
          <t>fha_232</t>
        </is>
      </c>
      <c r="C47" s="6" t="n">
        <v>-0.1964313273555558</v>
      </c>
      <c r="D47" t="inlineStr">
        <is>
          <t>FHA 232 healthcare dummy</t>
        </is>
      </c>
    </row>
    <row r="48">
      <c r="A48" t="inlineStr">
        <is>
          <t>FHA</t>
        </is>
      </c>
      <c r="B48" s="8" t="inlineStr">
        <is>
          <t>fha_538</t>
        </is>
      </c>
      <c r="C48" s="6" t="n">
        <v>-0.7103382360670417</v>
      </c>
      <c r="D48" t="inlineStr">
        <is>
          <t>USDA 538 rural multifamily dummy</t>
        </is>
      </c>
    </row>
    <row r="49">
      <c r="A49" t="inlineStr">
        <is>
          <t>FHA</t>
        </is>
      </c>
      <c r="B49" s="8" t="inlineStr">
        <is>
          <t>fha_241</t>
        </is>
      </c>
      <c r="C49" s="6" t="n">
        <v>0.1875957922750205</v>
      </c>
      <c r="D49" t="inlineStr">
        <is>
          <t>FHA 241 supplemental dummy</t>
        </is>
      </c>
    </row>
    <row r="50">
      <c r="A50" t="inlineStr">
        <is>
          <t>FHA</t>
        </is>
      </c>
      <c r="B50" s="8" t="inlineStr">
        <is>
          <t>fha_220</t>
        </is>
      </c>
      <c r="C50" s="6" t="n">
        <v>-0.5003933159449199</v>
      </c>
      <c r="D50" t="inlineStr">
        <is>
          <t>FHA 220 urban renewal dummy</t>
        </is>
      </c>
    </row>
    <row r="51">
      <c r="A51" t="inlineStr">
        <is>
          <t>FHA</t>
        </is>
      </c>
      <c r="B51" s="8" t="inlineStr">
        <is>
          <t>fha_other</t>
        </is>
      </c>
      <c r="C51" s="6" t="n">
        <v>-0.0264073808695201</v>
      </c>
      <c r="D51" t="inlineStr">
        <is>
          <t>Other / uncategorized FHA programs</t>
        </is>
      </c>
    </row>
    <row r="52">
      <c r="A52" t="inlineStr">
        <is>
          <t>PURPOSE</t>
        </is>
      </c>
      <c r="B52" s="8" t="inlineStr">
        <is>
          <t>is_nc</t>
        </is>
      </c>
      <c r="C52" s="6" t="n">
        <v>-0.1644100448391538</v>
      </c>
      <c r="D52" t="inlineStr">
        <is>
          <t>New construction (vs refi/purchase reference)</t>
        </is>
      </c>
    </row>
    <row r="53">
      <c r="A53" t="inlineStr">
        <is>
          <t>AFFORDABLE</t>
        </is>
      </c>
      <c r="B53" s="8" t="inlineStr">
        <is>
          <t>aff_aff</t>
        </is>
      </c>
      <c r="C53" s="6" t="n">
        <v>0.2304690120874516</v>
      </c>
      <c r="D53" t="inlineStr">
        <is>
          <t>Affordable status = AFF dummy</t>
        </is>
      </c>
    </row>
    <row r="54">
      <c r="A54" t="inlineStr">
        <is>
          <t>AFFORDABLE</t>
        </is>
      </c>
      <c r="B54" s="8" t="inlineStr">
        <is>
          <t>aff_baf</t>
        </is>
      </c>
      <c r="C54" s="6" t="n">
        <v>-0.08762531422874401</v>
      </c>
      <c r="D54" t="inlineStr">
        <is>
          <t>Affordable status = BAF dummy</t>
        </is>
      </c>
    </row>
    <row r="55">
      <c r="A55" t="inlineStr">
        <is>
          <t>AFFORDABLE</t>
        </is>
      </c>
      <c r="B55" s="8" t="inlineStr">
        <is>
          <t>aff_mkt</t>
        </is>
      </c>
      <c r="C55" s="6" t="n">
        <v>0.6817414554613862</v>
      </c>
      <c r="D55" t="inlineStr">
        <is>
          <t>Affordable status = MKT dummy</t>
        </is>
      </c>
    </row>
    <row r="56">
      <c r="A56" t="inlineStr">
        <is>
          <t>POOL</t>
        </is>
      </c>
      <c r="B56" s="8" t="inlineStr">
        <is>
          <t>is_lm_pool</t>
        </is>
      </c>
      <c r="C56" s="6" t="n">
        <v>-0.0914951340432474</v>
      </c>
      <c r="D56" t="inlineStr">
        <is>
          <t>Pool type = LM (Mature/Modified — IRR refi destination)</t>
        </is>
      </c>
    </row>
    <row r="57">
      <c r="A57" t="inlineStr">
        <is>
          <t>POOL</t>
        </is>
      </c>
      <c r="B57" s="8" t="inlineStr">
        <is>
          <t>is_pn_pool</t>
        </is>
      </c>
      <c r="C57" s="6" t="n">
        <v>0.128498289081244</v>
      </c>
      <c r="D57" t="inlineStr">
        <is>
          <t>Pool type = PN (Non-Level amortization, dominant Project Loan pool)</t>
        </is>
      </c>
    </row>
    <row r="58">
      <c r="A58" t="inlineStr">
        <is>
          <t>POOL</t>
        </is>
      </c>
      <c r="B58" s="8" t="inlineStr">
        <is>
          <t>is_ls_pool</t>
        </is>
      </c>
      <c r="C58" s="6" t="n">
        <v>-0.0025069756911412</v>
      </c>
      <c r="D58" t="inlineStr">
        <is>
          <t>Pool type = LS (Small-Balance Loan)</t>
        </is>
      </c>
    </row>
    <row r="59">
      <c r="A59" t="inlineStr">
        <is>
          <t>POOL</t>
        </is>
      </c>
      <c r="B59" s="8" t="inlineStr">
        <is>
          <t>is_rx_pool</t>
        </is>
      </c>
      <c r="C59" s="6" t="n">
        <v>-0.4785349424700878</v>
      </c>
      <c r="D59" t="inlineStr">
        <is>
          <t>Pool type = RX (Mark-to-Market)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10" customWidth="1" min="1" max="1"/>
    <col width="14" customWidth="1" min="2" max="2"/>
  </cols>
  <sheetData>
    <row r="1">
      <c r="A1" s="9" t="inlineStr">
        <is>
          <t>period</t>
        </is>
      </c>
      <c r="B1" s="9" t="inlineStr">
        <is>
          <t>PLC_rate_bps</t>
        </is>
      </c>
    </row>
    <row r="2">
      <c r="A2" t="n">
        <v>201812</v>
      </c>
      <c r="B2" t="n">
        <v>354</v>
      </c>
    </row>
    <row r="3">
      <c r="A3" t="n">
        <v>201901</v>
      </c>
      <c r="B3" t="n">
        <v>352</v>
      </c>
    </row>
    <row r="4">
      <c r="A4" t="n">
        <v>201902</v>
      </c>
      <c r="B4" t="n">
        <v>355</v>
      </c>
    </row>
    <row r="5">
      <c r="A5" t="n">
        <v>201903</v>
      </c>
      <c r="B5" t="n">
        <v>328</v>
      </c>
    </row>
    <row r="6">
      <c r="A6" t="n">
        <v>201904</v>
      </c>
      <c r="B6" t="n">
        <v>319</v>
      </c>
    </row>
    <row r="7">
      <c r="A7" t="n">
        <v>201905</v>
      </c>
      <c r="B7" t="n">
        <v>279</v>
      </c>
    </row>
    <row r="8">
      <c r="A8" t="n">
        <v>201906</v>
      </c>
      <c r="B8" t="n">
        <v>276</v>
      </c>
    </row>
    <row r="9">
      <c r="A9" t="n">
        <v>201907</v>
      </c>
      <c r="B9" t="n">
        <v>264</v>
      </c>
    </row>
    <row r="10">
      <c r="A10" t="n">
        <v>201908</v>
      </c>
      <c r="B10" t="n">
        <v>228</v>
      </c>
    </row>
    <row r="11">
      <c r="A11" t="n">
        <v>201909</v>
      </c>
      <c r="B11" t="n">
        <v>245</v>
      </c>
    </row>
    <row r="12">
      <c r="A12" t="n">
        <v>201910</v>
      </c>
      <c r="B12" t="n">
        <v>242</v>
      </c>
    </row>
    <row r="13">
      <c r="A13" t="n">
        <v>201911</v>
      </c>
      <c r="B13" t="n">
        <v>262</v>
      </c>
    </row>
    <row r="14">
      <c r="A14" t="n">
        <v>201912</v>
      </c>
      <c r="B14" t="n">
        <v>277</v>
      </c>
    </row>
    <row r="15">
      <c r="A15" t="n">
        <v>202001</v>
      </c>
      <c r="B15" t="n">
        <v>232</v>
      </c>
    </row>
    <row r="16">
      <c r="A16" t="n">
        <v>202002</v>
      </c>
      <c r="B16" t="n">
        <v>209</v>
      </c>
    </row>
    <row r="17">
      <c r="A17" t="n">
        <v>202003</v>
      </c>
      <c r="B17" t="n">
        <v>207</v>
      </c>
    </row>
    <row r="18">
      <c r="A18" t="n">
        <v>202004</v>
      </c>
      <c r="B18" t="n">
        <v>188.5</v>
      </c>
    </row>
    <row r="19">
      <c r="A19" t="n">
        <v>202005</v>
      </c>
      <c r="B19" t="n">
        <v>182</v>
      </c>
    </row>
    <row r="20">
      <c r="A20" t="n">
        <v>202006</v>
      </c>
      <c r="B20" t="n">
        <v>177</v>
      </c>
    </row>
    <row r="21">
      <c r="A21" t="n">
        <v>202007</v>
      </c>
      <c r="B21" t="n">
        <v>155</v>
      </c>
    </row>
    <row r="22">
      <c r="A22" t="n">
        <v>202008</v>
      </c>
      <c r="B22" t="n">
        <v>149</v>
      </c>
    </row>
    <row r="23">
      <c r="A23" t="n">
        <v>202009</v>
      </c>
      <c r="B23" t="n">
        <v>148</v>
      </c>
    </row>
    <row r="24">
      <c r="A24" t="n">
        <v>202010</v>
      </c>
      <c r="B24" t="n">
        <v>173</v>
      </c>
    </row>
    <row r="25">
      <c r="A25" t="n">
        <v>202011</v>
      </c>
      <c r="B25" t="n">
        <v>166</v>
      </c>
    </row>
    <row r="26">
      <c r="A26" t="n">
        <v>202012</v>
      </c>
      <c r="B26" t="n">
        <v>160</v>
      </c>
    </row>
    <row r="27">
      <c r="A27" t="n">
        <v>202101</v>
      </c>
      <c r="B27" t="n">
        <v>165</v>
      </c>
    </row>
    <row r="28">
      <c r="A28" t="n">
        <v>202102</v>
      </c>
      <c r="B28" t="n">
        <v>185</v>
      </c>
    </row>
    <row r="29">
      <c r="A29" t="n">
        <v>202103</v>
      </c>
      <c r="B29" t="n">
        <v>207</v>
      </c>
    </row>
    <row r="30">
      <c r="A30" t="n">
        <v>202104</v>
      </c>
      <c r="B30" t="n">
        <v>196</v>
      </c>
    </row>
    <row r="31">
      <c r="A31" t="n">
        <v>202105</v>
      </c>
      <c r="B31" t="n">
        <v>180</v>
      </c>
    </row>
    <row r="32">
      <c r="A32" t="n">
        <v>202106</v>
      </c>
      <c r="B32" t="n">
        <v>168</v>
      </c>
    </row>
    <row r="33">
      <c r="A33" t="n">
        <v>202107</v>
      </c>
      <c r="B33" t="n">
        <v>154</v>
      </c>
    </row>
    <row r="34">
      <c r="A34" t="n">
        <v>202108</v>
      </c>
      <c r="B34" t="n">
        <v>164</v>
      </c>
    </row>
    <row r="35">
      <c r="A35" t="n">
        <v>202109</v>
      </c>
      <c r="B35" t="n">
        <v>171</v>
      </c>
    </row>
    <row r="36">
      <c r="A36" t="n">
        <v>202110</v>
      </c>
      <c r="B36" t="n">
        <v>174</v>
      </c>
    </row>
    <row r="37">
      <c r="A37" t="n">
        <v>202111</v>
      </c>
      <c r="B37" t="n">
        <v>176</v>
      </c>
    </row>
    <row r="38">
      <c r="A38" t="n">
        <v>202112</v>
      </c>
      <c r="B38" t="n">
        <v>185</v>
      </c>
    </row>
    <row r="39">
      <c r="A39" t="n">
        <v>202201</v>
      </c>
      <c r="B39" t="n">
        <v>207</v>
      </c>
    </row>
    <row r="40">
      <c r="A40" t="n">
        <v>202202</v>
      </c>
      <c r="B40" t="n">
        <v>231</v>
      </c>
    </row>
    <row r="41">
      <c r="A41" t="n">
        <v>202203</v>
      </c>
      <c r="B41" t="n">
        <v>279</v>
      </c>
    </row>
    <row r="42">
      <c r="A42" t="n">
        <v>202204</v>
      </c>
      <c r="B42" t="n">
        <v>342</v>
      </c>
    </row>
    <row r="43">
      <c r="A43" t="n">
        <v>202205</v>
      </c>
      <c r="B43" t="n">
        <v>341</v>
      </c>
    </row>
    <row r="44">
      <c r="A44" t="n">
        <v>202206</v>
      </c>
      <c r="B44" t="n">
        <v>370</v>
      </c>
    </row>
    <row r="45">
      <c r="A45" t="n">
        <v>202207</v>
      </c>
      <c r="B45" t="n">
        <v>342</v>
      </c>
    </row>
    <row r="46">
      <c r="A46" t="n">
        <v>202208</v>
      </c>
      <c r="B46" t="n">
        <v>393</v>
      </c>
    </row>
    <row r="47">
      <c r="A47" t="n">
        <v>202209</v>
      </c>
      <c r="B47" t="n">
        <v>462</v>
      </c>
    </row>
    <row r="48">
      <c r="A48" t="n">
        <v>202210</v>
      </c>
      <c r="B48" t="n">
        <v>504</v>
      </c>
    </row>
    <row r="49">
      <c r="A49" t="n">
        <v>202211</v>
      </c>
      <c r="B49" t="n">
        <v>452</v>
      </c>
    </row>
    <row r="50">
      <c r="A50" t="n">
        <v>202212</v>
      </c>
      <c r="B50" t="n">
        <v>465</v>
      </c>
    </row>
    <row r="51">
      <c r="A51" t="n">
        <v>202301</v>
      </c>
      <c r="B51" t="n">
        <v>428</v>
      </c>
    </row>
    <row r="52">
      <c r="A52" t="n">
        <v>202302</v>
      </c>
      <c r="B52" t="n">
        <v>453</v>
      </c>
    </row>
    <row r="53">
      <c r="A53" t="n">
        <v>202303</v>
      </c>
      <c r="B53" t="n">
        <v>451</v>
      </c>
    </row>
    <row r="54">
      <c r="A54" t="n">
        <v>202304</v>
      </c>
      <c r="B54" t="n">
        <v>460</v>
      </c>
    </row>
    <row r="55">
      <c r="A55" t="n">
        <v>202305</v>
      </c>
      <c r="B55" t="n">
        <v>487</v>
      </c>
    </row>
    <row r="56">
      <c r="A56" t="n">
        <v>202306</v>
      </c>
      <c r="B56" t="n">
        <v>494</v>
      </c>
    </row>
    <row r="57">
      <c r="A57" t="n">
        <v>202307</v>
      </c>
      <c r="B57" t="n">
        <v>507</v>
      </c>
    </row>
    <row r="58">
      <c r="A58" t="n">
        <v>202308</v>
      </c>
      <c r="B58" t="n">
        <v>524</v>
      </c>
    </row>
    <row r="59">
      <c r="A59" t="n">
        <v>202309</v>
      </c>
      <c r="B59" t="n">
        <v>572</v>
      </c>
    </row>
    <row r="60">
      <c r="A60" t="n">
        <v>202310</v>
      </c>
      <c r="B60" t="n">
        <v>616</v>
      </c>
    </row>
    <row r="61">
      <c r="A61" t="n">
        <v>202311</v>
      </c>
      <c r="B61" t="n">
        <v>547</v>
      </c>
    </row>
    <row r="62">
      <c r="A62" t="n">
        <v>202312</v>
      </c>
      <c r="B62" t="n">
        <v>488</v>
      </c>
    </row>
    <row r="63">
      <c r="A63" t="n">
        <v>202401</v>
      </c>
      <c r="B63" t="n">
        <v>489</v>
      </c>
    </row>
    <row r="64">
      <c r="A64" t="n">
        <v>202402</v>
      </c>
      <c r="B64" t="n">
        <v>510</v>
      </c>
    </row>
    <row r="65">
      <c r="A65" t="n">
        <v>202403</v>
      </c>
      <c r="B65" t="n">
        <v>505</v>
      </c>
    </row>
    <row r="66">
      <c r="A66" t="n">
        <v>202404</v>
      </c>
      <c r="B66" t="n">
        <v>553</v>
      </c>
    </row>
    <row r="67">
      <c r="A67" t="n">
        <v>202405</v>
      </c>
      <c r="B67" t="n">
        <v>531.5</v>
      </c>
    </row>
    <row r="68">
      <c r="A68" t="n">
        <v>202406</v>
      </c>
      <c r="B68" t="n">
        <v>520</v>
      </c>
    </row>
    <row r="69">
      <c r="A69" t="n">
        <v>202407</v>
      </c>
      <c r="B69" t="n">
        <v>489</v>
      </c>
    </row>
    <row r="70">
      <c r="A70" t="n">
        <v>202408</v>
      </c>
      <c r="B70" t="n">
        <v>478</v>
      </c>
    </row>
    <row r="71">
      <c r="A71" t="n">
        <v>202409</v>
      </c>
      <c r="B71" t="n">
        <v>458</v>
      </c>
    </row>
    <row r="72">
      <c r="A72" t="n">
        <v>202410</v>
      </c>
      <c r="B72" t="n">
        <v>505.5</v>
      </c>
    </row>
    <row r="73">
      <c r="A73" t="n">
        <v>202411</v>
      </c>
      <c r="B73" t="n">
        <v>489</v>
      </c>
    </row>
    <row r="74">
      <c r="A74" t="n">
        <v>202412</v>
      </c>
      <c r="B74" t="n">
        <v>523</v>
      </c>
    </row>
    <row r="75">
      <c r="A75" t="n">
        <v>202501</v>
      </c>
      <c r="B75" t="n">
        <v>523</v>
      </c>
    </row>
    <row r="76">
      <c r="A76" t="n">
        <v>202502</v>
      </c>
      <c r="B76" t="n">
        <v>498</v>
      </c>
    </row>
    <row r="77">
      <c r="A77" t="n">
        <v>202503</v>
      </c>
      <c r="B77" t="n">
        <v>503</v>
      </c>
    </row>
    <row r="78">
      <c r="A78" t="n">
        <v>202504</v>
      </c>
      <c r="B78" t="n">
        <v>515</v>
      </c>
    </row>
    <row r="79">
      <c r="A79" t="n">
        <v>202505</v>
      </c>
      <c r="B79" t="n">
        <v>537</v>
      </c>
    </row>
    <row r="80">
      <c r="A80" t="n">
        <v>202506</v>
      </c>
      <c r="B80" t="n">
        <v>517</v>
      </c>
    </row>
    <row r="81">
      <c r="A81" t="n">
        <v>202507</v>
      </c>
      <c r="B81" t="n">
        <v>528</v>
      </c>
    </row>
    <row r="82">
      <c r="A82" t="n">
        <v>202508</v>
      </c>
      <c r="B82" t="n">
        <v>509</v>
      </c>
    </row>
    <row r="83">
      <c r="A83" t="n">
        <v>202509</v>
      </c>
      <c r="B83" t="n">
        <v>495</v>
      </c>
    </row>
    <row r="84">
      <c r="A84" t="n">
        <v>202510</v>
      </c>
      <c r="B84" t="n">
        <v>487.8</v>
      </c>
    </row>
    <row r="85">
      <c r="A85" t="n">
        <v>202511</v>
      </c>
      <c r="B85" t="n">
        <v>477.5</v>
      </c>
    </row>
    <row r="86">
      <c r="A86" t="n">
        <v>202512</v>
      </c>
      <c r="B86" t="n">
        <v>481</v>
      </c>
    </row>
    <row r="87">
      <c r="A87" t="n">
        <v>202601</v>
      </c>
      <c r="B87" t="n">
        <v>465</v>
      </c>
    </row>
    <row r="88">
      <c r="A88" t="n">
        <v>202602</v>
      </c>
      <c r="B88" t="n">
        <v>447</v>
      </c>
    </row>
    <row r="89">
      <c r="A89" t="n">
        <v>202603</v>
      </c>
      <c r="B89" t="n">
        <v>490.5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4" customWidth="1" min="1" max="1"/>
    <col width="22" customWidth="1" min="2" max="2"/>
    <col width="10" customWidth="1" min="3" max="3"/>
  </cols>
  <sheetData>
    <row r="1">
      <c r="A1" s="9" t="inlineStr">
        <is>
          <t>vintage_year</t>
        </is>
      </c>
      <c r="B1" s="9" t="inlineStr">
        <is>
          <t>median_loan_rate_pct</t>
        </is>
      </c>
      <c r="C1" s="9" t="inlineStr">
        <is>
          <t>n_loans</t>
        </is>
      </c>
    </row>
    <row r="2">
      <c r="A2" t="n">
        <v>1990</v>
      </c>
      <c r="B2" t="n">
        <v>4.52</v>
      </c>
      <c r="C2" t="n">
        <v>1</v>
      </c>
    </row>
    <row r="3">
      <c r="A3" t="n">
        <v>1991</v>
      </c>
      <c r="B3" t="n">
        <v>3.785</v>
      </c>
      <c r="C3" t="n">
        <v>2</v>
      </c>
    </row>
    <row r="4">
      <c r="A4" t="n">
        <v>1992</v>
      </c>
      <c r="B4" t="n">
        <v>3.78</v>
      </c>
      <c r="C4" t="n">
        <v>4</v>
      </c>
    </row>
    <row r="5">
      <c r="A5" t="n">
        <v>1994</v>
      </c>
      <c r="B5" t="n">
        <v>3.58</v>
      </c>
      <c r="C5" t="n">
        <v>7</v>
      </c>
    </row>
    <row r="6">
      <c r="A6" t="n">
        <v>1995</v>
      </c>
      <c r="B6" t="n">
        <v>4.22</v>
      </c>
      <c r="C6" t="n">
        <v>9</v>
      </c>
    </row>
    <row r="7">
      <c r="A7" t="n">
        <v>1996</v>
      </c>
      <c r="B7" t="n">
        <v>3.6975</v>
      </c>
      <c r="C7" t="n">
        <v>4</v>
      </c>
    </row>
    <row r="8">
      <c r="A8" t="n">
        <v>1997</v>
      </c>
      <c r="B8" t="n">
        <v>3.53</v>
      </c>
      <c r="C8" t="n">
        <v>10</v>
      </c>
    </row>
    <row r="9">
      <c r="A9" t="n">
        <v>1998</v>
      </c>
      <c r="B9" t="n">
        <v>5.85</v>
      </c>
      <c r="C9" t="n">
        <v>19</v>
      </c>
    </row>
    <row r="10">
      <c r="A10" t="n">
        <v>1999</v>
      </c>
      <c r="B10" t="n">
        <v>6</v>
      </c>
      <c r="C10" t="n">
        <v>28</v>
      </c>
    </row>
    <row r="11">
      <c r="A11" t="n">
        <v>2000</v>
      </c>
      <c r="B11" t="n">
        <v>6</v>
      </c>
      <c r="C11" t="n">
        <v>13</v>
      </c>
    </row>
    <row r="12">
      <c r="A12" t="n">
        <v>2001</v>
      </c>
      <c r="B12" t="n">
        <v>7.5</v>
      </c>
      <c r="C12" t="n">
        <v>66</v>
      </c>
    </row>
    <row r="13">
      <c r="A13" t="n">
        <v>2002</v>
      </c>
      <c r="B13" t="n">
        <v>6.75</v>
      </c>
      <c r="C13" t="n">
        <v>139</v>
      </c>
    </row>
    <row r="14">
      <c r="A14" t="n">
        <v>2003</v>
      </c>
      <c r="B14" t="n">
        <v>5.75</v>
      </c>
      <c r="C14" t="n">
        <v>291</v>
      </c>
    </row>
    <row r="15">
      <c r="A15" t="n">
        <v>2004</v>
      </c>
      <c r="B15" t="n">
        <v>5.75</v>
      </c>
      <c r="C15" t="n">
        <v>279</v>
      </c>
    </row>
    <row r="16">
      <c r="A16" t="n">
        <v>2005</v>
      </c>
      <c r="B16" t="n">
        <v>5.52</v>
      </c>
      <c r="C16" t="n">
        <v>268</v>
      </c>
    </row>
    <row r="17">
      <c r="A17" t="n">
        <v>2006</v>
      </c>
      <c r="B17" t="n">
        <v>5.12</v>
      </c>
      <c r="C17" t="n">
        <v>403</v>
      </c>
    </row>
    <row r="18">
      <c r="A18" t="n">
        <v>2007</v>
      </c>
      <c r="B18" t="n">
        <v>4.68</v>
      </c>
      <c r="C18" t="n">
        <v>373</v>
      </c>
    </row>
    <row r="19">
      <c r="A19" t="n">
        <v>2008</v>
      </c>
      <c r="B19" t="n">
        <v>4.75</v>
      </c>
      <c r="C19" t="n">
        <v>264</v>
      </c>
    </row>
    <row r="20">
      <c r="A20" t="n">
        <v>2009</v>
      </c>
      <c r="B20" t="n">
        <v>4.69</v>
      </c>
      <c r="C20" t="n">
        <v>370</v>
      </c>
    </row>
    <row r="21">
      <c r="A21" t="n">
        <v>2010</v>
      </c>
      <c r="B21" t="n">
        <v>4.05</v>
      </c>
      <c r="C21" t="n">
        <v>720</v>
      </c>
    </row>
    <row r="22">
      <c r="A22" t="n">
        <v>2011</v>
      </c>
      <c r="B22" t="n">
        <v>3.935</v>
      </c>
      <c r="C22" t="n">
        <v>1196</v>
      </c>
    </row>
    <row r="23">
      <c r="A23" t="n">
        <v>2012</v>
      </c>
      <c r="B23" t="n">
        <v>2.99</v>
      </c>
      <c r="C23" t="n">
        <v>1951</v>
      </c>
    </row>
    <row r="24">
      <c r="A24" t="n">
        <v>2013</v>
      </c>
      <c r="B24" t="n">
        <v>3.38</v>
      </c>
      <c r="C24" t="n">
        <v>2217</v>
      </c>
    </row>
    <row r="25">
      <c r="A25" t="n">
        <v>2014</v>
      </c>
      <c r="B25" t="n">
        <v>3.85</v>
      </c>
      <c r="C25" t="n">
        <v>1615</v>
      </c>
    </row>
    <row r="26">
      <c r="A26" t="n">
        <v>2015</v>
      </c>
      <c r="B26" t="n">
        <v>3.56</v>
      </c>
      <c r="C26" t="n">
        <v>1514</v>
      </c>
    </row>
    <row r="27">
      <c r="A27" t="n">
        <v>2016</v>
      </c>
      <c r="B27" t="n">
        <v>3.46</v>
      </c>
      <c r="C27" t="n">
        <v>1496</v>
      </c>
    </row>
    <row r="28">
      <c r="A28" t="n">
        <v>2017</v>
      </c>
      <c r="B28" t="n">
        <v>3.52</v>
      </c>
      <c r="C28" t="n">
        <v>1937</v>
      </c>
    </row>
    <row r="29">
      <c r="A29" t="n">
        <v>2018</v>
      </c>
      <c r="B29" t="n">
        <v>4.14</v>
      </c>
      <c r="C29" t="n">
        <v>2141</v>
      </c>
    </row>
    <row r="30">
      <c r="A30" t="n">
        <v>2019</v>
      </c>
      <c r="B30" t="n">
        <v>3.78</v>
      </c>
      <c r="C30" t="n">
        <v>1561</v>
      </c>
    </row>
    <row r="31">
      <c r="A31" t="n">
        <v>2020</v>
      </c>
      <c r="B31" t="n">
        <v>2.91</v>
      </c>
      <c r="C31" t="n">
        <v>2202</v>
      </c>
    </row>
    <row r="32">
      <c r="A32" t="n">
        <v>2021</v>
      </c>
      <c r="B32" t="n">
        <v>2.63</v>
      </c>
      <c r="C32" t="n">
        <v>2405</v>
      </c>
    </row>
    <row r="33">
      <c r="A33" t="n">
        <v>2022</v>
      </c>
      <c r="B33" t="n">
        <v>3.845</v>
      </c>
      <c r="C33" t="n">
        <v>1482</v>
      </c>
    </row>
    <row r="34">
      <c r="A34" t="n">
        <v>2023</v>
      </c>
      <c r="B34" t="n">
        <v>5.65</v>
      </c>
      <c r="C34" t="n">
        <v>693</v>
      </c>
    </row>
    <row r="35">
      <c r="A35" t="n">
        <v>2024</v>
      </c>
      <c r="B35" t="n">
        <v>5.85</v>
      </c>
      <c r="C35" t="n">
        <v>654</v>
      </c>
    </row>
    <row r="36">
      <c r="A36" t="n">
        <v>2025</v>
      </c>
      <c r="B36" t="n">
        <v>5.86</v>
      </c>
      <c r="C36" t="n">
        <v>865</v>
      </c>
    </row>
    <row r="37">
      <c r="A37" t="n">
        <v>2026</v>
      </c>
      <c r="B37" t="n">
        <v>5.5</v>
      </c>
      <c r="C37" t="n">
        <v>106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14" customWidth="1" min="2" max="2"/>
    <col width="14" customWidth="1" min="3" max="3"/>
  </cols>
  <sheetData>
    <row r="1">
      <c r="A1" s="9" t="inlineStr">
        <is>
          <t>search_substring</t>
        </is>
      </c>
      <c r="B1" s="9" t="inlineStr">
        <is>
          <t>fha_category</t>
        </is>
      </c>
      <c r="C1" s="9" t="inlineStr">
        <is>
          <t>loan_purpose</t>
        </is>
      </c>
    </row>
    <row r="2">
      <c r="A2" t="inlineStr">
        <is>
          <t>538</t>
        </is>
      </c>
      <c r="B2" t="inlineStr">
        <is>
          <t>538</t>
        </is>
      </c>
      <c r="C2" t="inlineStr">
        <is>
          <t>538</t>
        </is>
      </c>
    </row>
    <row r="3">
      <c r="A3" t="inlineStr">
        <is>
          <t>232</t>
        </is>
      </c>
      <c r="B3" t="inlineStr">
        <is>
          <t>232</t>
        </is>
      </c>
      <c r="C3" t="inlineStr">
        <is>
          <t>NC</t>
        </is>
      </c>
    </row>
    <row r="4">
      <c r="A4" t="inlineStr">
        <is>
          <t>223(F)</t>
        </is>
      </c>
      <c r="B4" t="inlineStr">
        <is>
          <t>223f</t>
        </is>
      </c>
      <c r="C4" t="inlineStr">
        <is>
          <t>RP</t>
        </is>
      </c>
    </row>
    <row r="5">
      <c r="A5" t="inlineStr">
        <is>
          <t>223F</t>
        </is>
      </c>
      <c r="B5" t="inlineStr">
        <is>
          <t>223f</t>
        </is>
      </c>
      <c r="C5" t="inlineStr">
        <is>
          <t>RP</t>
        </is>
      </c>
    </row>
    <row r="6">
      <c r="A6" t="inlineStr">
        <is>
          <t>223(A)</t>
        </is>
      </c>
      <c r="B6" t="inlineStr">
        <is>
          <t>223a7</t>
        </is>
      </c>
      <c r="C6" t="inlineStr">
        <is>
          <t>RP</t>
        </is>
      </c>
    </row>
    <row r="7">
      <c r="A7" t="inlineStr">
        <is>
          <t>223A</t>
        </is>
      </c>
      <c r="B7" t="inlineStr">
        <is>
          <t>223a7</t>
        </is>
      </c>
      <c r="C7" t="inlineStr">
        <is>
          <t>RP</t>
        </is>
      </c>
    </row>
    <row r="8">
      <c r="A8" t="inlineStr">
        <is>
          <t>221(D)</t>
        </is>
      </c>
      <c r="B8" t="inlineStr">
        <is>
          <t>221d4</t>
        </is>
      </c>
      <c r="C8" t="inlineStr">
        <is>
          <t>NC</t>
        </is>
      </c>
    </row>
    <row r="9">
      <c r="A9" t="inlineStr">
        <is>
          <t>221D</t>
        </is>
      </c>
      <c r="B9" t="inlineStr">
        <is>
          <t>221d4</t>
        </is>
      </c>
      <c r="C9" t="inlineStr">
        <is>
          <t>NC</t>
        </is>
      </c>
    </row>
    <row r="10">
      <c r="A10" t="inlineStr">
        <is>
          <t>220</t>
        </is>
      </c>
      <c r="B10" t="inlineStr">
        <is>
          <t>220</t>
        </is>
      </c>
      <c r="C10" t="inlineStr">
        <is>
          <t>NC</t>
        </is>
      </c>
    </row>
    <row r="11">
      <c r="A11" t="inlineStr">
        <is>
          <t>241</t>
        </is>
      </c>
      <c r="B11" t="inlineStr">
        <is>
          <t>241</t>
        </is>
      </c>
      <c r="C11" t="inlineStr">
        <is>
          <t>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J272"/>
  <sheetViews>
    <sheetView workbookViewId="0">
      <pane xSplit="6" ySplit="2" topLeftCell="G3"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1" customWidth="1" min="3" max="3"/>
    <col width="22" customWidth="1" min="4" max="4"/>
    <col width="22" customWidth="1" min="5" max="5"/>
    <col width="10" customWidth="1" min="6" max="6"/>
    <col width="15" customWidth="1" min="7" max="7"/>
    <col width="14" customWidth="1" min="8" max="8"/>
    <col width="18" customWidth="1" min="9" max="9"/>
    <col width="18" customWidth="1" min="10" max="10"/>
    <col width="20" customWidth="1" min="11" max="11"/>
    <col width="18" customWidth="1" min="12" max="12"/>
    <col width="17" customWidth="1" min="13" max="13"/>
    <col width="22" customWidth="1" min="14" max="14"/>
    <col width="22" customWidth="1" min="15" max="15"/>
    <col width="19" customWidth="1" min="16" max="16"/>
    <col width="14" customWidth="1" min="17" max="17"/>
    <col width="15" customWidth="1" min="18" max="18"/>
    <col width="18" customWidth="1" min="19" max="19"/>
    <col width="16" customWidth="1" min="20" max="20"/>
    <col width="11" customWidth="1" min="21" max="21"/>
    <col width="20" customWidth="1" min="22" max="22"/>
    <col width="22" customWidth="1" min="23" max="23"/>
    <col width="20" customWidth="1" min="24" max="24"/>
    <col width="16"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1"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s>
  <sheetData>
    <row r="1">
      <c r="A1" s="10" t="inlineStr">
        <is>
          <t>LOAN INPUTS — replace with your data</t>
        </is>
      </c>
      <c r="AA1" s="11" t="inlineStr">
        <is>
          <t>DERIVED FEATURES — auto-computed</t>
        </is>
      </c>
      <c r="BF1" s="12" t="inlineStr">
        <is>
          <t>LOG-ODDS CONTRIBUTIONS — by component</t>
        </is>
      </c>
      <c r="BS1" s="13" t="inlineStr">
        <is>
          <t>PREDICTED CPR &amp; ATTRIBUTION</t>
        </is>
      </c>
    </row>
    <row r="2">
      <c r="A2" s="5" t="inlineStr">
        <is>
          <t>deal_id</t>
        </is>
      </c>
      <c r="B2" s="5" t="inlineStr">
        <is>
          <t>pool_cusip</t>
        </is>
      </c>
      <c r="C2" s="5" t="inlineStr">
        <is>
          <t>pool_type</t>
        </is>
      </c>
      <c r="D2" s="5" t="inlineStr">
        <is>
          <t>issuer_name</t>
        </is>
      </c>
      <c r="E2" s="5" t="inlineStr">
        <is>
          <t>loan_id</t>
        </is>
      </c>
      <c r="F2" s="5" t="inlineStr">
        <is>
          <t>period</t>
        </is>
      </c>
      <c r="G2" s="5" t="inlineStr">
        <is>
          <t>loan_rate_pct</t>
        </is>
      </c>
      <c r="H2" s="5" t="inlineStr">
        <is>
          <t>upb</t>
        </is>
      </c>
      <c r="I2" s="5" t="inlineStr">
        <is>
          <t>loan_term_months</t>
        </is>
      </c>
      <c r="J2" s="5" t="inlineStr">
        <is>
          <t>origination_date</t>
        </is>
      </c>
      <c r="K2" s="5" t="inlineStr">
        <is>
          <t>loan_maturity_date</t>
        </is>
      </c>
      <c r="L2" s="5" t="inlineStr">
        <is>
          <t>lockout_end_date</t>
        </is>
      </c>
      <c r="M2" s="5" t="inlineStr">
        <is>
          <t>prepay_end_date</t>
        </is>
      </c>
      <c r="N2" s="5" t="inlineStr">
        <is>
          <t>prepay_premium_period_yrs</t>
        </is>
      </c>
      <c r="O2" s="5" t="inlineStr">
        <is>
          <t>fha_program_code</t>
        </is>
      </c>
      <c r="P2" s="5" t="inlineStr">
        <is>
          <t>affordable_status</t>
        </is>
      </c>
      <c r="Q2" s="5" t="inlineStr">
        <is>
          <t>modified_ind</t>
        </is>
      </c>
      <c r="R2" s="5" t="inlineStr">
        <is>
          <t>non_level_ind</t>
        </is>
      </c>
      <c r="S2" s="5" t="inlineStr">
        <is>
          <t>mature_loan_flag</t>
        </is>
      </c>
      <c r="T2" s="5" t="inlineStr">
        <is>
          <t>property_state</t>
        </is>
      </c>
      <c r="U2" s="5" t="inlineStr">
        <is>
          <t>num_units</t>
        </is>
      </c>
      <c r="V2" s="5" t="inlineStr">
        <is>
          <t>plc_rate_bps_input</t>
        </is>
      </c>
      <c r="W2" s="5" t="inlineStr">
        <is>
          <t>loan_age_months_input</t>
        </is>
      </c>
      <c r="X2" s="5" t="inlineStr">
        <is>
          <t>vintage_year_input</t>
        </is>
      </c>
      <c r="Y2" s="5" t="inlineStr">
        <is>
          <t>sato_bps_input</t>
        </is>
      </c>
      <c r="Z2" s="5" t="inlineStr">
        <is>
          <t>prepay_penalty_points_input</t>
        </is>
      </c>
      <c r="AA2" s="14" t="inlineStr">
        <is>
          <t>loan_age_months</t>
        </is>
      </c>
      <c r="AB2" s="14" t="inlineStr">
        <is>
          <t>months_to_maturity</t>
        </is>
      </c>
      <c r="AC2" s="14" t="inlineStr">
        <is>
          <t>months_post_lockout</t>
        </is>
      </c>
      <c r="AD2" s="14" t="inlineStr">
        <is>
          <t>in_lockout</t>
        </is>
      </c>
      <c r="AE2" s="14" t="inlineStr">
        <is>
          <t>in_prepay_penalty</t>
        </is>
      </c>
      <c r="AF2" s="14" t="inlineStr">
        <is>
          <t>past_all_restrictions</t>
        </is>
      </c>
      <c r="AG2" s="14" t="inlineStr">
        <is>
          <t>vintage_year</t>
        </is>
      </c>
      <c r="AH2" s="14" t="inlineStr">
        <is>
          <t>vintage_median_rate</t>
        </is>
      </c>
      <c r="AI2" s="14" t="inlineStr">
        <is>
          <t>sato_bps</t>
        </is>
      </c>
      <c r="AJ2" s="14" t="inlineStr">
        <is>
          <t>plc_rate_bps</t>
        </is>
      </c>
      <c r="AK2" s="14" t="inlineStr">
        <is>
          <t>prepay_penalty_points</t>
        </is>
      </c>
      <c r="AL2" s="14" t="inlineStr">
        <is>
          <t>gross_refi_incentive_bps</t>
        </is>
      </c>
      <c r="AM2" s="14" t="inlineStr">
        <is>
          <t>refi_incentive_bps</t>
        </is>
      </c>
      <c r="AN2" s="14" t="inlineStr">
        <is>
          <t>upb_millions</t>
        </is>
      </c>
      <c r="AO2" s="14" t="inlineStr">
        <is>
          <t>fha_category</t>
        </is>
      </c>
      <c r="AP2" s="14" t="inlineStr">
        <is>
          <t>loan_purpose</t>
        </is>
      </c>
      <c r="AQ2" s="14" t="inlineStr">
        <is>
          <t>is_nc</t>
        </is>
      </c>
      <c r="AR2" s="14" t="inlineStr">
        <is>
          <t>aff_aff</t>
        </is>
      </c>
      <c r="AS2" s="14" t="inlineStr">
        <is>
          <t>aff_baf</t>
        </is>
      </c>
      <c r="AT2" s="14" t="inlineStr">
        <is>
          <t>aff_mkt</t>
        </is>
      </c>
      <c r="AU2" s="14" t="inlineStr">
        <is>
          <t>fha_221d4</t>
        </is>
      </c>
      <c r="AV2" s="14" t="inlineStr">
        <is>
          <t>fha_223a7</t>
        </is>
      </c>
      <c r="AW2" s="14" t="inlineStr">
        <is>
          <t>fha_232</t>
        </is>
      </c>
      <c r="AX2" s="14" t="inlineStr">
        <is>
          <t>fha_538</t>
        </is>
      </c>
      <c r="AY2" s="14" t="inlineStr">
        <is>
          <t>fha_241</t>
        </is>
      </c>
      <c r="AZ2" s="14" t="inlineStr">
        <is>
          <t>fha_220</t>
        </is>
      </c>
      <c r="BA2" s="14" t="inlineStr">
        <is>
          <t>fha_other</t>
        </is>
      </c>
      <c r="BB2" s="14" t="inlineStr">
        <is>
          <t>is_lm_pool</t>
        </is>
      </c>
      <c r="BC2" s="14" t="inlineStr">
        <is>
          <t>is_pn_pool</t>
        </is>
      </c>
      <c r="BD2" s="14" t="inlineStr">
        <is>
          <t>is_ls_pool</t>
        </is>
      </c>
      <c r="BE2" s="14" t="inlineStr">
        <is>
          <t>is_rx_pool</t>
        </is>
      </c>
      <c r="BF2" s="15" t="inlineStr">
        <is>
          <t>REFI_logodds</t>
        </is>
      </c>
      <c r="BG2" s="15" t="inlineStr">
        <is>
          <t>AGE_logodds</t>
        </is>
      </c>
      <c r="BH2" s="15" t="inlineStr">
        <is>
          <t>PEN_logodds</t>
        </is>
      </c>
      <c r="BI2" s="15" t="inlineStr">
        <is>
          <t>SATO_logodds</t>
        </is>
      </c>
      <c r="BJ2" s="15" t="inlineStr">
        <is>
          <t>SIZE_logodds</t>
        </is>
      </c>
      <c r="BK2" s="15" t="inlineStr">
        <is>
          <t>M2M_logodds</t>
        </is>
      </c>
      <c r="BL2" s="15" t="inlineStr">
        <is>
          <t>MPL_logodds</t>
        </is>
      </c>
      <c r="BM2" s="15" t="inlineStr">
        <is>
          <t>INTERACT_logodds</t>
        </is>
      </c>
      <c r="BN2" s="15" t="inlineStr">
        <is>
          <t>PHASE_logodds</t>
        </is>
      </c>
      <c r="BO2" s="15" t="inlineStr">
        <is>
          <t>FHA_logodds</t>
        </is>
      </c>
      <c r="BP2" s="15" t="inlineStr">
        <is>
          <t>PURPOSE_logodds</t>
        </is>
      </c>
      <c r="BQ2" s="15" t="inlineStr">
        <is>
          <t>AFF_logodds</t>
        </is>
      </c>
      <c r="BR2" s="15" t="inlineStr">
        <is>
          <t>POOL_logodds</t>
        </is>
      </c>
      <c r="BS2" s="16" t="inlineStr">
        <is>
          <t>intercept_logodds</t>
        </is>
      </c>
      <c r="BT2" s="16" t="inlineStr">
        <is>
          <t>total_logodds</t>
        </is>
      </c>
      <c r="BU2" s="16" t="inlineStr">
        <is>
          <t>predicted_SMM</t>
        </is>
      </c>
      <c r="BV2" s="16" t="inlineStr">
        <is>
          <t>predicted_CPR_pct</t>
        </is>
      </c>
      <c r="BW2" s="16" t="inlineStr">
        <is>
          <t>baseline_CPR_pct</t>
        </is>
      </c>
      <c r="BX2" s="16" t="inlineStr">
        <is>
          <t>CPR_attr_REFI</t>
        </is>
      </c>
      <c r="BY2" s="16" t="inlineStr">
        <is>
          <t>CPR_attr_AGE</t>
        </is>
      </c>
      <c r="BZ2" s="16" t="inlineStr">
        <is>
          <t>CPR_attr_PEN</t>
        </is>
      </c>
      <c r="CA2" s="16" t="inlineStr">
        <is>
          <t>CPR_attr_SATO</t>
        </is>
      </c>
      <c r="CB2" s="16" t="inlineStr">
        <is>
          <t>CPR_attr_SIZE</t>
        </is>
      </c>
      <c r="CC2" s="16" t="inlineStr">
        <is>
          <t>CPR_attr_M2M</t>
        </is>
      </c>
      <c r="CD2" s="16" t="inlineStr">
        <is>
          <t>CPR_attr_MPL</t>
        </is>
      </c>
      <c r="CE2" s="16" t="inlineStr">
        <is>
          <t>CPR_attr_INTERACT</t>
        </is>
      </c>
      <c r="CF2" s="16" t="inlineStr">
        <is>
          <t>CPR_attr_PHASE</t>
        </is>
      </c>
      <c r="CG2" s="16" t="inlineStr">
        <is>
          <t>CPR_attr_FHA</t>
        </is>
      </c>
      <c r="CH2" s="16" t="inlineStr">
        <is>
          <t>CPR_attr_PURPOSE</t>
        </is>
      </c>
      <c r="CI2" s="16" t="inlineStr">
        <is>
          <t>CPR_attr_AFF</t>
        </is>
      </c>
      <c r="CJ2" s="16" t="inlineStr">
        <is>
          <t>CPR_attr_POOL</t>
        </is>
      </c>
    </row>
    <row r="3">
      <c r="A3" s="17" t="inlineStr">
        <is>
          <t>GNR_2024_NEW</t>
        </is>
      </c>
      <c r="B3" s="17" t="inlineStr">
        <is>
          <t>3618M3XD2</t>
        </is>
      </c>
      <c r="C3" s="17" t="inlineStr">
        <is>
          <t>PN</t>
        </is>
      </c>
      <c r="D3" s="17" t="inlineStr">
        <is>
          <t>VIUM CAPITAL MORTGAGE, LLC.</t>
        </is>
      </c>
      <c r="E3" s="17" t="inlineStr">
        <is>
          <t>3618M3XD2_000000006422141</t>
        </is>
      </c>
      <c r="F3" s="17" t="n">
        <v>202603</v>
      </c>
      <c r="G3" s="18" t="n">
        <v>5.69</v>
      </c>
      <c r="H3" s="19" t="n">
        <v>24499231.76</v>
      </c>
      <c r="I3" s="17" t="n">
        <v>420</v>
      </c>
      <c r="J3" s="17" t="n">
        <v>20251201</v>
      </c>
      <c r="K3" s="17" t="n">
        <v>20610101</v>
      </c>
      <c r="L3" s="17" t="n"/>
      <c r="M3" s="17" t="n">
        <v>20360201</v>
      </c>
      <c r="N3" s="17" t="n">
        <v>10</v>
      </c>
      <c r="O3" s="17" t="inlineStr">
        <is>
          <t>232/223(F)</t>
        </is>
      </c>
      <c r="P3" s="17" t="n"/>
      <c r="Q3" s="17" t="n"/>
      <c r="R3" s="17" t="n"/>
      <c r="S3" s="17" t="n"/>
      <c r="T3" s="17" t="inlineStr">
        <is>
          <t>LA</t>
        </is>
      </c>
      <c r="U3" s="17" t="n">
        <v>63</v>
      </c>
      <c r="V3" s="17" t="n">
        <v>490.5</v>
      </c>
      <c r="W3" s="17" t="n">
        <v>3</v>
      </c>
      <c r="X3" s="17" t="n">
        <v>2025</v>
      </c>
      <c r="Y3" s="17" t="n">
        <v>-13</v>
      </c>
      <c r="Z3" s="17" t="n">
        <v>10</v>
      </c>
      <c r="AA3" s="20">
        <f>IF(ISNUMBER(W3),W3,IFERROR(MAX(0,(VALUE(LEFT(F3,4))-VALUE(LEFT(TEXT(J3,"00000000"),4)))*12+(VALUE(MID(F3,5,2))-VALUE(MID(TEXT(J3,"00000000"),5,2)))),""))</f>
        <v/>
      </c>
      <c r="AB3" s="20">
        <f>IFERROR((VALUE(LEFT(TEXT(K3,"00000000"),4))-VALUE(LEFT(F3,4)))*12+(VALUE(MID(TEXT(K3,"00000000"),5,2))-VALUE(MID(F3,5,2))),"")</f>
        <v/>
      </c>
      <c r="AC3" s="20">
        <f>IF(OR(L3="",NOT(ISNUMBER(L3))),0,MAX(0,MIN(60,(VALUE(LEFT(F3,4))-VALUE(LEFT(TEXT(L3,"00000000"),4)))*12+(VALUE(MID(F3,5,2))-VALUE(MID(TEXT(L3,"00000000"),5,2))))))</f>
        <v/>
      </c>
      <c r="AD3" s="20">
        <f>IF(OR(L3="",NOT(ISNUMBER(L3))),0,IF(VALUE(F3)&lt;VALUE(LEFT(TEXT(L3,"00000000"),6)),1,0))</f>
        <v/>
      </c>
      <c r="AE3" s="20">
        <f>IF(OR(M3="",NOT(ISNUMBER(M3))),0,IF(VALUE(F3)&lt;VALUE(LEFT(TEXT(M3,"00000000"),6)),1,0))</f>
        <v/>
      </c>
      <c r="AF3" s="20">
        <f>IF(AND(AD3=0,AE3=0),1,0)</f>
        <v/>
      </c>
      <c r="AG3" s="20">
        <f>IF(ISNUMBER(X3),X3,IFERROR(VALUE(LEFT(TEXT(J3,"00000000"),4)),""))</f>
        <v/>
      </c>
      <c r="AH3" s="20">
        <f>IFERROR(XLOOKUP(AG3,Vintage_Rates!$A$2:$A$1000,Vintage_Rates!$B$2:$B$1000,""),"")</f>
        <v/>
      </c>
      <c r="AI3" s="20">
        <f>IF(ISNUMBER(Y3),Y3,IFERROR((G3-AH3)*100,""))</f>
        <v/>
      </c>
      <c r="AJ3" s="20">
        <f>IF(ISNUMBER(V3),V3,IFERROR(XLOOKUP(VALUE(F3),PLC_Rates!$A$2:$A$1000,PLC_Rates!$B$2:$B$1000,""),""))</f>
        <v/>
      </c>
      <c r="AK3" s="20">
        <f>IF(ISNUMBER(Z3),Z3,IF(AE3=0,0,MAX(0,MIN(10,((VALUE(LEFT(TEXT(M3,"00000000"),4))-VALUE(LEFT(F3,4)))*12+(VALUE(MID(TEXT(M3,"00000000"),5,2))-VALUE(MID(F3,5,2))))/12))))</f>
        <v/>
      </c>
      <c r="AL3" s="20">
        <f>IFERROR(G3*100-AJ3,"")</f>
        <v/>
      </c>
      <c r="AM3" s="20">
        <f>IFERROR(G3*100-(AJ3+(1+AK3)*12.5),"")</f>
        <v/>
      </c>
      <c r="AN3" s="21">
        <f>IFERROR(MIN(H3/1000000,100),"")</f>
        <v/>
      </c>
      <c r="AO3" s="20">
        <f>IFERROR(INDEX(FHA_Lookup!$B$2:$B$11,MATCH(TRUE,ISNUMBER(SEARCH(FHA_Lookup!$A$2:$A$11,UPPER(SUBSTITUTE(O3," ","")))),0)),"OTHER")</f>
        <v/>
      </c>
      <c r="AP3" s="20">
        <f>IFERROR(INDEX(FHA_Lookup!$C$2:$C$11,MATCH(TRUE,ISNUMBER(SEARCH(FHA_Lookup!$A$2:$A$11,UPPER(SUBSTITUTE(O3," ","")))),0)),"OTHER")</f>
        <v/>
      </c>
      <c r="AQ3" s="20">
        <f>IF(AP3="NC",1,0)</f>
        <v/>
      </c>
      <c r="AR3" s="20">
        <f>IF(UPPER(TRIM(P3))="AFF",1,0)</f>
        <v/>
      </c>
      <c r="AS3" s="20">
        <f>IF(UPPER(TRIM(P3))="BAF",1,0)</f>
        <v/>
      </c>
      <c r="AT3" s="20">
        <f>IF(UPPER(TRIM(P3))="MKT",1,0)</f>
        <v/>
      </c>
      <c r="AU3" s="20">
        <f>IF(AO3="221d4",1,0)</f>
        <v/>
      </c>
      <c r="AV3" s="20">
        <f>IF(AO3="223a7",1,0)</f>
        <v/>
      </c>
      <c r="AW3" s="20">
        <f>IF(AO3="232",1,0)</f>
        <v/>
      </c>
      <c r="AX3" s="20">
        <f>IF(AO3="538",1,0)</f>
        <v/>
      </c>
      <c r="AY3" s="20">
        <f>IF(AO3="241",1,0)</f>
        <v/>
      </c>
      <c r="AZ3" s="20">
        <f>IF(AO3="220",1,0)</f>
        <v/>
      </c>
      <c r="BA3" s="20">
        <f>IF(AO3="OTHER",1,0)</f>
        <v/>
      </c>
      <c r="BB3" s="20">
        <f>IF(UPPER(TRIM(C3))="LM",1,0)</f>
        <v/>
      </c>
      <c r="BC3" s="20">
        <f>IF(UPPER(TRIM(C3))="PN",1,0)</f>
        <v/>
      </c>
      <c r="BD3" s="20">
        <f>IF(UPPER(TRIM(C3))="LS",1,0)</f>
        <v/>
      </c>
      <c r="BE3" s="20">
        <f>IF(UPPER(TRIM(C3))="RX",1,0)</f>
        <v/>
      </c>
      <c r="BF3" s="22">
        <f>IFERROR((Parameters!$C$6*AM3+Parameters!$C$7*MAX(AM3-(-150),0)+Parameters!$C$8*MAX(AM3-(-50),0)+Parameters!$C$9*MAX(AM3-(0),0)+Parameters!$C$10*MAX(AM3-(50),0)+Parameters!$C$11*MAX(AM3-(100),0)+Parameters!$C$12*MAX(AM3-(150),0)+Parameters!$C$13*MAX(AM3-(250),0)),0)</f>
        <v/>
      </c>
      <c r="BG3" s="22">
        <f>IFERROR((Parameters!$C$14*AA3+Parameters!$C$15*MAX(AA3-(12),0)+Parameters!$C$16*MAX(AA3-(36),0)+Parameters!$C$17*MAX(AA3-(60),0)+Parameters!$C$18*MAX(AA3-(84),0)+Parameters!$C$19*MAX(AA3-(120),0)+Parameters!$C$20*MAX(AA3-(180),0)),0)</f>
        <v/>
      </c>
      <c r="BH3" s="22">
        <f>IFERROR((Parameters!$C$21*AK3+Parameters!$C$22*MAX(AK3-(0),0)+Parameters!$C$23*MAX(AK3-(2),0)+Parameters!$C$24*MAX(AK3-(5),0)+Parameters!$C$25*MAX(AK3-(8),0)),0)</f>
        <v/>
      </c>
      <c r="BI3" s="22">
        <f>IFERROR((Parameters!$C$26*AI3+Parameters!$C$27*MAX(AI3-(-100),0)+Parameters!$C$28*MAX(AI3-(-25),0)+Parameters!$C$29*MAX(AI3-(25),0)+Parameters!$C$30*MAX(AI3-(100),0)),0)</f>
        <v/>
      </c>
      <c r="BJ3" s="22">
        <f>IFERROR((Parameters!$C$31*AN3+Parameters!$C$32*MAX(AN3-(2),0)+Parameters!$C$33*MAX(AN3-(10),0)+Parameters!$C$34*MAX(AN3-(25),0)),0)</f>
        <v/>
      </c>
      <c r="BK3" s="22">
        <f>IFERROR((Parameters!$C$35*AB3+Parameters!$C$36*MAX(AB3-(12),0)+Parameters!$C$37*MAX(AB3-(24),0)+Parameters!$C$38*MAX(AB3-(60),0)),0)</f>
        <v/>
      </c>
      <c r="BL3" s="22">
        <f>IFERROR((Parameters!$C$39*AC3+Parameters!$C$40*MAX(AC3-(6),0)+Parameters!$C$41*MAX(AC3-(12),0)+Parameters!$C$42*MAX(AC3-(24),0)),0)</f>
        <v/>
      </c>
      <c r="BM3" s="22">
        <f>IFERROR(Parameters!$C$43*(MAX(AM3,0)*MIN(MAX(AK3,0),10))/100,0)</f>
        <v/>
      </c>
      <c r="BN3" s="22">
        <f>Parameters!$C$44*AE3</f>
        <v/>
      </c>
      <c r="BO3" s="22">
        <f>Parameters!$C$45*AU3 + Parameters!$C$46*AV3 + Parameters!$C$47*AW3 + Parameters!$C$48*AX3 + Parameters!$C$49*AY3 + Parameters!$C$50*AZ3 + Parameters!$C$51*BA3</f>
        <v/>
      </c>
      <c r="BP3" s="22">
        <f>Parameters!$C$52*AQ3</f>
        <v/>
      </c>
      <c r="BQ3" s="22">
        <f>Parameters!$C$53*AR3+Parameters!$C$54*AS3+Parameters!$C$55*AT3</f>
        <v/>
      </c>
      <c r="BR3" s="22">
        <f>Parameters!$C$56*BB3+Parameters!$C$57*BC3+Parameters!$C$58*BD3+Parameters!$C$59*BE3</f>
        <v/>
      </c>
      <c r="BS3" s="23">
        <f>Parameters!$B$2</f>
        <v/>
      </c>
      <c r="BT3" s="23">
        <f>BS3+BF3 + BG3 + BH3 + BI3 + BJ3 + BK3 + BL3 + BM3 + BN3 + BO3 + BP3 + BQ3 + BR3</f>
        <v/>
      </c>
      <c r="BU3" s="24">
        <f>IF(AD3=1,0,1/(1+EXP(-BT3))*Parameters!$B$3)</f>
        <v/>
      </c>
      <c r="BV3" s="25">
        <f>(1-(1-BU3)^12)*100</f>
        <v/>
      </c>
      <c r="BW3" s="25">
        <f>IF(AD3=1,0,(1-(1-1/(1+EXP(-Parameters!$B$2)))^12)*100)</f>
        <v/>
      </c>
      <c r="BX3" s="25">
        <f>IF(AD3=1,0,BV3-(1-(1-(1/(1+EXP(-(BT3-BF3)))*Parameters!$B$3))^12)*100)</f>
        <v/>
      </c>
      <c r="BY3" s="25">
        <f>IF(AD3=1,0,BV3-(1-(1-(1/(1+EXP(-(BT3-BG3)))*Parameters!$B$3))^12)*100)</f>
        <v/>
      </c>
      <c r="BZ3" s="25">
        <f>IF(AD3=1,0,BV3-(1-(1-(1/(1+EXP(-(BT3-BH3)))*Parameters!$B$3))^12)*100)</f>
        <v/>
      </c>
      <c r="CA3" s="25">
        <f>IF(AD3=1,0,BV3-(1-(1-(1/(1+EXP(-(BT3-BI3)))*Parameters!$B$3))^12)*100)</f>
        <v/>
      </c>
      <c r="CB3" s="25">
        <f>IF(AD3=1,0,BV3-(1-(1-(1/(1+EXP(-(BT3-BJ3)))*Parameters!$B$3))^12)*100)</f>
        <v/>
      </c>
      <c r="CC3" s="25">
        <f>IF(AD3=1,0,BV3-(1-(1-(1/(1+EXP(-(BT3-BK3)))*Parameters!$B$3))^12)*100)</f>
        <v/>
      </c>
      <c r="CD3" s="25">
        <f>IF(AD3=1,0,BV3-(1-(1-(1/(1+EXP(-(BT3-BL3)))*Parameters!$B$3))^12)*100)</f>
        <v/>
      </c>
      <c r="CE3" s="25">
        <f>IF(AD3=1,0,BV3-(1-(1-(1/(1+EXP(-(BT3-BM3)))*Parameters!$B$3))^12)*100)</f>
        <v/>
      </c>
      <c r="CF3" s="25">
        <f>IF(AD3=1,0,BV3-(1-(1-(1/(1+EXP(-(BT3-BN3)))*Parameters!$B$3))^12)*100)</f>
        <v/>
      </c>
      <c r="CG3" s="25">
        <f>IF(AD3=1,0,BV3-(1-(1-(1/(1+EXP(-(BT3-BO3)))*Parameters!$B$3))^12)*100)</f>
        <v/>
      </c>
      <c r="CH3" s="25">
        <f>IF(AD3=1,0,BV3-(1-(1-(1/(1+EXP(-(BT3-BP3)))*Parameters!$B$3))^12)*100)</f>
        <v/>
      </c>
      <c r="CI3" s="25">
        <f>IF(AD3=1,0,BV3-(1-(1-(1/(1+EXP(-(BT3-BQ3)))*Parameters!$B$3))^12)*100)</f>
        <v/>
      </c>
      <c r="CJ3" s="25">
        <f>IF(AD3=1,0,BV3-(1-(1-(1/(1+EXP(-(BT3-BR3)))*Parameters!$B$3))^12)*100)</f>
        <v/>
      </c>
    </row>
    <row r="4">
      <c r="A4" s="17" t="inlineStr">
        <is>
          <t>GNR_2024_NEW</t>
        </is>
      </c>
      <c r="B4" s="17" t="inlineStr">
        <is>
          <t>3618K96G4</t>
        </is>
      </c>
      <c r="C4" s="17" t="inlineStr">
        <is>
          <t>PN</t>
        </is>
      </c>
      <c r="D4" s="17" t="inlineStr">
        <is>
          <t>GREYSTONE FUNDING COMPANY LLC</t>
        </is>
      </c>
      <c r="E4" s="17" t="inlineStr">
        <is>
          <t>3618K96G4_000000011622044</t>
        </is>
      </c>
      <c r="F4" s="17" t="n">
        <v>202603</v>
      </c>
      <c r="G4" s="18" t="n">
        <v>5.89</v>
      </c>
      <c r="H4" s="19" t="n">
        <v>12467559.02</v>
      </c>
      <c r="I4" s="17" t="n">
        <v>420</v>
      </c>
      <c r="J4" s="17" t="n">
        <v>20250401</v>
      </c>
      <c r="K4" s="17" t="n">
        <v>20600501</v>
      </c>
      <c r="L4" s="17" t="n"/>
      <c r="M4" s="17" t="n">
        <v>20350601</v>
      </c>
      <c r="N4" s="17" t="n">
        <v>10</v>
      </c>
      <c r="O4" s="17" t="inlineStr">
        <is>
          <t>232/223(F)</t>
        </is>
      </c>
      <c r="P4" s="17" t="n"/>
      <c r="Q4" s="17" t="n"/>
      <c r="R4" s="17" t="n"/>
      <c r="S4" s="17" t="n"/>
      <c r="T4" s="17" t="inlineStr">
        <is>
          <t>NM</t>
        </is>
      </c>
      <c r="U4" s="17" t="n">
        <v>32</v>
      </c>
      <c r="V4" s="17" t="n">
        <v>490.5</v>
      </c>
      <c r="W4" s="17" t="n">
        <v>11</v>
      </c>
      <c r="X4" s="17" t="n">
        <v>2025</v>
      </c>
      <c r="Y4" s="17" t="n">
        <v>7</v>
      </c>
      <c r="Z4" s="17" t="n">
        <v>10</v>
      </c>
      <c r="AA4" s="20">
        <f>IF(ISNUMBER(W4),W4,IFERROR(MAX(0,(VALUE(LEFT(F4,4))-VALUE(LEFT(TEXT(J4,"00000000"),4)))*12+(VALUE(MID(F4,5,2))-VALUE(MID(TEXT(J4,"00000000"),5,2)))),""))</f>
        <v/>
      </c>
      <c r="AB4" s="20">
        <f>IFERROR((VALUE(LEFT(TEXT(K4,"00000000"),4))-VALUE(LEFT(F4,4)))*12+(VALUE(MID(TEXT(K4,"00000000"),5,2))-VALUE(MID(F4,5,2))),"")</f>
        <v/>
      </c>
      <c r="AC4" s="20">
        <f>IF(OR(L4="",NOT(ISNUMBER(L4))),0,MAX(0,MIN(60,(VALUE(LEFT(F4,4))-VALUE(LEFT(TEXT(L4,"00000000"),4)))*12+(VALUE(MID(F4,5,2))-VALUE(MID(TEXT(L4,"00000000"),5,2))))))</f>
        <v/>
      </c>
      <c r="AD4" s="20">
        <f>IF(OR(L4="",NOT(ISNUMBER(L4))),0,IF(VALUE(F4)&lt;VALUE(LEFT(TEXT(L4,"00000000"),6)),1,0))</f>
        <v/>
      </c>
      <c r="AE4" s="20">
        <f>IF(OR(M4="",NOT(ISNUMBER(M4))),0,IF(VALUE(F4)&lt;VALUE(LEFT(TEXT(M4,"00000000"),6)),1,0))</f>
        <v/>
      </c>
      <c r="AF4" s="20">
        <f>IF(AND(AD4=0,AE4=0),1,0)</f>
        <v/>
      </c>
      <c r="AG4" s="20">
        <f>IF(ISNUMBER(X4),X4,IFERROR(VALUE(LEFT(TEXT(J4,"00000000"),4)),""))</f>
        <v/>
      </c>
      <c r="AH4" s="20">
        <f>IFERROR(XLOOKUP(AG4,Vintage_Rates!$A$2:$A$1000,Vintage_Rates!$B$2:$B$1000,""),"")</f>
        <v/>
      </c>
      <c r="AI4" s="20">
        <f>IF(ISNUMBER(Y4),Y4,IFERROR((G4-AH4)*100,""))</f>
        <v/>
      </c>
      <c r="AJ4" s="20">
        <f>IF(ISNUMBER(V4),V4,IFERROR(XLOOKUP(VALUE(F4),PLC_Rates!$A$2:$A$1000,PLC_Rates!$B$2:$B$1000,""),""))</f>
        <v/>
      </c>
      <c r="AK4" s="20">
        <f>IF(ISNUMBER(Z4),Z4,IF(AE4=0,0,MAX(0,MIN(10,((VALUE(LEFT(TEXT(M4,"00000000"),4))-VALUE(LEFT(F4,4)))*12+(VALUE(MID(TEXT(M4,"00000000"),5,2))-VALUE(MID(F4,5,2))))/12))))</f>
        <v/>
      </c>
      <c r="AL4" s="20">
        <f>IFERROR(G4*100-AJ4,"")</f>
        <v/>
      </c>
      <c r="AM4" s="20">
        <f>IFERROR(G4*100-(AJ4+(1+AK4)*12.5),"")</f>
        <v/>
      </c>
      <c r="AN4" s="21">
        <f>IFERROR(MIN(H4/1000000,100),"")</f>
        <v/>
      </c>
      <c r="AO4" s="20">
        <f>IFERROR(INDEX(FHA_Lookup!$B$2:$B$11,MATCH(TRUE,ISNUMBER(SEARCH(FHA_Lookup!$A$2:$A$11,UPPER(SUBSTITUTE(O4," ","")))),0)),"OTHER")</f>
        <v/>
      </c>
      <c r="AP4" s="20">
        <f>IFERROR(INDEX(FHA_Lookup!$C$2:$C$11,MATCH(TRUE,ISNUMBER(SEARCH(FHA_Lookup!$A$2:$A$11,UPPER(SUBSTITUTE(O4," ","")))),0)),"OTHER")</f>
        <v/>
      </c>
      <c r="AQ4" s="20">
        <f>IF(AP4="NC",1,0)</f>
        <v/>
      </c>
      <c r="AR4" s="20">
        <f>IF(UPPER(TRIM(P4))="AFF",1,0)</f>
        <v/>
      </c>
      <c r="AS4" s="20">
        <f>IF(UPPER(TRIM(P4))="BAF",1,0)</f>
        <v/>
      </c>
      <c r="AT4" s="20">
        <f>IF(UPPER(TRIM(P4))="MKT",1,0)</f>
        <v/>
      </c>
      <c r="AU4" s="20">
        <f>IF(AO4="221d4",1,0)</f>
        <v/>
      </c>
      <c r="AV4" s="20">
        <f>IF(AO4="223a7",1,0)</f>
        <v/>
      </c>
      <c r="AW4" s="20">
        <f>IF(AO4="232",1,0)</f>
        <v/>
      </c>
      <c r="AX4" s="20">
        <f>IF(AO4="538",1,0)</f>
        <v/>
      </c>
      <c r="AY4" s="20">
        <f>IF(AO4="241",1,0)</f>
        <v/>
      </c>
      <c r="AZ4" s="20">
        <f>IF(AO4="220",1,0)</f>
        <v/>
      </c>
      <c r="BA4" s="20">
        <f>IF(AO4="OTHER",1,0)</f>
        <v/>
      </c>
      <c r="BB4" s="20">
        <f>IF(UPPER(TRIM(C4))="LM",1,0)</f>
        <v/>
      </c>
      <c r="BC4" s="20">
        <f>IF(UPPER(TRIM(C4))="PN",1,0)</f>
        <v/>
      </c>
      <c r="BD4" s="20">
        <f>IF(UPPER(TRIM(C4))="LS",1,0)</f>
        <v/>
      </c>
      <c r="BE4" s="20">
        <f>IF(UPPER(TRIM(C4))="RX",1,0)</f>
        <v/>
      </c>
      <c r="BF4" s="22">
        <f>IFERROR((Parameters!$C$6*AM4+Parameters!$C$7*MAX(AM4-(-150),0)+Parameters!$C$8*MAX(AM4-(-50),0)+Parameters!$C$9*MAX(AM4-(0),0)+Parameters!$C$10*MAX(AM4-(50),0)+Parameters!$C$11*MAX(AM4-(100),0)+Parameters!$C$12*MAX(AM4-(150),0)+Parameters!$C$13*MAX(AM4-(250),0)),0)</f>
        <v/>
      </c>
      <c r="BG4" s="22">
        <f>IFERROR((Parameters!$C$14*AA4+Parameters!$C$15*MAX(AA4-(12),0)+Parameters!$C$16*MAX(AA4-(36),0)+Parameters!$C$17*MAX(AA4-(60),0)+Parameters!$C$18*MAX(AA4-(84),0)+Parameters!$C$19*MAX(AA4-(120),0)+Parameters!$C$20*MAX(AA4-(180),0)),0)</f>
        <v/>
      </c>
      <c r="BH4" s="22">
        <f>IFERROR((Parameters!$C$21*AK4+Parameters!$C$22*MAX(AK4-(0),0)+Parameters!$C$23*MAX(AK4-(2),0)+Parameters!$C$24*MAX(AK4-(5),0)+Parameters!$C$25*MAX(AK4-(8),0)),0)</f>
        <v/>
      </c>
      <c r="BI4" s="22">
        <f>IFERROR((Parameters!$C$26*AI4+Parameters!$C$27*MAX(AI4-(-100),0)+Parameters!$C$28*MAX(AI4-(-25),0)+Parameters!$C$29*MAX(AI4-(25),0)+Parameters!$C$30*MAX(AI4-(100),0)),0)</f>
        <v/>
      </c>
      <c r="BJ4" s="22">
        <f>IFERROR((Parameters!$C$31*AN4+Parameters!$C$32*MAX(AN4-(2),0)+Parameters!$C$33*MAX(AN4-(10),0)+Parameters!$C$34*MAX(AN4-(25),0)),0)</f>
        <v/>
      </c>
      <c r="BK4" s="22">
        <f>IFERROR((Parameters!$C$35*AB4+Parameters!$C$36*MAX(AB4-(12),0)+Parameters!$C$37*MAX(AB4-(24),0)+Parameters!$C$38*MAX(AB4-(60),0)),0)</f>
        <v/>
      </c>
      <c r="BL4" s="22">
        <f>IFERROR((Parameters!$C$39*AC4+Parameters!$C$40*MAX(AC4-(6),0)+Parameters!$C$41*MAX(AC4-(12),0)+Parameters!$C$42*MAX(AC4-(24),0)),0)</f>
        <v/>
      </c>
      <c r="BM4" s="22">
        <f>IFERROR(Parameters!$C$43*(MAX(AM4,0)*MIN(MAX(AK4,0),10))/100,0)</f>
        <v/>
      </c>
      <c r="BN4" s="22">
        <f>Parameters!$C$44*AE4</f>
        <v/>
      </c>
      <c r="BO4" s="22">
        <f>Parameters!$C$45*AU4 + Parameters!$C$46*AV4 + Parameters!$C$47*AW4 + Parameters!$C$48*AX4 + Parameters!$C$49*AY4 + Parameters!$C$50*AZ4 + Parameters!$C$51*BA4</f>
        <v/>
      </c>
      <c r="BP4" s="22">
        <f>Parameters!$C$52*AQ4</f>
        <v/>
      </c>
      <c r="BQ4" s="22">
        <f>Parameters!$C$53*AR4+Parameters!$C$54*AS4+Parameters!$C$55*AT4</f>
        <v/>
      </c>
      <c r="BR4" s="22">
        <f>Parameters!$C$56*BB4+Parameters!$C$57*BC4+Parameters!$C$58*BD4+Parameters!$C$59*BE4</f>
        <v/>
      </c>
      <c r="BS4" s="23">
        <f>Parameters!$B$2</f>
        <v/>
      </c>
      <c r="BT4" s="23">
        <f>BS4+BF4 + BG4 + BH4 + BI4 + BJ4 + BK4 + BL4 + BM4 + BN4 + BO4 + BP4 + BQ4 + BR4</f>
        <v/>
      </c>
      <c r="BU4" s="24">
        <f>IF(AD4=1,0,1/(1+EXP(-BT4))*Parameters!$B$3)</f>
        <v/>
      </c>
      <c r="BV4" s="25">
        <f>(1-(1-BU4)^12)*100</f>
        <v/>
      </c>
      <c r="BW4" s="25">
        <f>IF(AD4=1,0,(1-(1-1/(1+EXP(-Parameters!$B$2)))^12)*100)</f>
        <v/>
      </c>
      <c r="BX4" s="25">
        <f>IF(AD4=1,0,BV4-(1-(1-(1/(1+EXP(-(BT4-BF4)))*Parameters!$B$3))^12)*100)</f>
        <v/>
      </c>
      <c r="BY4" s="25">
        <f>IF(AD4=1,0,BV4-(1-(1-(1/(1+EXP(-(BT4-BG4)))*Parameters!$B$3))^12)*100)</f>
        <v/>
      </c>
      <c r="BZ4" s="25">
        <f>IF(AD4=1,0,BV4-(1-(1-(1/(1+EXP(-(BT4-BH4)))*Parameters!$B$3))^12)*100)</f>
        <v/>
      </c>
      <c r="CA4" s="25">
        <f>IF(AD4=1,0,BV4-(1-(1-(1/(1+EXP(-(BT4-BI4)))*Parameters!$B$3))^12)*100)</f>
        <v/>
      </c>
      <c r="CB4" s="25">
        <f>IF(AD4=1,0,BV4-(1-(1-(1/(1+EXP(-(BT4-BJ4)))*Parameters!$B$3))^12)*100)</f>
        <v/>
      </c>
      <c r="CC4" s="25">
        <f>IF(AD4=1,0,BV4-(1-(1-(1/(1+EXP(-(BT4-BK4)))*Parameters!$B$3))^12)*100)</f>
        <v/>
      </c>
      <c r="CD4" s="25">
        <f>IF(AD4=1,0,BV4-(1-(1-(1/(1+EXP(-(BT4-BL4)))*Parameters!$B$3))^12)*100)</f>
        <v/>
      </c>
      <c r="CE4" s="25">
        <f>IF(AD4=1,0,BV4-(1-(1-(1/(1+EXP(-(BT4-BM4)))*Parameters!$B$3))^12)*100)</f>
        <v/>
      </c>
      <c r="CF4" s="25">
        <f>IF(AD4=1,0,BV4-(1-(1-(1/(1+EXP(-(BT4-BN4)))*Parameters!$B$3))^12)*100)</f>
        <v/>
      </c>
      <c r="CG4" s="25">
        <f>IF(AD4=1,0,BV4-(1-(1-(1/(1+EXP(-(BT4-BO4)))*Parameters!$B$3))^12)*100)</f>
        <v/>
      </c>
      <c r="CH4" s="25">
        <f>IF(AD4=1,0,BV4-(1-(1-(1/(1+EXP(-(BT4-BP4)))*Parameters!$B$3))^12)*100)</f>
        <v/>
      </c>
      <c r="CI4" s="25">
        <f>IF(AD4=1,0,BV4-(1-(1-(1/(1+EXP(-(BT4-BQ4)))*Parameters!$B$3))^12)*100)</f>
        <v/>
      </c>
      <c r="CJ4" s="25">
        <f>IF(AD4=1,0,BV4-(1-(1-(1/(1+EXP(-(BT4-BR4)))*Parameters!$B$3))^12)*100)</f>
        <v/>
      </c>
    </row>
    <row r="5">
      <c r="A5" s="17" t="inlineStr">
        <is>
          <t>GNR_2024_NEW</t>
        </is>
      </c>
      <c r="B5" s="17" t="inlineStr">
        <is>
          <t>3618FH2S0</t>
        </is>
      </c>
      <c r="C5" s="17" t="inlineStr">
        <is>
          <t>PN</t>
        </is>
      </c>
      <c r="D5" s="17" t="inlineStr">
        <is>
          <t>NEWPOINT REAL ESTATE CAPITAL LLC</t>
        </is>
      </c>
      <c r="E5" s="17" t="inlineStr">
        <is>
          <t>3618FH2S0_000000001711297</t>
        </is>
      </c>
      <c r="F5" s="17" t="n">
        <v>202603</v>
      </c>
      <c r="G5" s="18" t="n">
        <v>5.98</v>
      </c>
      <c r="H5" s="19" t="n">
        <v>3566192.33</v>
      </c>
      <c r="I5" s="17" t="n">
        <v>420</v>
      </c>
      <c r="J5" s="17" t="n">
        <v>20240221</v>
      </c>
      <c r="K5" s="17" t="n">
        <v>20590301</v>
      </c>
      <c r="L5" s="17" t="n"/>
      <c r="M5" s="17" t="n">
        <v>20340401</v>
      </c>
      <c r="N5" s="17" t="n">
        <v>10</v>
      </c>
      <c r="O5" s="17" t="inlineStr">
        <is>
          <t>207/223(F)</t>
        </is>
      </c>
      <c r="P5" s="17" t="inlineStr">
        <is>
          <t>MKT</t>
        </is>
      </c>
      <c r="Q5" s="17" t="n"/>
      <c r="R5" s="17" t="n"/>
      <c r="S5" s="17" t="n"/>
      <c r="T5" s="17" t="inlineStr">
        <is>
          <t>CT</t>
        </is>
      </c>
      <c r="U5" s="17" t="n">
        <v>25</v>
      </c>
      <c r="V5" s="17" t="n">
        <v>490.5</v>
      </c>
      <c r="W5" s="17" t="n">
        <v>25</v>
      </c>
      <c r="X5" s="17" t="n">
        <v>2024</v>
      </c>
      <c r="Y5" s="17" t="n">
        <v>20</v>
      </c>
      <c r="Z5" s="17" t="n">
        <v>9</v>
      </c>
      <c r="AA5" s="20">
        <f>IF(ISNUMBER(W5),W5,IFERROR(MAX(0,(VALUE(LEFT(F5,4))-VALUE(LEFT(TEXT(J5,"00000000"),4)))*12+(VALUE(MID(F5,5,2))-VALUE(MID(TEXT(J5,"00000000"),5,2)))),""))</f>
        <v/>
      </c>
      <c r="AB5" s="20">
        <f>IFERROR((VALUE(LEFT(TEXT(K5,"00000000"),4))-VALUE(LEFT(F5,4)))*12+(VALUE(MID(TEXT(K5,"00000000"),5,2))-VALUE(MID(F5,5,2))),"")</f>
        <v/>
      </c>
      <c r="AC5" s="20">
        <f>IF(OR(L5="",NOT(ISNUMBER(L5))),0,MAX(0,MIN(60,(VALUE(LEFT(F5,4))-VALUE(LEFT(TEXT(L5,"00000000"),4)))*12+(VALUE(MID(F5,5,2))-VALUE(MID(TEXT(L5,"00000000"),5,2))))))</f>
        <v/>
      </c>
      <c r="AD5" s="20">
        <f>IF(OR(L5="",NOT(ISNUMBER(L5))),0,IF(VALUE(F5)&lt;VALUE(LEFT(TEXT(L5,"00000000"),6)),1,0))</f>
        <v/>
      </c>
      <c r="AE5" s="20">
        <f>IF(OR(M5="",NOT(ISNUMBER(M5))),0,IF(VALUE(F5)&lt;VALUE(LEFT(TEXT(M5,"00000000"),6)),1,0))</f>
        <v/>
      </c>
      <c r="AF5" s="20">
        <f>IF(AND(AD5=0,AE5=0),1,0)</f>
        <v/>
      </c>
      <c r="AG5" s="20">
        <f>IF(ISNUMBER(X5),X5,IFERROR(VALUE(LEFT(TEXT(J5,"00000000"),4)),""))</f>
        <v/>
      </c>
      <c r="AH5" s="20">
        <f>IFERROR(XLOOKUP(AG5,Vintage_Rates!$A$2:$A$1000,Vintage_Rates!$B$2:$B$1000,""),"")</f>
        <v/>
      </c>
      <c r="AI5" s="20">
        <f>IF(ISNUMBER(Y5),Y5,IFERROR((G5-AH5)*100,""))</f>
        <v/>
      </c>
      <c r="AJ5" s="20">
        <f>IF(ISNUMBER(V5),V5,IFERROR(XLOOKUP(VALUE(F5),PLC_Rates!$A$2:$A$1000,PLC_Rates!$B$2:$B$1000,""),""))</f>
        <v/>
      </c>
      <c r="AK5" s="20">
        <f>IF(ISNUMBER(Z5),Z5,IF(AE5=0,0,MAX(0,MIN(10,((VALUE(LEFT(TEXT(M5,"00000000"),4))-VALUE(LEFT(F5,4)))*12+(VALUE(MID(TEXT(M5,"00000000"),5,2))-VALUE(MID(F5,5,2))))/12))))</f>
        <v/>
      </c>
      <c r="AL5" s="20">
        <f>IFERROR(G5*100-AJ5,"")</f>
        <v/>
      </c>
      <c r="AM5" s="20">
        <f>IFERROR(G5*100-(AJ5+(1+AK5)*12.5),"")</f>
        <v/>
      </c>
      <c r="AN5" s="21">
        <f>IFERROR(MIN(H5/1000000,100),"")</f>
        <v/>
      </c>
      <c r="AO5" s="20">
        <f>IFERROR(INDEX(FHA_Lookup!$B$2:$B$11,MATCH(TRUE,ISNUMBER(SEARCH(FHA_Lookup!$A$2:$A$11,UPPER(SUBSTITUTE(O5," ","")))),0)),"OTHER")</f>
        <v/>
      </c>
      <c r="AP5" s="20">
        <f>IFERROR(INDEX(FHA_Lookup!$C$2:$C$11,MATCH(TRUE,ISNUMBER(SEARCH(FHA_Lookup!$A$2:$A$11,UPPER(SUBSTITUTE(O5," ","")))),0)),"OTHER")</f>
        <v/>
      </c>
      <c r="AQ5" s="20">
        <f>IF(AP5="NC",1,0)</f>
        <v/>
      </c>
      <c r="AR5" s="20">
        <f>IF(UPPER(TRIM(P5))="AFF",1,0)</f>
        <v/>
      </c>
      <c r="AS5" s="20">
        <f>IF(UPPER(TRIM(P5))="BAF",1,0)</f>
        <v/>
      </c>
      <c r="AT5" s="20">
        <f>IF(UPPER(TRIM(P5))="MKT",1,0)</f>
        <v/>
      </c>
      <c r="AU5" s="20">
        <f>IF(AO5="221d4",1,0)</f>
        <v/>
      </c>
      <c r="AV5" s="20">
        <f>IF(AO5="223a7",1,0)</f>
        <v/>
      </c>
      <c r="AW5" s="20">
        <f>IF(AO5="232",1,0)</f>
        <v/>
      </c>
      <c r="AX5" s="20">
        <f>IF(AO5="538",1,0)</f>
        <v/>
      </c>
      <c r="AY5" s="20">
        <f>IF(AO5="241",1,0)</f>
        <v/>
      </c>
      <c r="AZ5" s="20">
        <f>IF(AO5="220",1,0)</f>
        <v/>
      </c>
      <c r="BA5" s="20">
        <f>IF(AO5="OTHER",1,0)</f>
        <v/>
      </c>
      <c r="BB5" s="20">
        <f>IF(UPPER(TRIM(C5))="LM",1,0)</f>
        <v/>
      </c>
      <c r="BC5" s="20">
        <f>IF(UPPER(TRIM(C5))="PN",1,0)</f>
        <v/>
      </c>
      <c r="BD5" s="20">
        <f>IF(UPPER(TRIM(C5))="LS",1,0)</f>
        <v/>
      </c>
      <c r="BE5" s="20">
        <f>IF(UPPER(TRIM(C5))="RX",1,0)</f>
        <v/>
      </c>
      <c r="BF5" s="22">
        <f>IFERROR((Parameters!$C$6*AM5+Parameters!$C$7*MAX(AM5-(-150),0)+Parameters!$C$8*MAX(AM5-(-50),0)+Parameters!$C$9*MAX(AM5-(0),0)+Parameters!$C$10*MAX(AM5-(50),0)+Parameters!$C$11*MAX(AM5-(100),0)+Parameters!$C$12*MAX(AM5-(150),0)+Parameters!$C$13*MAX(AM5-(250),0)),0)</f>
        <v/>
      </c>
      <c r="BG5" s="22">
        <f>IFERROR((Parameters!$C$14*AA5+Parameters!$C$15*MAX(AA5-(12),0)+Parameters!$C$16*MAX(AA5-(36),0)+Parameters!$C$17*MAX(AA5-(60),0)+Parameters!$C$18*MAX(AA5-(84),0)+Parameters!$C$19*MAX(AA5-(120),0)+Parameters!$C$20*MAX(AA5-(180),0)),0)</f>
        <v/>
      </c>
      <c r="BH5" s="22">
        <f>IFERROR((Parameters!$C$21*AK5+Parameters!$C$22*MAX(AK5-(0),0)+Parameters!$C$23*MAX(AK5-(2),0)+Parameters!$C$24*MAX(AK5-(5),0)+Parameters!$C$25*MAX(AK5-(8),0)),0)</f>
        <v/>
      </c>
      <c r="BI5" s="22">
        <f>IFERROR((Parameters!$C$26*AI5+Parameters!$C$27*MAX(AI5-(-100),0)+Parameters!$C$28*MAX(AI5-(-25),0)+Parameters!$C$29*MAX(AI5-(25),0)+Parameters!$C$30*MAX(AI5-(100),0)),0)</f>
        <v/>
      </c>
      <c r="BJ5" s="22">
        <f>IFERROR((Parameters!$C$31*AN5+Parameters!$C$32*MAX(AN5-(2),0)+Parameters!$C$33*MAX(AN5-(10),0)+Parameters!$C$34*MAX(AN5-(25),0)),0)</f>
        <v/>
      </c>
      <c r="BK5" s="22">
        <f>IFERROR((Parameters!$C$35*AB5+Parameters!$C$36*MAX(AB5-(12),0)+Parameters!$C$37*MAX(AB5-(24),0)+Parameters!$C$38*MAX(AB5-(60),0)),0)</f>
        <v/>
      </c>
      <c r="BL5" s="22">
        <f>IFERROR((Parameters!$C$39*AC5+Parameters!$C$40*MAX(AC5-(6),0)+Parameters!$C$41*MAX(AC5-(12),0)+Parameters!$C$42*MAX(AC5-(24),0)),0)</f>
        <v/>
      </c>
      <c r="BM5" s="22">
        <f>IFERROR(Parameters!$C$43*(MAX(AM5,0)*MIN(MAX(AK5,0),10))/100,0)</f>
        <v/>
      </c>
      <c r="BN5" s="22">
        <f>Parameters!$C$44*AE5</f>
        <v/>
      </c>
      <c r="BO5" s="22">
        <f>Parameters!$C$45*AU5 + Parameters!$C$46*AV5 + Parameters!$C$47*AW5 + Parameters!$C$48*AX5 + Parameters!$C$49*AY5 + Parameters!$C$50*AZ5 + Parameters!$C$51*BA5</f>
        <v/>
      </c>
      <c r="BP5" s="22">
        <f>Parameters!$C$52*AQ5</f>
        <v/>
      </c>
      <c r="BQ5" s="22">
        <f>Parameters!$C$53*AR5+Parameters!$C$54*AS5+Parameters!$C$55*AT5</f>
        <v/>
      </c>
      <c r="BR5" s="22">
        <f>Parameters!$C$56*BB5+Parameters!$C$57*BC5+Parameters!$C$58*BD5+Parameters!$C$59*BE5</f>
        <v/>
      </c>
      <c r="BS5" s="23">
        <f>Parameters!$B$2</f>
        <v/>
      </c>
      <c r="BT5" s="23">
        <f>BS5+BF5 + BG5 + BH5 + BI5 + BJ5 + BK5 + BL5 + BM5 + BN5 + BO5 + BP5 + BQ5 + BR5</f>
        <v/>
      </c>
      <c r="BU5" s="24">
        <f>IF(AD5=1,0,1/(1+EXP(-BT5))*Parameters!$B$3)</f>
        <v/>
      </c>
      <c r="BV5" s="25">
        <f>(1-(1-BU5)^12)*100</f>
        <v/>
      </c>
      <c r="BW5" s="25">
        <f>IF(AD5=1,0,(1-(1-1/(1+EXP(-Parameters!$B$2)))^12)*100)</f>
        <v/>
      </c>
      <c r="BX5" s="25">
        <f>IF(AD5=1,0,BV5-(1-(1-(1/(1+EXP(-(BT5-BF5)))*Parameters!$B$3))^12)*100)</f>
        <v/>
      </c>
      <c r="BY5" s="25">
        <f>IF(AD5=1,0,BV5-(1-(1-(1/(1+EXP(-(BT5-BG5)))*Parameters!$B$3))^12)*100)</f>
        <v/>
      </c>
      <c r="BZ5" s="25">
        <f>IF(AD5=1,0,BV5-(1-(1-(1/(1+EXP(-(BT5-BH5)))*Parameters!$B$3))^12)*100)</f>
        <v/>
      </c>
      <c r="CA5" s="25">
        <f>IF(AD5=1,0,BV5-(1-(1-(1/(1+EXP(-(BT5-BI5)))*Parameters!$B$3))^12)*100)</f>
        <v/>
      </c>
      <c r="CB5" s="25">
        <f>IF(AD5=1,0,BV5-(1-(1-(1/(1+EXP(-(BT5-BJ5)))*Parameters!$B$3))^12)*100)</f>
        <v/>
      </c>
      <c r="CC5" s="25">
        <f>IF(AD5=1,0,BV5-(1-(1-(1/(1+EXP(-(BT5-BK5)))*Parameters!$B$3))^12)*100)</f>
        <v/>
      </c>
      <c r="CD5" s="25">
        <f>IF(AD5=1,0,BV5-(1-(1-(1/(1+EXP(-(BT5-BL5)))*Parameters!$B$3))^12)*100)</f>
        <v/>
      </c>
      <c r="CE5" s="25">
        <f>IF(AD5=1,0,BV5-(1-(1-(1/(1+EXP(-(BT5-BM5)))*Parameters!$B$3))^12)*100)</f>
        <v/>
      </c>
      <c r="CF5" s="25">
        <f>IF(AD5=1,0,BV5-(1-(1-(1/(1+EXP(-(BT5-BN5)))*Parameters!$B$3))^12)*100)</f>
        <v/>
      </c>
      <c r="CG5" s="25">
        <f>IF(AD5=1,0,BV5-(1-(1-(1/(1+EXP(-(BT5-BO5)))*Parameters!$B$3))^12)*100)</f>
        <v/>
      </c>
      <c r="CH5" s="25">
        <f>IF(AD5=1,0,BV5-(1-(1-(1/(1+EXP(-(BT5-BP5)))*Parameters!$B$3))^12)*100)</f>
        <v/>
      </c>
      <c r="CI5" s="25">
        <f>IF(AD5=1,0,BV5-(1-(1-(1/(1+EXP(-(BT5-BQ5)))*Parameters!$B$3))^12)*100)</f>
        <v/>
      </c>
      <c r="CJ5" s="25">
        <f>IF(AD5=1,0,BV5-(1-(1-(1/(1+EXP(-(BT5-BR5)))*Parameters!$B$3))^12)*100)</f>
        <v/>
      </c>
    </row>
    <row r="6">
      <c r="A6" s="17" t="inlineStr">
        <is>
          <t>GNR_2024_NEW</t>
        </is>
      </c>
      <c r="B6" s="17" t="inlineStr">
        <is>
          <t>3617XHQ56</t>
        </is>
      </c>
      <c r="C6" s="17" t="inlineStr">
        <is>
          <t>PN</t>
        </is>
      </c>
      <c r="D6" s="17" t="inlineStr">
        <is>
          <t>COLUMBIANATIONAL REAL ESTATE FINANCE, LL</t>
        </is>
      </c>
      <c r="E6" s="17" t="inlineStr">
        <is>
          <t>3617XHQ56_000000003411314</t>
        </is>
      </c>
      <c r="F6" s="17" t="n">
        <v>202603</v>
      </c>
      <c r="G6" s="18" t="n">
        <v>5.73</v>
      </c>
      <c r="H6" s="19" t="n">
        <v>4785391.56</v>
      </c>
      <c r="I6" s="17" t="n">
        <v>420</v>
      </c>
      <c r="J6" s="17" t="n">
        <v>20250501</v>
      </c>
      <c r="K6" s="17" t="n">
        <v>20600601</v>
      </c>
      <c r="L6" s="17" t="n"/>
      <c r="M6" s="17" t="n">
        <v>20350701</v>
      </c>
      <c r="N6" s="17" t="n">
        <v>10</v>
      </c>
      <c r="O6" s="17" t="inlineStr">
        <is>
          <t>207/223(F)</t>
        </is>
      </c>
      <c r="P6" s="17" t="n"/>
      <c r="Q6" s="17" t="n"/>
      <c r="R6" s="17" t="n"/>
      <c r="S6" s="17" t="n"/>
      <c r="T6" s="17" t="inlineStr">
        <is>
          <t>PA</t>
        </is>
      </c>
      <c r="U6" s="17" t="n">
        <v>42</v>
      </c>
      <c r="V6" s="17" t="n">
        <v>490.5</v>
      </c>
      <c r="W6" s="17" t="n">
        <v>10</v>
      </c>
      <c r="X6" s="17" t="n">
        <v>2025</v>
      </c>
      <c r="Y6" s="17" t="n">
        <v>-9</v>
      </c>
      <c r="Z6" s="17" t="n">
        <v>10</v>
      </c>
      <c r="AA6" s="20">
        <f>IF(ISNUMBER(W6),W6,IFERROR(MAX(0,(VALUE(LEFT(F6,4))-VALUE(LEFT(TEXT(J6,"00000000"),4)))*12+(VALUE(MID(F6,5,2))-VALUE(MID(TEXT(J6,"00000000"),5,2)))),""))</f>
        <v/>
      </c>
      <c r="AB6" s="20">
        <f>IFERROR((VALUE(LEFT(TEXT(K6,"00000000"),4))-VALUE(LEFT(F6,4)))*12+(VALUE(MID(TEXT(K6,"00000000"),5,2))-VALUE(MID(F6,5,2))),"")</f>
        <v/>
      </c>
      <c r="AC6" s="20">
        <f>IF(OR(L6="",NOT(ISNUMBER(L6))),0,MAX(0,MIN(60,(VALUE(LEFT(F6,4))-VALUE(LEFT(TEXT(L6,"00000000"),4)))*12+(VALUE(MID(F6,5,2))-VALUE(MID(TEXT(L6,"00000000"),5,2))))))</f>
        <v/>
      </c>
      <c r="AD6" s="20">
        <f>IF(OR(L6="",NOT(ISNUMBER(L6))),0,IF(VALUE(F6)&lt;VALUE(LEFT(TEXT(L6,"00000000"),6)),1,0))</f>
        <v/>
      </c>
      <c r="AE6" s="20">
        <f>IF(OR(M6="",NOT(ISNUMBER(M6))),0,IF(VALUE(F6)&lt;VALUE(LEFT(TEXT(M6,"00000000"),6)),1,0))</f>
        <v/>
      </c>
      <c r="AF6" s="20">
        <f>IF(AND(AD6=0,AE6=0),1,0)</f>
        <v/>
      </c>
      <c r="AG6" s="20">
        <f>IF(ISNUMBER(X6),X6,IFERROR(VALUE(LEFT(TEXT(J6,"00000000"),4)),""))</f>
        <v/>
      </c>
      <c r="AH6" s="20">
        <f>IFERROR(XLOOKUP(AG6,Vintage_Rates!$A$2:$A$1000,Vintage_Rates!$B$2:$B$1000,""),"")</f>
        <v/>
      </c>
      <c r="AI6" s="20">
        <f>IF(ISNUMBER(Y6),Y6,IFERROR((G6-AH6)*100,""))</f>
        <v/>
      </c>
      <c r="AJ6" s="20">
        <f>IF(ISNUMBER(V6),V6,IFERROR(XLOOKUP(VALUE(F6),PLC_Rates!$A$2:$A$1000,PLC_Rates!$B$2:$B$1000,""),""))</f>
        <v/>
      </c>
      <c r="AK6" s="20">
        <f>IF(ISNUMBER(Z6),Z6,IF(AE6=0,0,MAX(0,MIN(10,((VALUE(LEFT(TEXT(M6,"00000000"),4))-VALUE(LEFT(F6,4)))*12+(VALUE(MID(TEXT(M6,"00000000"),5,2))-VALUE(MID(F6,5,2))))/12))))</f>
        <v/>
      </c>
      <c r="AL6" s="20">
        <f>IFERROR(G6*100-AJ6,"")</f>
        <v/>
      </c>
      <c r="AM6" s="20">
        <f>IFERROR(G6*100-(AJ6+(1+AK6)*12.5),"")</f>
        <v/>
      </c>
      <c r="AN6" s="21">
        <f>IFERROR(MIN(H6/1000000,100),"")</f>
        <v/>
      </c>
      <c r="AO6" s="20">
        <f>IFERROR(INDEX(FHA_Lookup!$B$2:$B$11,MATCH(TRUE,ISNUMBER(SEARCH(FHA_Lookup!$A$2:$A$11,UPPER(SUBSTITUTE(O6," ","")))),0)),"OTHER")</f>
        <v/>
      </c>
      <c r="AP6" s="20">
        <f>IFERROR(INDEX(FHA_Lookup!$C$2:$C$11,MATCH(TRUE,ISNUMBER(SEARCH(FHA_Lookup!$A$2:$A$11,UPPER(SUBSTITUTE(O6," ","")))),0)),"OTHER")</f>
        <v/>
      </c>
      <c r="AQ6" s="20">
        <f>IF(AP6="NC",1,0)</f>
        <v/>
      </c>
      <c r="AR6" s="20">
        <f>IF(UPPER(TRIM(P6))="AFF",1,0)</f>
        <v/>
      </c>
      <c r="AS6" s="20">
        <f>IF(UPPER(TRIM(P6))="BAF",1,0)</f>
        <v/>
      </c>
      <c r="AT6" s="20">
        <f>IF(UPPER(TRIM(P6))="MKT",1,0)</f>
        <v/>
      </c>
      <c r="AU6" s="20">
        <f>IF(AO6="221d4",1,0)</f>
        <v/>
      </c>
      <c r="AV6" s="20">
        <f>IF(AO6="223a7",1,0)</f>
        <v/>
      </c>
      <c r="AW6" s="20">
        <f>IF(AO6="232",1,0)</f>
        <v/>
      </c>
      <c r="AX6" s="20">
        <f>IF(AO6="538",1,0)</f>
        <v/>
      </c>
      <c r="AY6" s="20">
        <f>IF(AO6="241",1,0)</f>
        <v/>
      </c>
      <c r="AZ6" s="20">
        <f>IF(AO6="220",1,0)</f>
        <v/>
      </c>
      <c r="BA6" s="20">
        <f>IF(AO6="OTHER",1,0)</f>
        <v/>
      </c>
      <c r="BB6" s="20">
        <f>IF(UPPER(TRIM(C6))="LM",1,0)</f>
        <v/>
      </c>
      <c r="BC6" s="20">
        <f>IF(UPPER(TRIM(C6))="PN",1,0)</f>
        <v/>
      </c>
      <c r="BD6" s="20">
        <f>IF(UPPER(TRIM(C6))="LS",1,0)</f>
        <v/>
      </c>
      <c r="BE6" s="20">
        <f>IF(UPPER(TRIM(C6))="RX",1,0)</f>
        <v/>
      </c>
      <c r="BF6" s="22">
        <f>IFERROR((Parameters!$C$6*AM6+Parameters!$C$7*MAX(AM6-(-150),0)+Parameters!$C$8*MAX(AM6-(-50),0)+Parameters!$C$9*MAX(AM6-(0),0)+Parameters!$C$10*MAX(AM6-(50),0)+Parameters!$C$11*MAX(AM6-(100),0)+Parameters!$C$12*MAX(AM6-(150),0)+Parameters!$C$13*MAX(AM6-(250),0)),0)</f>
        <v/>
      </c>
      <c r="BG6" s="22">
        <f>IFERROR((Parameters!$C$14*AA6+Parameters!$C$15*MAX(AA6-(12),0)+Parameters!$C$16*MAX(AA6-(36),0)+Parameters!$C$17*MAX(AA6-(60),0)+Parameters!$C$18*MAX(AA6-(84),0)+Parameters!$C$19*MAX(AA6-(120),0)+Parameters!$C$20*MAX(AA6-(180),0)),0)</f>
        <v/>
      </c>
      <c r="BH6" s="22">
        <f>IFERROR((Parameters!$C$21*AK6+Parameters!$C$22*MAX(AK6-(0),0)+Parameters!$C$23*MAX(AK6-(2),0)+Parameters!$C$24*MAX(AK6-(5),0)+Parameters!$C$25*MAX(AK6-(8),0)),0)</f>
        <v/>
      </c>
      <c r="BI6" s="22">
        <f>IFERROR((Parameters!$C$26*AI6+Parameters!$C$27*MAX(AI6-(-100),0)+Parameters!$C$28*MAX(AI6-(-25),0)+Parameters!$C$29*MAX(AI6-(25),0)+Parameters!$C$30*MAX(AI6-(100),0)),0)</f>
        <v/>
      </c>
      <c r="BJ6" s="22">
        <f>IFERROR((Parameters!$C$31*AN6+Parameters!$C$32*MAX(AN6-(2),0)+Parameters!$C$33*MAX(AN6-(10),0)+Parameters!$C$34*MAX(AN6-(25),0)),0)</f>
        <v/>
      </c>
      <c r="BK6" s="22">
        <f>IFERROR((Parameters!$C$35*AB6+Parameters!$C$36*MAX(AB6-(12),0)+Parameters!$C$37*MAX(AB6-(24),0)+Parameters!$C$38*MAX(AB6-(60),0)),0)</f>
        <v/>
      </c>
      <c r="BL6" s="22">
        <f>IFERROR((Parameters!$C$39*AC6+Parameters!$C$40*MAX(AC6-(6),0)+Parameters!$C$41*MAX(AC6-(12),0)+Parameters!$C$42*MAX(AC6-(24),0)),0)</f>
        <v/>
      </c>
      <c r="BM6" s="22">
        <f>IFERROR(Parameters!$C$43*(MAX(AM6,0)*MIN(MAX(AK6,0),10))/100,0)</f>
        <v/>
      </c>
      <c r="BN6" s="22">
        <f>Parameters!$C$44*AE6</f>
        <v/>
      </c>
      <c r="BO6" s="22">
        <f>Parameters!$C$45*AU6 + Parameters!$C$46*AV6 + Parameters!$C$47*AW6 + Parameters!$C$48*AX6 + Parameters!$C$49*AY6 + Parameters!$C$50*AZ6 + Parameters!$C$51*BA6</f>
        <v/>
      </c>
      <c r="BP6" s="22">
        <f>Parameters!$C$52*AQ6</f>
        <v/>
      </c>
      <c r="BQ6" s="22">
        <f>Parameters!$C$53*AR6+Parameters!$C$54*AS6+Parameters!$C$55*AT6</f>
        <v/>
      </c>
      <c r="BR6" s="22">
        <f>Parameters!$C$56*BB6+Parameters!$C$57*BC6+Parameters!$C$58*BD6+Parameters!$C$59*BE6</f>
        <v/>
      </c>
      <c r="BS6" s="23">
        <f>Parameters!$B$2</f>
        <v/>
      </c>
      <c r="BT6" s="23">
        <f>BS6+BF6 + BG6 + BH6 + BI6 + BJ6 + BK6 + BL6 + BM6 + BN6 + BO6 + BP6 + BQ6 + BR6</f>
        <v/>
      </c>
      <c r="BU6" s="24">
        <f>IF(AD6=1,0,1/(1+EXP(-BT6))*Parameters!$B$3)</f>
        <v/>
      </c>
      <c r="BV6" s="25">
        <f>(1-(1-BU6)^12)*100</f>
        <v/>
      </c>
      <c r="BW6" s="25">
        <f>IF(AD6=1,0,(1-(1-1/(1+EXP(-Parameters!$B$2)))^12)*100)</f>
        <v/>
      </c>
      <c r="BX6" s="25">
        <f>IF(AD6=1,0,BV6-(1-(1-(1/(1+EXP(-(BT6-BF6)))*Parameters!$B$3))^12)*100)</f>
        <v/>
      </c>
      <c r="BY6" s="25">
        <f>IF(AD6=1,0,BV6-(1-(1-(1/(1+EXP(-(BT6-BG6)))*Parameters!$B$3))^12)*100)</f>
        <v/>
      </c>
      <c r="BZ6" s="25">
        <f>IF(AD6=1,0,BV6-(1-(1-(1/(1+EXP(-(BT6-BH6)))*Parameters!$B$3))^12)*100)</f>
        <v/>
      </c>
      <c r="CA6" s="25">
        <f>IF(AD6=1,0,BV6-(1-(1-(1/(1+EXP(-(BT6-BI6)))*Parameters!$B$3))^12)*100)</f>
        <v/>
      </c>
      <c r="CB6" s="25">
        <f>IF(AD6=1,0,BV6-(1-(1-(1/(1+EXP(-(BT6-BJ6)))*Parameters!$B$3))^12)*100)</f>
        <v/>
      </c>
      <c r="CC6" s="25">
        <f>IF(AD6=1,0,BV6-(1-(1-(1/(1+EXP(-(BT6-BK6)))*Parameters!$B$3))^12)*100)</f>
        <v/>
      </c>
      <c r="CD6" s="25">
        <f>IF(AD6=1,0,BV6-(1-(1-(1/(1+EXP(-(BT6-BL6)))*Parameters!$B$3))^12)*100)</f>
        <v/>
      </c>
      <c r="CE6" s="25">
        <f>IF(AD6=1,0,BV6-(1-(1-(1/(1+EXP(-(BT6-BM6)))*Parameters!$B$3))^12)*100)</f>
        <v/>
      </c>
      <c r="CF6" s="25">
        <f>IF(AD6=1,0,BV6-(1-(1-(1/(1+EXP(-(BT6-BN6)))*Parameters!$B$3))^12)*100)</f>
        <v/>
      </c>
      <c r="CG6" s="25">
        <f>IF(AD6=1,0,BV6-(1-(1-(1/(1+EXP(-(BT6-BO6)))*Parameters!$B$3))^12)*100)</f>
        <v/>
      </c>
      <c r="CH6" s="25">
        <f>IF(AD6=1,0,BV6-(1-(1-(1/(1+EXP(-(BT6-BP6)))*Parameters!$B$3))^12)*100)</f>
        <v/>
      </c>
      <c r="CI6" s="25">
        <f>IF(AD6=1,0,BV6-(1-(1-(1/(1+EXP(-(BT6-BQ6)))*Parameters!$B$3))^12)*100)</f>
        <v/>
      </c>
      <c r="CJ6" s="25">
        <f>IF(AD6=1,0,BV6-(1-(1-(1/(1+EXP(-(BT6-BR6)))*Parameters!$B$3))^12)*100)</f>
        <v/>
      </c>
    </row>
    <row r="7">
      <c r="A7" s="17" t="inlineStr">
        <is>
          <t>GNR_2024_NEW</t>
        </is>
      </c>
      <c r="B7" s="17" t="inlineStr">
        <is>
          <t>3618L6QB8</t>
        </is>
      </c>
      <c r="C7" s="17" t="inlineStr">
        <is>
          <t>PN</t>
        </is>
      </c>
      <c r="D7" s="17" t="inlineStr">
        <is>
          <t>KEYBANK NATIONAL ASSOCIATION</t>
        </is>
      </c>
      <c r="E7" s="17" t="inlineStr">
        <is>
          <t>3618L6QB8_000000005322284</t>
        </is>
      </c>
      <c r="F7" s="17" t="n">
        <v>202603</v>
      </c>
      <c r="G7" s="18" t="n">
        <v>5.4</v>
      </c>
      <c r="H7" s="19" t="n">
        <v>21113918.59</v>
      </c>
      <c r="I7" s="17" t="n">
        <v>420</v>
      </c>
      <c r="J7" s="17" t="n">
        <v>20250901</v>
      </c>
      <c r="K7" s="17" t="n">
        <v>20601001</v>
      </c>
      <c r="L7" s="17" t="n"/>
      <c r="M7" s="17" t="n">
        <v>20351031</v>
      </c>
      <c r="N7" s="17" t="n">
        <v>10</v>
      </c>
      <c r="O7" s="17" t="inlineStr">
        <is>
          <t>232/223(F)</t>
        </is>
      </c>
      <c r="P7" s="17" t="n"/>
      <c r="Q7" s="17" t="n"/>
      <c r="R7" s="17" t="n"/>
      <c r="S7" s="17" t="n"/>
      <c r="T7" s="17" t="inlineStr">
        <is>
          <t>NC</t>
        </is>
      </c>
      <c r="U7" s="17" t="n">
        <v>40</v>
      </c>
      <c r="V7" s="17" t="n">
        <v>490.5</v>
      </c>
      <c r="W7" s="17" t="n">
        <v>6</v>
      </c>
      <c r="X7" s="17" t="n">
        <v>2025</v>
      </c>
      <c r="Y7" s="17" t="n">
        <v>-42</v>
      </c>
      <c r="Z7" s="17" t="n">
        <v>10</v>
      </c>
      <c r="AA7" s="20">
        <f>IF(ISNUMBER(W7),W7,IFERROR(MAX(0,(VALUE(LEFT(F7,4))-VALUE(LEFT(TEXT(J7,"00000000"),4)))*12+(VALUE(MID(F7,5,2))-VALUE(MID(TEXT(J7,"00000000"),5,2)))),""))</f>
        <v/>
      </c>
      <c r="AB7" s="20">
        <f>IFERROR((VALUE(LEFT(TEXT(K7,"00000000"),4))-VALUE(LEFT(F7,4)))*12+(VALUE(MID(TEXT(K7,"00000000"),5,2))-VALUE(MID(F7,5,2))),"")</f>
        <v/>
      </c>
      <c r="AC7" s="20">
        <f>IF(OR(L7="",NOT(ISNUMBER(L7))),0,MAX(0,MIN(60,(VALUE(LEFT(F7,4))-VALUE(LEFT(TEXT(L7,"00000000"),4)))*12+(VALUE(MID(F7,5,2))-VALUE(MID(TEXT(L7,"00000000"),5,2))))))</f>
        <v/>
      </c>
      <c r="AD7" s="20">
        <f>IF(OR(L7="",NOT(ISNUMBER(L7))),0,IF(VALUE(F7)&lt;VALUE(LEFT(TEXT(L7,"00000000"),6)),1,0))</f>
        <v/>
      </c>
      <c r="AE7" s="20">
        <f>IF(OR(M7="",NOT(ISNUMBER(M7))),0,IF(VALUE(F7)&lt;VALUE(LEFT(TEXT(M7,"00000000"),6)),1,0))</f>
        <v/>
      </c>
      <c r="AF7" s="20">
        <f>IF(AND(AD7=0,AE7=0),1,0)</f>
        <v/>
      </c>
      <c r="AG7" s="20">
        <f>IF(ISNUMBER(X7),X7,IFERROR(VALUE(LEFT(TEXT(J7,"00000000"),4)),""))</f>
        <v/>
      </c>
      <c r="AH7" s="20">
        <f>IFERROR(XLOOKUP(AG7,Vintage_Rates!$A$2:$A$1000,Vintage_Rates!$B$2:$B$1000,""),"")</f>
        <v/>
      </c>
      <c r="AI7" s="20">
        <f>IF(ISNUMBER(Y7),Y7,IFERROR((G7-AH7)*100,""))</f>
        <v/>
      </c>
      <c r="AJ7" s="20">
        <f>IF(ISNUMBER(V7),V7,IFERROR(XLOOKUP(VALUE(F7),PLC_Rates!$A$2:$A$1000,PLC_Rates!$B$2:$B$1000,""),""))</f>
        <v/>
      </c>
      <c r="AK7" s="20">
        <f>IF(ISNUMBER(Z7),Z7,IF(AE7=0,0,MAX(0,MIN(10,((VALUE(LEFT(TEXT(M7,"00000000"),4))-VALUE(LEFT(F7,4)))*12+(VALUE(MID(TEXT(M7,"00000000"),5,2))-VALUE(MID(F7,5,2))))/12))))</f>
        <v/>
      </c>
      <c r="AL7" s="20">
        <f>IFERROR(G7*100-AJ7,"")</f>
        <v/>
      </c>
      <c r="AM7" s="20">
        <f>IFERROR(G7*100-(AJ7+(1+AK7)*12.5),"")</f>
        <v/>
      </c>
      <c r="AN7" s="21">
        <f>IFERROR(MIN(H7/1000000,100),"")</f>
        <v/>
      </c>
      <c r="AO7" s="20">
        <f>IFERROR(INDEX(FHA_Lookup!$B$2:$B$11,MATCH(TRUE,ISNUMBER(SEARCH(FHA_Lookup!$A$2:$A$11,UPPER(SUBSTITUTE(O7," ","")))),0)),"OTHER")</f>
        <v/>
      </c>
      <c r="AP7" s="20">
        <f>IFERROR(INDEX(FHA_Lookup!$C$2:$C$11,MATCH(TRUE,ISNUMBER(SEARCH(FHA_Lookup!$A$2:$A$11,UPPER(SUBSTITUTE(O7," ","")))),0)),"OTHER")</f>
        <v/>
      </c>
      <c r="AQ7" s="20">
        <f>IF(AP7="NC",1,0)</f>
        <v/>
      </c>
      <c r="AR7" s="20">
        <f>IF(UPPER(TRIM(P7))="AFF",1,0)</f>
        <v/>
      </c>
      <c r="AS7" s="20">
        <f>IF(UPPER(TRIM(P7))="BAF",1,0)</f>
        <v/>
      </c>
      <c r="AT7" s="20">
        <f>IF(UPPER(TRIM(P7))="MKT",1,0)</f>
        <v/>
      </c>
      <c r="AU7" s="20">
        <f>IF(AO7="221d4",1,0)</f>
        <v/>
      </c>
      <c r="AV7" s="20">
        <f>IF(AO7="223a7",1,0)</f>
        <v/>
      </c>
      <c r="AW7" s="20">
        <f>IF(AO7="232",1,0)</f>
        <v/>
      </c>
      <c r="AX7" s="20">
        <f>IF(AO7="538",1,0)</f>
        <v/>
      </c>
      <c r="AY7" s="20">
        <f>IF(AO7="241",1,0)</f>
        <v/>
      </c>
      <c r="AZ7" s="20">
        <f>IF(AO7="220",1,0)</f>
        <v/>
      </c>
      <c r="BA7" s="20">
        <f>IF(AO7="OTHER",1,0)</f>
        <v/>
      </c>
      <c r="BB7" s="20">
        <f>IF(UPPER(TRIM(C7))="LM",1,0)</f>
        <v/>
      </c>
      <c r="BC7" s="20">
        <f>IF(UPPER(TRIM(C7))="PN",1,0)</f>
        <v/>
      </c>
      <c r="BD7" s="20">
        <f>IF(UPPER(TRIM(C7))="LS",1,0)</f>
        <v/>
      </c>
      <c r="BE7" s="20">
        <f>IF(UPPER(TRIM(C7))="RX",1,0)</f>
        <v/>
      </c>
      <c r="BF7" s="22">
        <f>IFERROR((Parameters!$C$6*AM7+Parameters!$C$7*MAX(AM7-(-150),0)+Parameters!$C$8*MAX(AM7-(-50),0)+Parameters!$C$9*MAX(AM7-(0),0)+Parameters!$C$10*MAX(AM7-(50),0)+Parameters!$C$11*MAX(AM7-(100),0)+Parameters!$C$12*MAX(AM7-(150),0)+Parameters!$C$13*MAX(AM7-(250),0)),0)</f>
        <v/>
      </c>
      <c r="BG7" s="22">
        <f>IFERROR((Parameters!$C$14*AA7+Parameters!$C$15*MAX(AA7-(12),0)+Parameters!$C$16*MAX(AA7-(36),0)+Parameters!$C$17*MAX(AA7-(60),0)+Parameters!$C$18*MAX(AA7-(84),0)+Parameters!$C$19*MAX(AA7-(120),0)+Parameters!$C$20*MAX(AA7-(180),0)),0)</f>
        <v/>
      </c>
      <c r="BH7" s="22">
        <f>IFERROR((Parameters!$C$21*AK7+Parameters!$C$22*MAX(AK7-(0),0)+Parameters!$C$23*MAX(AK7-(2),0)+Parameters!$C$24*MAX(AK7-(5),0)+Parameters!$C$25*MAX(AK7-(8),0)),0)</f>
        <v/>
      </c>
      <c r="BI7" s="22">
        <f>IFERROR((Parameters!$C$26*AI7+Parameters!$C$27*MAX(AI7-(-100),0)+Parameters!$C$28*MAX(AI7-(-25),0)+Parameters!$C$29*MAX(AI7-(25),0)+Parameters!$C$30*MAX(AI7-(100),0)),0)</f>
        <v/>
      </c>
      <c r="BJ7" s="22">
        <f>IFERROR((Parameters!$C$31*AN7+Parameters!$C$32*MAX(AN7-(2),0)+Parameters!$C$33*MAX(AN7-(10),0)+Parameters!$C$34*MAX(AN7-(25),0)),0)</f>
        <v/>
      </c>
      <c r="BK7" s="22">
        <f>IFERROR((Parameters!$C$35*AB7+Parameters!$C$36*MAX(AB7-(12),0)+Parameters!$C$37*MAX(AB7-(24),0)+Parameters!$C$38*MAX(AB7-(60),0)),0)</f>
        <v/>
      </c>
      <c r="BL7" s="22">
        <f>IFERROR((Parameters!$C$39*AC7+Parameters!$C$40*MAX(AC7-(6),0)+Parameters!$C$41*MAX(AC7-(12),0)+Parameters!$C$42*MAX(AC7-(24),0)),0)</f>
        <v/>
      </c>
      <c r="BM7" s="22">
        <f>IFERROR(Parameters!$C$43*(MAX(AM7,0)*MIN(MAX(AK7,0),10))/100,0)</f>
        <v/>
      </c>
      <c r="BN7" s="22">
        <f>Parameters!$C$44*AE7</f>
        <v/>
      </c>
      <c r="BO7" s="22">
        <f>Parameters!$C$45*AU7 + Parameters!$C$46*AV7 + Parameters!$C$47*AW7 + Parameters!$C$48*AX7 + Parameters!$C$49*AY7 + Parameters!$C$50*AZ7 + Parameters!$C$51*BA7</f>
        <v/>
      </c>
      <c r="BP7" s="22">
        <f>Parameters!$C$52*AQ7</f>
        <v/>
      </c>
      <c r="BQ7" s="22">
        <f>Parameters!$C$53*AR7+Parameters!$C$54*AS7+Parameters!$C$55*AT7</f>
        <v/>
      </c>
      <c r="BR7" s="22">
        <f>Parameters!$C$56*BB7+Parameters!$C$57*BC7+Parameters!$C$58*BD7+Parameters!$C$59*BE7</f>
        <v/>
      </c>
      <c r="BS7" s="23">
        <f>Parameters!$B$2</f>
        <v/>
      </c>
      <c r="BT7" s="23">
        <f>BS7+BF7 + BG7 + BH7 + BI7 + BJ7 + BK7 + BL7 + BM7 + BN7 + BO7 + BP7 + BQ7 + BR7</f>
        <v/>
      </c>
      <c r="BU7" s="24">
        <f>IF(AD7=1,0,1/(1+EXP(-BT7))*Parameters!$B$3)</f>
        <v/>
      </c>
      <c r="BV7" s="25">
        <f>(1-(1-BU7)^12)*100</f>
        <v/>
      </c>
      <c r="BW7" s="25">
        <f>IF(AD7=1,0,(1-(1-1/(1+EXP(-Parameters!$B$2)))^12)*100)</f>
        <v/>
      </c>
      <c r="BX7" s="25">
        <f>IF(AD7=1,0,BV7-(1-(1-(1/(1+EXP(-(BT7-BF7)))*Parameters!$B$3))^12)*100)</f>
        <v/>
      </c>
      <c r="BY7" s="25">
        <f>IF(AD7=1,0,BV7-(1-(1-(1/(1+EXP(-(BT7-BG7)))*Parameters!$B$3))^12)*100)</f>
        <v/>
      </c>
      <c r="BZ7" s="25">
        <f>IF(AD7=1,0,BV7-(1-(1-(1/(1+EXP(-(BT7-BH7)))*Parameters!$B$3))^12)*100)</f>
        <v/>
      </c>
      <c r="CA7" s="25">
        <f>IF(AD7=1,0,BV7-(1-(1-(1/(1+EXP(-(BT7-BI7)))*Parameters!$B$3))^12)*100)</f>
        <v/>
      </c>
      <c r="CB7" s="25">
        <f>IF(AD7=1,0,BV7-(1-(1-(1/(1+EXP(-(BT7-BJ7)))*Parameters!$B$3))^12)*100)</f>
        <v/>
      </c>
      <c r="CC7" s="25">
        <f>IF(AD7=1,0,BV7-(1-(1-(1/(1+EXP(-(BT7-BK7)))*Parameters!$B$3))^12)*100)</f>
        <v/>
      </c>
      <c r="CD7" s="25">
        <f>IF(AD7=1,0,BV7-(1-(1-(1/(1+EXP(-(BT7-BL7)))*Parameters!$B$3))^12)*100)</f>
        <v/>
      </c>
      <c r="CE7" s="25">
        <f>IF(AD7=1,0,BV7-(1-(1-(1/(1+EXP(-(BT7-BM7)))*Parameters!$B$3))^12)*100)</f>
        <v/>
      </c>
      <c r="CF7" s="25">
        <f>IF(AD7=1,0,BV7-(1-(1-(1/(1+EXP(-(BT7-BN7)))*Parameters!$B$3))^12)*100)</f>
        <v/>
      </c>
      <c r="CG7" s="25">
        <f>IF(AD7=1,0,BV7-(1-(1-(1/(1+EXP(-(BT7-BO7)))*Parameters!$B$3))^12)*100)</f>
        <v/>
      </c>
      <c r="CH7" s="25">
        <f>IF(AD7=1,0,BV7-(1-(1-(1/(1+EXP(-(BT7-BP7)))*Parameters!$B$3))^12)*100)</f>
        <v/>
      </c>
      <c r="CI7" s="25">
        <f>IF(AD7=1,0,BV7-(1-(1-(1/(1+EXP(-(BT7-BQ7)))*Parameters!$B$3))^12)*100)</f>
        <v/>
      </c>
      <c r="CJ7" s="25">
        <f>IF(AD7=1,0,BV7-(1-(1-(1/(1+EXP(-(BT7-BR7)))*Parameters!$B$3))^12)*100)</f>
        <v/>
      </c>
    </row>
    <row r="8">
      <c r="A8" s="17" t="inlineStr">
        <is>
          <t>GNR_2024_NEW</t>
        </is>
      </c>
      <c r="B8" s="17" t="inlineStr">
        <is>
          <t>3618HGKV3</t>
        </is>
      </c>
      <c r="C8" s="17" t="inlineStr">
        <is>
          <t>PN</t>
        </is>
      </c>
      <c r="D8" s="17" t="inlineStr">
        <is>
          <t>WELLS FARGO BANK, N.A.</t>
        </is>
      </c>
      <c r="E8" s="17" t="inlineStr">
        <is>
          <t>3618HGKV3_000000010111361</t>
        </is>
      </c>
      <c r="F8" s="17" t="n">
        <v>202603</v>
      </c>
      <c r="G8" s="18" t="n">
        <v>5.92</v>
      </c>
      <c r="H8" s="19" t="n">
        <v>20435174.48</v>
      </c>
      <c r="I8" s="17" t="n">
        <v>420</v>
      </c>
      <c r="J8" s="17" t="n">
        <v>20250701</v>
      </c>
      <c r="K8" s="17" t="n">
        <v>20600801</v>
      </c>
      <c r="L8" s="17" t="n">
        <v>20250901</v>
      </c>
      <c r="M8" s="17" t="n">
        <v>20350901</v>
      </c>
      <c r="N8" s="17" t="n">
        <v>10</v>
      </c>
      <c r="O8" s="17" t="inlineStr">
        <is>
          <t>207/223(f)</t>
        </is>
      </c>
      <c r="P8" s="17" t="n"/>
      <c r="Q8" s="17" t="n"/>
      <c r="R8" s="17" t="n"/>
      <c r="S8" s="17" t="n"/>
      <c r="T8" s="17" t="inlineStr">
        <is>
          <t>CO</t>
        </is>
      </c>
      <c r="U8" s="17" t="n">
        <v>120</v>
      </c>
      <c r="V8" s="17" t="n">
        <v>490.5</v>
      </c>
      <c r="W8" s="17" t="n">
        <v>8</v>
      </c>
      <c r="X8" s="17" t="n">
        <v>2025</v>
      </c>
      <c r="Y8" s="17" t="n">
        <v>10</v>
      </c>
      <c r="Z8" s="17" t="n">
        <v>10</v>
      </c>
      <c r="AA8" s="20">
        <f>IF(ISNUMBER(W8),W8,IFERROR(MAX(0,(VALUE(LEFT(F8,4))-VALUE(LEFT(TEXT(J8,"00000000"),4)))*12+(VALUE(MID(F8,5,2))-VALUE(MID(TEXT(J8,"00000000"),5,2)))),""))</f>
        <v/>
      </c>
      <c r="AB8" s="20">
        <f>IFERROR((VALUE(LEFT(TEXT(K8,"00000000"),4))-VALUE(LEFT(F8,4)))*12+(VALUE(MID(TEXT(K8,"00000000"),5,2))-VALUE(MID(F8,5,2))),"")</f>
        <v/>
      </c>
      <c r="AC8" s="20">
        <f>IF(OR(L8="",NOT(ISNUMBER(L8))),0,MAX(0,MIN(60,(VALUE(LEFT(F8,4))-VALUE(LEFT(TEXT(L8,"00000000"),4)))*12+(VALUE(MID(F8,5,2))-VALUE(MID(TEXT(L8,"00000000"),5,2))))))</f>
        <v/>
      </c>
      <c r="AD8" s="20">
        <f>IF(OR(L8="",NOT(ISNUMBER(L8))),0,IF(VALUE(F8)&lt;VALUE(LEFT(TEXT(L8,"00000000"),6)),1,0))</f>
        <v/>
      </c>
      <c r="AE8" s="20">
        <f>IF(OR(M8="",NOT(ISNUMBER(M8))),0,IF(VALUE(F8)&lt;VALUE(LEFT(TEXT(M8,"00000000"),6)),1,0))</f>
        <v/>
      </c>
      <c r="AF8" s="20">
        <f>IF(AND(AD8=0,AE8=0),1,0)</f>
        <v/>
      </c>
      <c r="AG8" s="20">
        <f>IF(ISNUMBER(X8),X8,IFERROR(VALUE(LEFT(TEXT(J8,"00000000"),4)),""))</f>
        <v/>
      </c>
      <c r="AH8" s="20">
        <f>IFERROR(XLOOKUP(AG8,Vintage_Rates!$A$2:$A$1000,Vintage_Rates!$B$2:$B$1000,""),"")</f>
        <v/>
      </c>
      <c r="AI8" s="20">
        <f>IF(ISNUMBER(Y8),Y8,IFERROR((G8-AH8)*100,""))</f>
        <v/>
      </c>
      <c r="AJ8" s="20">
        <f>IF(ISNUMBER(V8),V8,IFERROR(XLOOKUP(VALUE(F8),PLC_Rates!$A$2:$A$1000,PLC_Rates!$B$2:$B$1000,""),""))</f>
        <v/>
      </c>
      <c r="AK8" s="20">
        <f>IF(ISNUMBER(Z8),Z8,IF(AE8=0,0,MAX(0,MIN(10,((VALUE(LEFT(TEXT(M8,"00000000"),4))-VALUE(LEFT(F8,4)))*12+(VALUE(MID(TEXT(M8,"00000000"),5,2))-VALUE(MID(F8,5,2))))/12))))</f>
        <v/>
      </c>
      <c r="AL8" s="20">
        <f>IFERROR(G8*100-AJ8,"")</f>
        <v/>
      </c>
      <c r="AM8" s="20">
        <f>IFERROR(G8*100-(AJ8+(1+AK8)*12.5),"")</f>
        <v/>
      </c>
      <c r="AN8" s="21">
        <f>IFERROR(MIN(H8/1000000,100),"")</f>
        <v/>
      </c>
      <c r="AO8" s="20">
        <f>IFERROR(INDEX(FHA_Lookup!$B$2:$B$11,MATCH(TRUE,ISNUMBER(SEARCH(FHA_Lookup!$A$2:$A$11,UPPER(SUBSTITUTE(O8," ","")))),0)),"OTHER")</f>
        <v/>
      </c>
      <c r="AP8" s="20">
        <f>IFERROR(INDEX(FHA_Lookup!$C$2:$C$11,MATCH(TRUE,ISNUMBER(SEARCH(FHA_Lookup!$A$2:$A$11,UPPER(SUBSTITUTE(O8," ","")))),0)),"OTHER")</f>
        <v/>
      </c>
      <c r="AQ8" s="20">
        <f>IF(AP8="NC",1,0)</f>
        <v/>
      </c>
      <c r="AR8" s="20">
        <f>IF(UPPER(TRIM(P8))="AFF",1,0)</f>
        <v/>
      </c>
      <c r="AS8" s="20">
        <f>IF(UPPER(TRIM(P8))="BAF",1,0)</f>
        <v/>
      </c>
      <c r="AT8" s="20">
        <f>IF(UPPER(TRIM(P8))="MKT",1,0)</f>
        <v/>
      </c>
      <c r="AU8" s="20">
        <f>IF(AO8="221d4",1,0)</f>
        <v/>
      </c>
      <c r="AV8" s="20">
        <f>IF(AO8="223a7",1,0)</f>
        <v/>
      </c>
      <c r="AW8" s="20">
        <f>IF(AO8="232",1,0)</f>
        <v/>
      </c>
      <c r="AX8" s="20">
        <f>IF(AO8="538",1,0)</f>
        <v/>
      </c>
      <c r="AY8" s="20">
        <f>IF(AO8="241",1,0)</f>
        <v/>
      </c>
      <c r="AZ8" s="20">
        <f>IF(AO8="220",1,0)</f>
        <v/>
      </c>
      <c r="BA8" s="20">
        <f>IF(AO8="OTHER",1,0)</f>
        <v/>
      </c>
      <c r="BB8" s="20">
        <f>IF(UPPER(TRIM(C8))="LM",1,0)</f>
        <v/>
      </c>
      <c r="BC8" s="20">
        <f>IF(UPPER(TRIM(C8))="PN",1,0)</f>
        <v/>
      </c>
      <c r="BD8" s="20">
        <f>IF(UPPER(TRIM(C8))="LS",1,0)</f>
        <v/>
      </c>
      <c r="BE8" s="20">
        <f>IF(UPPER(TRIM(C8))="RX",1,0)</f>
        <v/>
      </c>
      <c r="BF8" s="22">
        <f>IFERROR((Parameters!$C$6*AM8+Parameters!$C$7*MAX(AM8-(-150),0)+Parameters!$C$8*MAX(AM8-(-50),0)+Parameters!$C$9*MAX(AM8-(0),0)+Parameters!$C$10*MAX(AM8-(50),0)+Parameters!$C$11*MAX(AM8-(100),0)+Parameters!$C$12*MAX(AM8-(150),0)+Parameters!$C$13*MAX(AM8-(250),0)),0)</f>
        <v/>
      </c>
      <c r="BG8" s="22">
        <f>IFERROR((Parameters!$C$14*AA8+Parameters!$C$15*MAX(AA8-(12),0)+Parameters!$C$16*MAX(AA8-(36),0)+Parameters!$C$17*MAX(AA8-(60),0)+Parameters!$C$18*MAX(AA8-(84),0)+Parameters!$C$19*MAX(AA8-(120),0)+Parameters!$C$20*MAX(AA8-(180),0)),0)</f>
        <v/>
      </c>
      <c r="BH8" s="22">
        <f>IFERROR((Parameters!$C$21*AK8+Parameters!$C$22*MAX(AK8-(0),0)+Parameters!$C$23*MAX(AK8-(2),0)+Parameters!$C$24*MAX(AK8-(5),0)+Parameters!$C$25*MAX(AK8-(8),0)),0)</f>
        <v/>
      </c>
      <c r="BI8" s="22">
        <f>IFERROR((Parameters!$C$26*AI8+Parameters!$C$27*MAX(AI8-(-100),0)+Parameters!$C$28*MAX(AI8-(-25),0)+Parameters!$C$29*MAX(AI8-(25),0)+Parameters!$C$30*MAX(AI8-(100),0)),0)</f>
        <v/>
      </c>
      <c r="BJ8" s="22">
        <f>IFERROR((Parameters!$C$31*AN8+Parameters!$C$32*MAX(AN8-(2),0)+Parameters!$C$33*MAX(AN8-(10),0)+Parameters!$C$34*MAX(AN8-(25),0)),0)</f>
        <v/>
      </c>
      <c r="BK8" s="22">
        <f>IFERROR((Parameters!$C$35*AB8+Parameters!$C$36*MAX(AB8-(12),0)+Parameters!$C$37*MAX(AB8-(24),0)+Parameters!$C$38*MAX(AB8-(60),0)),0)</f>
        <v/>
      </c>
      <c r="BL8" s="22">
        <f>IFERROR((Parameters!$C$39*AC8+Parameters!$C$40*MAX(AC8-(6),0)+Parameters!$C$41*MAX(AC8-(12),0)+Parameters!$C$42*MAX(AC8-(24),0)),0)</f>
        <v/>
      </c>
      <c r="BM8" s="22">
        <f>IFERROR(Parameters!$C$43*(MAX(AM8,0)*MIN(MAX(AK8,0),10))/100,0)</f>
        <v/>
      </c>
      <c r="BN8" s="22">
        <f>Parameters!$C$44*AE8</f>
        <v/>
      </c>
      <c r="BO8" s="22">
        <f>Parameters!$C$45*AU8 + Parameters!$C$46*AV8 + Parameters!$C$47*AW8 + Parameters!$C$48*AX8 + Parameters!$C$49*AY8 + Parameters!$C$50*AZ8 + Parameters!$C$51*BA8</f>
        <v/>
      </c>
      <c r="BP8" s="22">
        <f>Parameters!$C$52*AQ8</f>
        <v/>
      </c>
      <c r="BQ8" s="22">
        <f>Parameters!$C$53*AR8+Parameters!$C$54*AS8+Parameters!$C$55*AT8</f>
        <v/>
      </c>
      <c r="BR8" s="22">
        <f>Parameters!$C$56*BB8+Parameters!$C$57*BC8+Parameters!$C$58*BD8+Parameters!$C$59*BE8</f>
        <v/>
      </c>
      <c r="BS8" s="23">
        <f>Parameters!$B$2</f>
        <v/>
      </c>
      <c r="BT8" s="23">
        <f>BS8+BF8 + BG8 + BH8 + BI8 + BJ8 + BK8 + BL8 + BM8 + BN8 + BO8 + BP8 + BQ8 + BR8</f>
        <v/>
      </c>
      <c r="BU8" s="24">
        <f>IF(AD8=1,0,1/(1+EXP(-BT8))*Parameters!$B$3)</f>
        <v/>
      </c>
      <c r="BV8" s="25">
        <f>(1-(1-BU8)^12)*100</f>
        <v/>
      </c>
      <c r="BW8" s="25">
        <f>IF(AD8=1,0,(1-(1-1/(1+EXP(-Parameters!$B$2)))^12)*100)</f>
        <v/>
      </c>
      <c r="BX8" s="25">
        <f>IF(AD8=1,0,BV8-(1-(1-(1/(1+EXP(-(BT8-BF8)))*Parameters!$B$3))^12)*100)</f>
        <v/>
      </c>
      <c r="BY8" s="25">
        <f>IF(AD8=1,0,BV8-(1-(1-(1/(1+EXP(-(BT8-BG8)))*Parameters!$B$3))^12)*100)</f>
        <v/>
      </c>
      <c r="BZ8" s="25">
        <f>IF(AD8=1,0,BV8-(1-(1-(1/(1+EXP(-(BT8-BH8)))*Parameters!$B$3))^12)*100)</f>
        <v/>
      </c>
      <c r="CA8" s="25">
        <f>IF(AD8=1,0,BV8-(1-(1-(1/(1+EXP(-(BT8-BI8)))*Parameters!$B$3))^12)*100)</f>
        <v/>
      </c>
      <c r="CB8" s="25">
        <f>IF(AD8=1,0,BV8-(1-(1-(1/(1+EXP(-(BT8-BJ8)))*Parameters!$B$3))^12)*100)</f>
        <v/>
      </c>
      <c r="CC8" s="25">
        <f>IF(AD8=1,0,BV8-(1-(1-(1/(1+EXP(-(BT8-BK8)))*Parameters!$B$3))^12)*100)</f>
        <v/>
      </c>
      <c r="CD8" s="25">
        <f>IF(AD8=1,0,BV8-(1-(1-(1/(1+EXP(-(BT8-BL8)))*Parameters!$B$3))^12)*100)</f>
        <v/>
      </c>
      <c r="CE8" s="25">
        <f>IF(AD8=1,0,BV8-(1-(1-(1/(1+EXP(-(BT8-BM8)))*Parameters!$B$3))^12)*100)</f>
        <v/>
      </c>
      <c r="CF8" s="25">
        <f>IF(AD8=1,0,BV8-(1-(1-(1/(1+EXP(-(BT8-BN8)))*Parameters!$B$3))^12)*100)</f>
        <v/>
      </c>
      <c r="CG8" s="25">
        <f>IF(AD8=1,0,BV8-(1-(1-(1/(1+EXP(-(BT8-BO8)))*Parameters!$B$3))^12)*100)</f>
        <v/>
      </c>
      <c r="CH8" s="25">
        <f>IF(AD8=1,0,BV8-(1-(1-(1/(1+EXP(-(BT8-BP8)))*Parameters!$B$3))^12)*100)</f>
        <v/>
      </c>
      <c r="CI8" s="25">
        <f>IF(AD8=1,0,BV8-(1-(1-(1/(1+EXP(-(BT8-BQ8)))*Parameters!$B$3))^12)*100)</f>
        <v/>
      </c>
      <c r="CJ8" s="25">
        <f>IF(AD8=1,0,BV8-(1-(1-(1/(1+EXP(-(BT8-BR8)))*Parameters!$B$3))^12)*100)</f>
        <v/>
      </c>
    </row>
    <row r="9">
      <c r="A9" s="17" t="inlineStr">
        <is>
          <t>GNR_2024_NEW</t>
        </is>
      </c>
      <c r="B9" s="17" t="inlineStr">
        <is>
          <t>3618GTXQ3</t>
        </is>
      </c>
      <c r="C9" s="17" t="inlineStr">
        <is>
          <t>PN</t>
        </is>
      </c>
      <c r="D9" s="17" t="inlineStr">
        <is>
          <t>BERKADIA COMMERCIAL MORTGAGE, LLC</t>
        </is>
      </c>
      <c r="E9" s="17" t="inlineStr">
        <is>
          <t>3618GTXQ3_000000006311195</t>
        </is>
      </c>
      <c r="F9" s="17" t="n">
        <v>202603</v>
      </c>
      <c r="G9" s="18" t="n">
        <v>5.07</v>
      </c>
      <c r="H9" s="19" t="n">
        <v>21410852.67</v>
      </c>
      <c r="I9" s="17" t="n">
        <v>420</v>
      </c>
      <c r="J9" s="17" t="n">
        <v>20240625</v>
      </c>
      <c r="K9" s="17" t="n">
        <v>20590901</v>
      </c>
      <c r="L9" s="17" t="n"/>
      <c r="M9" s="17" t="n">
        <v>20341001</v>
      </c>
      <c r="N9" s="17" t="n">
        <v>10</v>
      </c>
      <c r="O9" s="17" t="inlineStr">
        <is>
          <t>207/223(F)</t>
        </is>
      </c>
      <c r="P9" s="17" t="inlineStr">
        <is>
          <t>MKT</t>
        </is>
      </c>
      <c r="Q9" s="17" t="n"/>
      <c r="R9" s="17" t="n"/>
      <c r="S9" s="17" t="n"/>
      <c r="T9" s="17" t="inlineStr">
        <is>
          <t>FL</t>
        </is>
      </c>
      <c r="U9" s="17" t="n">
        <v>124</v>
      </c>
      <c r="V9" s="17" t="n">
        <v>490.5</v>
      </c>
      <c r="W9" s="17" t="n">
        <v>21</v>
      </c>
      <c r="X9" s="17" t="n">
        <v>2024</v>
      </c>
      <c r="Y9" s="17" t="n">
        <v>-71</v>
      </c>
      <c r="Z9" s="17" t="n">
        <v>10</v>
      </c>
      <c r="AA9" s="20">
        <f>IF(ISNUMBER(W9),W9,IFERROR(MAX(0,(VALUE(LEFT(F9,4))-VALUE(LEFT(TEXT(J9,"00000000"),4)))*12+(VALUE(MID(F9,5,2))-VALUE(MID(TEXT(J9,"00000000"),5,2)))),""))</f>
        <v/>
      </c>
      <c r="AB9" s="20">
        <f>IFERROR((VALUE(LEFT(TEXT(K9,"00000000"),4))-VALUE(LEFT(F9,4)))*12+(VALUE(MID(TEXT(K9,"00000000"),5,2))-VALUE(MID(F9,5,2))),"")</f>
        <v/>
      </c>
      <c r="AC9" s="20">
        <f>IF(OR(L9="",NOT(ISNUMBER(L9))),0,MAX(0,MIN(60,(VALUE(LEFT(F9,4))-VALUE(LEFT(TEXT(L9,"00000000"),4)))*12+(VALUE(MID(F9,5,2))-VALUE(MID(TEXT(L9,"00000000"),5,2))))))</f>
        <v/>
      </c>
      <c r="AD9" s="20">
        <f>IF(OR(L9="",NOT(ISNUMBER(L9))),0,IF(VALUE(F9)&lt;VALUE(LEFT(TEXT(L9,"00000000"),6)),1,0))</f>
        <v/>
      </c>
      <c r="AE9" s="20">
        <f>IF(OR(M9="",NOT(ISNUMBER(M9))),0,IF(VALUE(F9)&lt;VALUE(LEFT(TEXT(M9,"00000000"),6)),1,0))</f>
        <v/>
      </c>
      <c r="AF9" s="20">
        <f>IF(AND(AD9=0,AE9=0),1,0)</f>
        <v/>
      </c>
      <c r="AG9" s="20">
        <f>IF(ISNUMBER(X9),X9,IFERROR(VALUE(LEFT(TEXT(J9,"00000000"),4)),""))</f>
        <v/>
      </c>
      <c r="AH9" s="20">
        <f>IFERROR(XLOOKUP(AG9,Vintage_Rates!$A$2:$A$1000,Vintage_Rates!$B$2:$B$1000,""),"")</f>
        <v/>
      </c>
      <c r="AI9" s="20">
        <f>IF(ISNUMBER(Y9),Y9,IFERROR((G9-AH9)*100,""))</f>
        <v/>
      </c>
      <c r="AJ9" s="20">
        <f>IF(ISNUMBER(V9),V9,IFERROR(XLOOKUP(VALUE(F9),PLC_Rates!$A$2:$A$1000,PLC_Rates!$B$2:$B$1000,""),""))</f>
        <v/>
      </c>
      <c r="AK9" s="20">
        <f>IF(ISNUMBER(Z9),Z9,IF(AE9=0,0,MAX(0,MIN(10,((VALUE(LEFT(TEXT(M9,"00000000"),4))-VALUE(LEFT(F9,4)))*12+(VALUE(MID(TEXT(M9,"00000000"),5,2))-VALUE(MID(F9,5,2))))/12))))</f>
        <v/>
      </c>
      <c r="AL9" s="20">
        <f>IFERROR(G9*100-AJ9,"")</f>
        <v/>
      </c>
      <c r="AM9" s="20">
        <f>IFERROR(G9*100-(AJ9+(1+AK9)*12.5),"")</f>
        <v/>
      </c>
      <c r="AN9" s="21">
        <f>IFERROR(MIN(H9/1000000,100),"")</f>
        <v/>
      </c>
      <c r="AO9" s="20">
        <f>IFERROR(INDEX(FHA_Lookup!$B$2:$B$11,MATCH(TRUE,ISNUMBER(SEARCH(FHA_Lookup!$A$2:$A$11,UPPER(SUBSTITUTE(O9," ","")))),0)),"OTHER")</f>
        <v/>
      </c>
      <c r="AP9" s="20">
        <f>IFERROR(INDEX(FHA_Lookup!$C$2:$C$11,MATCH(TRUE,ISNUMBER(SEARCH(FHA_Lookup!$A$2:$A$11,UPPER(SUBSTITUTE(O9," ","")))),0)),"OTHER")</f>
        <v/>
      </c>
      <c r="AQ9" s="20">
        <f>IF(AP9="NC",1,0)</f>
        <v/>
      </c>
      <c r="AR9" s="20">
        <f>IF(UPPER(TRIM(P9))="AFF",1,0)</f>
        <v/>
      </c>
      <c r="AS9" s="20">
        <f>IF(UPPER(TRIM(P9))="BAF",1,0)</f>
        <v/>
      </c>
      <c r="AT9" s="20">
        <f>IF(UPPER(TRIM(P9))="MKT",1,0)</f>
        <v/>
      </c>
      <c r="AU9" s="20">
        <f>IF(AO9="221d4",1,0)</f>
        <v/>
      </c>
      <c r="AV9" s="20">
        <f>IF(AO9="223a7",1,0)</f>
        <v/>
      </c>
      <c r="AW9" s="20">
        <f>IF(AO9="232",1,0)</f>
        <v/>
      </c>
      <c r="AX9" s="20">
        <f>IF(AO9="538",1,0)</f>
        <v/>
      </c>
      <c r="AY9" s="20">
        <f>IF(AO9="241",1,0)</f>
        <v/>
      </c>
      <c r="AZ9" s="20">
        <f>IF(AO9="220",1,0)</f>
        <v/>
      </c>
      <c r="BA9" s="20">
        <f>IF(AO9="OTHER",1,0)</f>
        <v/>
      </c>
      <c r="BB9" s="20">
        <f>IF(UPPER(TRIM(C9))="LM",1,0)</f>
        <v/>
      </c>
      <c r="BC9" s="20">
        <f>IF(UPPER(TRIM(C9))="PN",1,0)</f>
        <v/>
      </c>
      <c r="BD9" s="20">
        <f>IF(UPPER(TRIM(C9))="LS",1,0)</f>
        <v/>
      </c>
      <c r="BE9" s="20">
        <f>IF(UPPER(TRIM(C9))="RX",1,0)</f>
        <v/>
      </c>
      <c r="BF9" s="22">
        <f>IFERROR((Parameters!$C$6*AM9+Parameters!$C$7*MAX(AM9-(-150),0)+Parameters!$C$8*MAX(AM9-(-50),0)+Parameters!$C$9*MAX(AM9-(0),0)+Parameters!$C$10*MAX(AM9-(50),0)+Parameters!$C$11*MAX(AM9-(100),0)+Parameters!$C$12*MAX(AM9-(150),0)+Parameters!$C$13*MAX(AM9-(250),0)),0)</f>
        <v/>
      </c>
      <c r="BG9" s="22">
        <f>IFERROR((Parameters!$C$14*AA9+Parameters!$C$15*MAX(AA9-(12),0)+Parameters!$C$16*MAX(AA9-(36),0)+Parameters!$C$17*MAX(AA9-(60),0)+Parameters!$C$18*MAX(AA9-(84),0)+Parameters!$C$19*MAX(AA9-(120),0)+Parameters!$C$20*MAX(AA9-(180),0)),0)</f>
        <v/>
      </c>
      <c r="BH9" s="22">
        <f>IFERROR((Parameters!$C$21*AK9+Parameters!$C$22*MAX(AK9-(0),0)+Parameters!$C$23*MAX(AK9-(2),0)+Parameters!$C$24*MAX(AK9-(5),0)+Parameters!$C$25*MAX(AK9-(8),0)),0)</f>
        <v/>
      </c>
      <c r="BI9" s="22">
        <f>IFERROR((Parameters!$C$26*AI9+Parameters!$C$27*MAX(AI9-(-100),0)+Parameters!$C$28*MAX(AI9-(-25),0)+Parameters!$C$29*MAX(AI9-(25),0)+Parameters!$C$30*MAX(AI9-(100),0)),0)</f>
        <v/>
      </c>
      <c r="BJ9" s="22">
        <f>IFERROR((Parameters!$C$31*AN9+Parameters!$C$32*MAX(AN9-(2),0)+Parameters!$C$33*MAX(AN9-(10),0)+Parameters!$C$34*MAX(AN9-(25),0)),0)</f>
        <v/>
      </c>
      <c r="BK9" s="22">
        <f>IFERROR((Parameters!$C$35*AB9+Parameters!$C$36*MAX(AB9-(12),0)+Parameters!$C$37*MAX(AB9-(24),0)+Parameters!$C$38*MAX(AB9-(60),0)),0)</f>
        <v/>
      </c>
      <c r="BL9" s="22">
        <f>IFERROR((Parameters!$C$39*AC9+Parameters!$C$40*MAX(AC9-(6),0)+Parameters!$C$41*MAX(AC9-(12),0)+Parameters!$C$42*MAX(AC9-(24),0)),0)</f>
        <v/>
      </c>
      <c r="BM9" s="22">
        <f>IFERROR(Parameters!$C$43*(MAX(AM9,0)*MIN(MAX(AK9,0),10))/100,0)</f>
        <v/>
      </c>
      <c r="BN9" s="22">
        <f>Parameters!$C$44*AE9</f>
        <v/>
      </c>
      <c r="BO9" s="22">
        <f>Parameters!$C$45*AU9 + Parameters!$C$46*AV9 + Parameters!$C$47*AW9 + Parameters!$C$48*AX9 + Parameters!$C$49*AY9 + Parameters!$C$50*AZ9 + Parameters!$C$51*BA9</f>
        <v/>
      </c>
      <c r="BP9" s="22">
        <f>Parameters!$C$52*AQ9</f>
        <v/>
      </c>
      <c r="BQ9" s="22">
        <f>Parameters!$C$53*AR9+Parameters!$C$54*AS9+Parameters!$C$55*AT9</f>
        <v/>
      </c>
      <c r="BR9" s="22">
        <f>Parameters!$C$56*BB9+Parameters!$C$57*BC9+Parameters!$C$58*BD9+Parameters!$C$59*BE9</f>
        <v/>
      </c>
      <c r="BS9" s="23">
        <f>Parameters!$B$2</f>
        <v/>
      </c>
      <c r="BT9" s="23">
        <f>BS9+BF9 + BG9 + BH9 + BI9 + BJ9 + BK9 + BL9 + BM9 + BN9 + BO9 + BP9 + BQ9 + BR9</f>
        <v/>
      </c>
      <c r="BU9" s="24">
        <f>IF(AD9=1,0,1/(1+EXP(-BT9))*Parameters!$B$3)</f>
        <v/>
      </c>
      <c r="BV9" s="25">
        <f>(1-(1-BU9)^12)*100</f>
        <v/>
      </c>
      <c r="BW9" s="25">
        <f>IF(AD9=1,0,(1-(1-1/(1+EXP(-Parameters!$B$2)))^12)*100)</f>
        <v/>
      </c>
      <c r="BX9" s="25">
        <f>IF(AD9=1,0,BV9-(1-(1-(1/(1+EXP(-(BT9-BF9)))*Parameters!$B$3))^12)*100)</f>
        <v/>
      </c>
      <c r="BY9" s="25">
        <f>IF(AD9=1,0,BV9-(1-(1-(1/(1+EXP(-(BT9-BG9)))*Parameters!$B$3))^12)*100)</f>
        <v/>
      </c>
      <c r="BZ9" s="25">
        <f>IF(AD9=1,0,BV9-(1-(1-(1/(1+EXP(-(BT9-BH9)))*Parameters!$B$3))^12)*100)</f>
        <v/>
      </c>
      <c r="CA9" s="25">
        <f>IF(AD9=1,0,BV9-(1-(1-(1/(1+EXP(-(BT9-BI9)))*Parameters!$B$3))^12)*100)</f>
        <v/>
      </c>
      <c r="CB9" s="25">
        <f>IF(AD9=1,0,BV9-(1-(1-(1/(1+EXP(-(BT9-BJ9)))*Parameters!$B$3))^12)*100)</f>
        <v/>
      </c>
      <c r="CC9" s="25">
        <f>IF(AD9=1,0,BV9-(1-(1-(1/(1+EXP(-(BT9-BK9)))*Parameters!$B$3))^12)*100)</f>
        <v/>
      </c>
      <c r="CD9" s="25">
        <f>IF(AD9=1,0,BV9-(1-(1-(1/(1+EXP(-(BT9-BL9)))*Parameters!$B$3))^12)*100)</f>
        <v/>
      </c>
      <c r="CE9" s="25">
        <f>IF(AD9=1,0,BV9-(1-(1-(1/(1+EXP(-(BT9-BM9)))*Parameters!$B$3))^12)*100)</f>
        <v/>
      </c>
      <c r="CF9" s="25">
        <f>IF(AD9=1,0,BV9-(1-(1-(1/(1+EXP(-(BT9-BN9)))*Parameters!$B$3))^12)*100)</f>
        <v/>
      </c>
      <c r="CG9" s="25">
        <f>IF(AD9=1,0,BV9-(1-(1-(1/(1+EXP(-(BT9-BO9)))*Parameters!$B$3))^12)*100)</f>
        <v/>
      </c>
      <c r="CH9" s="25">
        <f>IF(AD9=1,0,BV9-(1-(1-(1/(1+EXP(-(BT9-BP9)))*Parameters!$B$3))^12)*100)</f>
        <v/>
      </c>
      <c r="CI9" s="25">
        <f>IF(AD9=1,0,BV9-(1-(1-(1/(1+EXP(-(BT9-BQ9)))*Parameters!$B$3))^12)*100)</f>
        <v/>
      </c>
      <c r="CJ9" s="25">
        <f>IF(AD9=1,0,BV9-(1-(1-(1/(1+EXP(-(BT9-BR9)))*Parameters!$B$3))^12)*100)</f>
        <v/>
      </c>
    </row>
    <row r="10">
      <c r="A10" s="17" t="inlineStr">
        <is>
          <t>GNR_2024_NEW</t>
        </is>
      </c>
      <c r="B10" s="17" t="inlineStr">
        <is>
          <t>3618JS5S9</t>
        </is>
      </c>
      <c r="C10" s="17" t="inlineStr">
        <is>
          <t>PN</t>
        </is>
      </c>
      <c r="D10" s="17" t="inlineStr">
        <is>
          <t>BERKADIA COMMERCIAL MORTGAGE, LLC</t>
        </is>
      </c>
      <c r="E10" s="17" t="inlineStr">
        <is>
          <t>3618JS5S9_000000005422124</t>
        </is>
      </c>
      <c r="F10" s="17" t="n">
        <v>202603</v>
      </c>
      <c r="G10" s="18" t="n">
        <v>5.88</v>
      </c>
      <c r="H10" s="19" t="n">
        <v>6297447.15</v>
      </c>
      <c r="I10" s="17" t="n">
        <v>360</v>
      </c>
      <c r="J10" s="17" t="n">
        <v>20250115</v>
      </c>
      <c r="K10" s="17" t="n">
        <v>20550401</v>
      </c>
      <c r="L10" s="17" t="n"/>
      <c r="M10" s="17" t="n">
        <v>20350501</v>
      </c>
      <c r="N10" s="17" t="n">
        <v>10</v>
      </c>
      <c r="O10" s="17" t="inlineStr">
        <is>
          <t>232/223(f)</t>
        </is>
      </c>
      <c r="P10" s="17" t="n"/>
      <c r="Q10" s="17" t="n"/>
      <c r="R10" s="17" t="n"/>
      <c r="S10" s="17" t="n"/>
      <c r="T10" s="17" t="inlineStr">
        <is>
          <t>SC</t>
        </is>
      </c>
      <c r="U10" s="17" t="n">
        <v>60</v>
      </c>
      <c r="V10" s="17" t="n">
        <v>490.5</v>
      </c>
      <c r="W10" s="17" t="n">
        <v>14</v>
      </c>
      <c r="X10" s="17" t="n">
        <v>2025</v>
      </c>
      <c r="Y10" s="17" t="n">
        <v>6</v>
      </c>
      <c r="Z10" s="17" t="n">
        <v>0</v>
      </c>
      <c r="AA10" s="20">
        <f>IF(ISNUMBER(W10),W10,IFERROR(MAX(0,(VALUE(LEFT(F10,4))-VALUE(LEFT(TEXT(J10,"00000000"),4)))*12+(VALUE(MID(F10,5,2))-VALUE(MID(TEXT(J10,"00000000"),5,2)))),""))</f>
        <v/>
      </c>
      <c r="AB10" s="20">
        <f>IFERROR((VALUE(LEFT(TEXT(K10,"00000000"),4))-VALUE(LEFT(F10,4)))*12+(VALUE(MID(TEXT(K10,"00000000"),5,2))-VALUE(MID(F10,5,2))),"")</f>
        <v/>
      </c>
      <c r="AC10" s="20">
        <f>IF(OR(L10="",NOT(ISNUMBER(L10))),0,MAX(0,MIN(60,(VALUE(LEFT(F10,4))-VALUE(LEFT(TEXT(L10,"00000000"),4)))*12+(VALUE(MID(F10,5,2))-VALUE(MID(TEXT(L10,"00000000"),5,2))))))</f>
        <v/>
      </c>
      <c r="AD10" s="20">
        <f>IF(OR(L10="",NOT(ISNUMBER(L10))),0,IF(VALUE(F10)&lt;VALUE(LEFT(TEXT(L10,"00000000"),6)),1,0))</f>
        <v/>
      </c>
      <c r="AE10" s="20">
        <f>IF(OR(M10="",NOT(ISNUMBER(M10))),0,IF(VALUE(F10)&lt;VALUE(LEFT(TEXT(M10,"00000000"),6)),1,0))</f>
        <v/>
      </c>
      <c r="AF10" s="20">
        <f>IF(AND(AD10=0,AE10=0),1,0)</f>
        <v/>
      </c>
      <c r="AG10" s="20">
        <f>IF(ISNUMBER(X10),X10,IFERROR(VALUE(LEFT(TEXT(J10,"00000000"),4)),""))</f>
        <v/>
      </c>
      <c r="AH10" s="20">
        <f>IFERROR(XLOOKUP(AG10,Vintage_Rates!$A$2:$A$1000,Vintage_Rates!$B$2:$B$1000,""),"")</f>
        <v/>
      </c>
      <c r="AI10" s="20">
        <f>IF(ISNUMBER(Y10),Y10,IFERROR((G10-AH10)*100,""))</f>
        <v/>
      </c>
      <c r="AJ10" s="20">
        <f>IF(ISNUMBER(V10),V10,IFERROR(XLOOKUP(VALUE(F10),PLC_Rates!$A$2:$A$1000,PLC_Rates!$B$2:$B$1000,""),""))</f>
        <v/>
      </c>
      <c r="AK10" s="20">
        <f>IF(ISNUMBER(Z10),Z10,IF(AE10=0,0,MAX(0,MIN(10,((VALUE(LEFT(TEXT(M10,"00000000"),4))-VALUE(LEFT(F10,4)))*12+(VALUE(MID(TEXT(M10,"00000000"),5,2))-VALUE(MID(F10,5,2))))/12))))</f>
        <v/>
      </c>
      <c r="AL10" s="20">
        <f>IFERROR(G10*100-AJ10,"")</f>
        <v/>
      </c>
      <c r="AM10" s="20">
        <f>IFERROR(G10*100-(AJ10+(1+AK10)*12.5),"")</f>
        <v/>
      </c>
      <c r="AN10" s="21">
        <f>IFERROR(MIN(H10/1000000,100),"")</f>
        <v/>
      </c>
      <c r="AO10" s="20">
        <f>IFERROR(INDEX(FHA_Lookup!$B$2:$B$11,MATCH(TRUE,ISNUMBER(SEARCH(FHA_Lookup!$A$2:$A$11,UPPER(SUBSTITUTE(O10," ","")))),0)),"OTHER")</f>
        <v/>
      </c>
      <c r="AP10" s="20">
        <f>IFERROR(INDEX(FHA_Lookup!$C$2:$C$11,MATCH(TRUE,ISNUMBER(SEARCH(FHA_Lookup!$A$2:$A$11,UPPER(SUBSTITUTE(O10," ","")))),0)),"OTHER")</f>
        <v/>
      </c>
      <c r="AQ10" s="20">
        <f>IF(AP10="NC",1,0)</f>
        <v/>
      </c>
      <c r="AR10" s="20">
        <f>IF(UPPER(TRIM(P10))="AFF",1,0)</f>
        <v/>
      </c>
      <c r="AS10" s="20">
        <f>IF(UPPER(TRIM(P10))="BAF",1,0)</f>
        <v/>
      </c>
      <c r="AT10" s="20">
        <f>IF(UPPER(TRIM(P10))="MKT",1,0)</f>
        <v/>
      </c>
      <c r="AU10" s="20">
        <f>IF(AO10="221d4",1,0)</f>
        <v/>
      </c>
      <c r="AV10" s="20">
        <f>IF(AO10="223a7",1,0)</f>
        <v/>
      </c>
      <c r="AW10" s="20">
        <f>IF(AO10="232",1,0)</f>
        <v/>
      </c>
      <c r="AX10" s="20">
        <f>IF(AO10="538",1,0)</f>
        <v/>
      </c>
      <c r="AY10" s="20">
        <f>IF(AO10="241",1,0)</f>
        <v/>
      </c>
      <c r="AZ10" s="20">
        <f>IF(AO10="220",1,0)</f>
        <v/>
      </c>
      <c r="BA10" s="20">
        <f>IF(AO10="OTHER",1,0)</f>
        <v/>
      </c>
      <c r="BB10" s="20">
        <f>IF(UPPER(TRIM(C10))="LM",1,0)</f>
        <v/>
      </c>
      <c r="BC10" s="20">
        <f>IF(UPPER(TRIM(C10))="PN",1,0)</f>
        <v/>
      </c>
      <c r="BD10" s="20">
        <f>IF(UPPER(TRIM(C10))="LS",1,0)</f>
        <v/>
      </c>
      <c r="BE10" s="20">
        <f>IF(UPPER(TRIM(C10))="RX",1,0)</f>
        <v/>
      </c>
      <c r="BF10" s="22">
        <f>IFERROR((Parameters!$C$6*AM10+Parameters!$C$7*MAX(AM10-(-150),0)+Parameters!$C$8*MAX(AM10-(-50),0)+Parameters!$C$9*MAX(AM10-(0),0)+Parameters!$C$10*MAX(AM10-(50),0)+Parameters!$C$11*MAX(AM10-(100),0)+Parameters!$C$12*MAX(AM10-(150),0)+Parameters!$C$13*MAX(AM10-(250),0)),0)</f>
        <v/>
      </c>
      <c r="BG10" s="22">
        <f>IFERROR((Parameters!$C$14*AA10+Parameters!$C$15*MAX(AA10-(12),0)+Parameters!$C$16*MAX(AA10-(36),0)+Parameters!$C$17*MAX(AA10-(60),0)+Parameters!$C$18*MAX(AA10-(84),0)+Parameters!$C$19*MAX(AA10-(120),0)+Parameters!$C$20*MAX(AA10-(180),0)),0)</f>
        <v/>
      </c>
      <c r="BH10" s="22">
        <f>IFERROR((Parameters!$C$21*AK10+Parameters!$C$22*MAX(AK10-(0),0)+Parameters!$C$23*MAX(AK10-(2),0)+Parameters!$C$24*MAX(AK10-(5),0)+Parameters!$C$25*MAX(AK10-(8),0)),0)</f>
        <v/>
      </c>
      <c r="BI10" s="22">
        <f>IFERROR((Parameters!$C$26*AI10+Parameters!$C$27*MAX(AI10-(-100),0)+Parameters!$C$28*MAX(AI10-(-25),0)+Parameters!$C$29*MAX(AI10-(25),0)+Parameters!$C$30*MAX(AI10-(100),0)),0)</f>
        <v/>
      </c>
      <c r="BJ10" s="22">
        <f>IFERROR((Parameters!$C$31*AN10+Parameters!$C$32*MAX(AN10-(2),0)+Parameters!$C$33*MAX(AN10-(10),0)+Parameters!$C$34*MAX(AN10-(25),0)),0)</f>
        <v/>
      </c>
      <c r="BK10" s="22">
        <f>IFERROR((Parameters!$C$35*AB10+Parameters!$C$36*MAX(AB10-(12),0)+Parameters!$C$37*MAX(AB10-(24),0)+Parameters!$C$38*MAX(AB10-(60),0)),0)</f>
        <v/>
      </c>
      <c r="BL10" s="22">
        <f>IFERROR((Parameters!$C$39*AC10+Parameters!$C$40*MAX(AC10-(6),0)+Parameters!$C$41*MAX(AC10-(12),0)+Parameters!$C$42*MAX(AC10-(24),0)),0)</f>
        <v/>
      </c>
      <c r="BM10" s="22">
        <f>IFERROR(Parameters!$C$43*(MAX(AM10,0)*MIN(MAX(AK10,0),10))/100,0)</f>
        <v/>
      </c>
      <c r="BN10" s="22">
        <f>Parameters!$C$44*AE10</f>
        <v/>
      </c>
      <c r="BO10" s="22">
        <f>Parameters!$C$45*AU10 + Parameters!$C$46*AV10 + Parameters!$C$47*AW10 + Parameters!$C$48*AX10 + Parameters!$C$49*AY10 + Parameters!$C$50*AZ10 + Parameters!$C$51*BA10</f>
        <v/>
      </c>
      <c r="BP10" s="22">
        <f>Parameters!$C$52*AQ10</f>
        <v/>
      </c>
      <c r="BQ10" s="22">
        <f>Parameters!$C$53*AR10+Parameters!$C$54*AS10+Parameters!$C$55*AT10</f>
        <v/>
      </c>
      <c r="BR10" s="22">
        <f>Parameters!$C$56*BB10+Parameters!$C$57*BC10+Parameters!$C$58*BD10+Parameters!$C$59*BE10</f>
        <v/>
      </c>
      <c r="BS10" s="23">
        <f>Parameters!$B$2</f>
        <v/>
      </c>
      <c r="BT10" s="23">
        <f>BS10+BF10 + BG10 + BH10 + BI10 + BJ10 + BK10 + BL10 + BM10 + BN10 + BO10 + BP10 + BQ10 + BR10</f>
        <v/>
      </c>
      <c r="BU10" s="24">
        <f>IF(AD10=1,0,1/(1+EXP(-BT10))*Parameters!$B$3)</f>
        <v/>
      </c>
      <c r="BV10" s="25">
        <f>(1-(1-BU10)^12)*100</f>
        <v/>
      </c>
      <c r="BW10" s="25">
        <f>IF(AD10=1,0,(1-(1-1/(1+EXP(-Parameters!$B$2)))^12)*100)</f>
        <v/>
      </c>
      <c r="BX10" s="25">
        <f>IF(AD10=1,0,BV10-(1-(1-(1/(1+EXP(-(BT10-BF10)))*Parameters!$B$3))^12)*100)</f>
        <v/>
      </c>
      <c r="BY10" s="25">
        <f>IF(AD10=1,0,BV10-(1-(1-(1/(1+EXP(-(BT10-BG10)))*Parameters!$B$3))^12)*100)</f>
        <v/>
      </c>
      <c r="BZ10" s="25">
        <f>IF(AD10=1,0,BV10-(1-(1-(1/(1+EXP(-(BT10-BH10)))*Parameters!$B$3))^12)*100)</f>
        <v/>
      </c>
      <c r="CA10" s="25">
        <f>IF(AD10=1,0,BV10-(1-(1-(1/(1+EXP(-(BT10-BI10)))*Parameters!$B$3))^12)*100)</f>
        <v/>
      </c>
      <c r="CB10" s="25">
        <f>IF(AD10=1,0,BV10-(1-(1-(1/(1+EXP(-(BT10-BJ10)))*Parameters!$B$3))^12)*100)</f>
        <v/>
      </c>
      <c r="CC10" s="25">
        <f>IF(AD10=1,0,BV10-(1-(1-(1/(1+EXP(-(BT10-BK10)))*Parameters!$B$3))^12)*100)</f>
        <v/>
      </c>
      <c r="CD10" s="25">
        <f>IF(AD10=1,0,BV10-(1-(1-(1/(1+EXP(-(BT10-BL10)))*Parameters!$B$3))^12)*100)</f>
        <v/>
      </c>
      <c r="CE10" s="25">
        <f>IF(AD10=1,0,BV10-(1-(1-(1/(1+EXP(-(BT10-BM10)))*Parameters!$B$3))^12)*100)</f>
        <v/>
      </c>
      <c r="CF10" s="25">
        <f>IF(AD10=1,0,BV10-(1-(1-(1/(1+EXP(-(BT10-BN10)))*Parameters!$B$3))^12)*100)</f>
        <v/>
      </c>
      <c r="CG10" s="25">
        <f>IF(AD10=1,0,BV10-(1-(1-(1/(1+EXP(-(BT10-BO10)))*Parameters!$B$3))^12)*100)</f>
        <v/>
      </c>
      <c r="CH10" s="25">
        <f>IF(AD10=1,0,BV10-(1-(1-(1/(1+EXP(-(BT10-BP10)))*Parameters!$B$3))^12)*100)</f>
        <v/>
      </c>
      <c r="CI10" s="25">
        <f>IF(AD10=1,0,BV10-(1-(1-(1/(1+EXP(-(BT10-BQ10)))*Parameters!$B$3))^12)*100)</f>
        <v/>
      </c>
      <c r="CJ10" s="25">
        <f>IF(AD10=1,0,BV10-(1-(1-(1/(1+EXP(-(BT10-BR10)))*Parameters!$B$3))^12)*100)</f>
        <v/>
      </c>
    </row>
    <row r="11">
      <c r="A11" s="17" t="inlineStr">
        <is>
          <t>GNR_2024_NEW</t>
        </is>
      </c>
      <c r="B11" s="17" t="inlineStr">
        <is>
          <t>3618AVAN6</t>
        </is>
      </c>
      <c r="C11" s="17" t="inlineStr">
        <is>
          <t>PN</t>
        </is>
      </c>
      <c r="D11" s="17" t="inlineStr">
        <is>
          <t>GREYSTONE FUNDING COMPANY LLC</t>
        </is>
      </c>
      <c r="E11" s="17" t="inlineStr">
        <is>
          <t>3618AVAN6_000000001211578</t>
        </is>
      </c>
      <c r="F11" s="17" t="n">
        <v>202603</v>
      </c>
      <c r="G11" s="18" t="n">
        <v>5.42</v>
      </c>
      <c r="H11" s="19" t="n">
        <v>62488943.54</v>
      </c>
      <c r="I11" s="17" t="n">
        <v>420</v>
      </c>
      <c r="J11" s="17" t="n">
        <v>20230228</v>
      </c>
      <c r="K11" s="17" t="n">
        <v>20580301</v>
      </c>
      <c r="L11" s="17" t="n"/>
      <c r="M11" s="17" t="n">
        <v>20330401</v>
      </c>
      <c r="N11" s="17" t="n">
        <v>10</v>
      </c>
      <c r="O11" s="17" t="inlineStr">
        <is>
          <t>207/223(F)</t>
        </is>
      </c>
      <c r="P11" s="17" t="inlineStr">
        <is>
          <t>BAF</t>
        </is>
      </c>
      <c r="Q11" s="17" t="n"/>
      <c r="R11" s="17" t="n"/>
      <c r="S11" s="17" t="n"/>
      <c r="T11" s="17" t="inlineStr">
        <is>
          <t>NY</t>
        </is>
      </c>
      <c r="U11" s="17" t="n">
        <v>251</v>
      </c>
      <c r="V11" s="17" t="n">
        <v>490.5</v>
      </c>
      <c r="W11" s="17" t="n">
        <v>37</v>
      </c>
      <c r="X11" s="17" t="n">
        <v>2023</v>
      </c>
      <c r="Y11" s="17" t="n">
        <v>-16.5</v>
      </c>
      <c r="Z11" s="17" t="n">
        <v>8</v>
      </c>
      <c r="AA11" s="20">
        <f>IF(ISNUMBER(W11),W11,IFERROR(MAX(0,(VALUE(LEFT(F11,4))-VALUE(LEFT(TEXT(J11,"00000000"),4)))*12+(VALUE(MID(F11,5,2))-VALUE(MID(TEXT(J11,"00000000"),5,2)))),""))</f>
        <v/>
      </c>
      <c r="AB11" s="20">
        <f>IFERROR((VALUE(LEFT(TEXT(K11,"00000000"),4))-VALUE(LEFT(F11,4)))*12+(VALUE(MID(TEXT(K11,"00000000"),5,2))-VALUE(MID(F11,5,2))),"")</f>
        <v/>
      </c>
      <c r="AC11" s="20">
        <f>IF(OR(L11="",NOT(ISNUMBER(L11))),0,MAX(0,MIN(60,(VALUE(LEFT(F11,4))-VALUE(LEFT(TEXT(L11,"00000000"),4)))*12+(VALUE(MID(F11,5,2))-VALUE(MID(TEXT(L11,"00000000"),5,2))))))</f>
        <v/>
      </c>
      <c r="AD11" s="20">
        <f>IF(OR(L11="",NOT(ISNUMBER(L11))),0,IF(VALUE(F11)&lt;VALUE(LEFT(TEXT(L11,"00000000"),6)),1,0))</f>
        <v/>
      </c>
      <c r="AE11" s="20">
        <f>IF(OR(M11="",NOT(ISNUMBER(M11))),0,IF(VALUE(F11)&lt;VALUE(LEFT(TEXT(M11,"00000000"),6)),1,0))</f>
        <v/>
      </c>
      <c r="AF11" s="20">
        <f>IF(AND(AD11=0,AE11=0),1,0)</f>
        <v/>
      </c>
      <c r="AG11" s="20">
        <f>IF(ISNUMBER(X11),X11,IFERROR(VALUE(LEFT(TEXT(J11,"00000000"),4)),""))</f>
        <v/>
      </c>
      <c r="AH11" s="20">
        <f>IFERROR(XLOOKUP(AG11,Vintage_Rates!$A$2:$A$1000,Vintage_Rates!$B$2:$B$1000,""),"")</f>
        <v/>
      </c>
      <c r="AI11" s="20">
        <f>IF(ISNUMBER(Y11),Y11,IFERROR((G11-AH11)*100,""))</f>
        <v/>
      </c>
      <c r="AJ11" s="20">
        <f>IF(ISNUMBER(V11),V11,IFERROR(XLOOKUP(VALUE(F11),PLC_Rates!$A$2:$A$1000,PLC_Rates!$B$2:$B$1000,""),""))</f>
        <v/>
      </c>
      <c r="AK11" s="20">
        <f>IF(ISNUMBER(Z11),Z11,IF(AE11=0,0,MAX(0,MIN(10,((VALUE(LEFT(TEXT(M11,"00000000"),4))-VALUE(LEFT(F11,4)))*12+(VALUE(MID(TEXT(M11,"00000000"),5,2))-VALUE(MID(F11,5,2))))/12))))</f>
        <v/>
      </c>
      <c r="AL11" s="20">
        <f>IFERROR(G11*100-AJ11,"")</f>
        <v/>
      </c>
      <c r="AM11" s="20">
        <f>IFERROR(G11*100-(AJ11+(1+AK11)*12.5),"")</f>
        <v/>
      </c>
      <c r="AN11" s="21">
        <f>IFERROR(MIN(H11/1000000,100),"")</f>
        <v/>
      </c>
      <c r="AO11" s="20">
        <f>IFERROR(INDEX(FHA_Lookup!$B$2:$B$11,MATCH(TRUE,ISNUMBER(SEARCH(FHA_Lookup!$A$2:$A$11,UPPER(SUBSTITUTE(O11," ","")))),0)),"OTHER")</f>
        <v/>
      </c>
      <c r="AP11" s="20">
        <f>IFERROR(INDEX(FHA_Lookup!$C$2:$C$11,MATCH(TRUE,ISNUMBER(SEARCH(FHA_Lookup!$A$2:$A$11,UPPER(SUBSTITUTE(O11," ","")))),0)),"OTHER")</f>
        <v/>
      </c>
      <c r="AQ11" s="20">
        <f>IF(AP11="NC",1,0)</f>
        <v/>
      </c>
      <c r="AR11" s="20">
        <f>IF(UPPER(TRIM(P11))="AFF",1,0)</f>
        <v/>
      </c>
      <c r="AS11" s="20">
        <f>IF(UPPER(TRIM(P11))="BAF",1,0)</f>
        <v/>
      </c>
      <c r="AT11" s="20">
        <f>IF(UPPER(TRIM(P11))="MKT",1,0)</f>
        <v/>
      </c>
      <c r="AU11" s="20">
        <f>IF(AO11="221d4",1,0)</f>
        <v/>
      </c>
      <c r="AV11" s="20">
        <f>IF(AO11="223a7",1,0)</f>
        <v/>
      </c>
      <c r="AW11" s="20">
        <f>IF(AO11="232",1,0)</f>
        <v/>
      </c>
      <c r="AX11" s="20">
        <f>IF(AO11="538",1,0)</f>
        <v/>
      </c>
      <c r="AY11" s="20">
        <f>IF(AO11="241",1,0)</f>
        <v/>
      </c>
      <c r="AZ11" s="20">
        <f>IF(AO11="220",1,0)</f>
        <v/>
      </c>
      <c r="BA11" s="20">
        <f>IF(AO11="OTHER",1,0)</f>
        <v/>
      </c>
      <c r="BB11" s="20">
        <f>IF(UPPER(TRIM(C11))="LM",1,0)</f>
        <v/>
      </c>
      <c r="BC11" s="20">
        <f>IF(UPPER(TRIM(C11))="PN",1,0)</f>
        <v/>
      </c>
      <c r="BD11" s="20">
        <f>IF(UPPER(TRIM(C11))="LS",1,0)</f>
        <v/>
      </c>
      <c r="BE11" s="20">
        <f>IF(UPPER(TRIM(C11))="RX",1,0)</f>
        <v/>
      </c>
      <c r="BF11" s="22">
        <f>IFERROR((Parameters!$C$6*AM11+Parameters!$C$7*MAX(AM11-(-150),0)+Parameters!$C$8*MAX(AM11-(-50),0)+Parameters!$C$9*MAX(AM11-(0),0)+Parameters!$C$10*MAX(AM11-(50),0)+Parameters!$C$11*MAX(AM11-(100),0)+Parameters!$C$12*MAX(AM11-(150),0)+Parameters!$C$13*MAX(AM11-(250),0)),0)</f>
        <v/>
      </c>
      <c r="BG11" s="22">
        <f>IFERROR((Parameters!$C$14*AA11+Parameters!$C$15*MAX(AA11-(12),0)+Parameters!$C$16*MAX(AA11-(36),0)+Parameters!$C$17*MAX(AA11-(60),0)+Parameters!$C$18*MAX(AA11-(84),0)+Parameters!$C$19*MAX(AA11-(120),0)+Parameters!$C$20*MAX(AA11-(180),0)),0)</f>
        <v/>
      </c>
      <c r="BH11" s="22">
        <f>IFERROR((Parameters!$C$21*AK11+Parameters!$C$22*MAX(AK11-(0),0)+Parameters!$C$23*MAX(AK11-(2),0)+Parameters!$C$24*MAX(AK11-(5),0)+Parameters!$C$25*MAX(AK11-(8),0)),0)</f>
        <v/>
      </c>
      <c r="BI11" s="22">
        <f>IFERROR((Parameters!$C$26*AI11+Parameters!$C$27*MAX(AI11-(-100),0)+Parameters!$C$28*MAX(AI11-(-25),0)+Parameters!$C$29*MAX(AI11-(25),0)+Parameters!$C$30*MAX(AI11-(100),0)),0)</f>
        <v/>
      </c>
      <c r="BJ11" s="22">
        <f>IFERROR((Parameters!$C$31*AN11+Parameters!$C$32*MAX(AN11-(2),0)+Parameters!$C$33*MAX(AN11-(10),0)+Parameters!$C$34*MAX(AN11-(25),0)),0)</f>
        <v/>
      </c>
      <c r="BK11" s="22">
        <f>IFERROR((Parameters!$C$35*AB11+Parameters!$C$36*MAX(AB11-(12),0)+Parameters!$C$37*MAX(AB11-(24),0)+Parameters!$C$38*MAX(AB11-(60),0)),0)</f>
        <v/>
      </c>
      <c r="BL11" s="22">
        <f>IFERROR((Parameters!$C$39*AC11+Parameters!$C$40*MAX(AC11-(6),0)+Parameters!$C$41*MAX(AC11-(12),0)+Parameters!$C$42*MAX(AC11-(24),0)),0)</f>
        <v/>
      </c>
      <c r="BM11" s="22">
        <f>IFERROR(Parameters!$C$43*(MAX(AM11,0)*MIN(MAX(AK11,0),10))/100,0)</f>
        <v/>
      </c>
      <c r="BN11" s="22">
        <f>Parameters!$C$44*AE11</f>
        <v/>
      </c>
      <c r="BO11" s="22">
        <f>Parameters!$C$45*AU11 + Parameters!$C$46*AV11 + Parameters!$C$47*AW11 + Parameters!$C$48*AX11 + Parameters!$C$49*AY11 + Parameters!$C$50*AZ11 + Parameters!$C$51*BA11</f>
        <v/>
      </c>
      <c r="BP11" s="22">
        <f>Parameters!$C$52*AQ11</f>
        <v/>
      </c>
      <c r="BQ11" s="22">
        <f>Parameters!$C$53*AR11+Parameters!$C$54*AS11+Parameters!$C$55*AT11</f>
        <v/>
      </c>
      <c r="BR11" s="22">
        <f>Parameters!$C$56*BB11+Parameters!$C$57*BC11+Parameters!$C$58*BD11+Parameters!$C$59*BE11</f>
        <v/>
      </c>
      <c r="BS11" s="23">
        <f>Parameters!$B$2</f>
        <v/>
      </c>
      <c r="BT11" s="23">
        <f>BS11+BF11 + BG11 + BH11 + BI11 + BJ11 + BK11 + BL11 + BM11 + BN11 + BO11 + BP11 + BQ11 + BR11</f>
        <v/>
      </c>
      <c r="BU11" s="24">
        <f>IF(AD11=1,0,1/(1+EXP(-BT11))*Parameters!$B$3)</f>
        <v/>
      </c>
      <c r="BV11" s="25">
        <f>(1-(1-BU11)^12)*100</f>
        <v/>
      </c>
      <c r="BW11" s="25">
        <f>IF(AD11=1,0,(1-(1-1/(1+EXP(-Parameters!$B$2)))^12)*100)</f>
        <v/>
      </c>
      <c r="BX11" s="25">
        <f>IF(AD11=1,0,BV11-(1-(1-(1/(1+EXP(-(BT11-BF11)))*Parameters!$B$3))^12)*100)</f>
        <v/>
      </c>
      <c r="BY11" s="25">
        <f>IF(AD11=1,0,BV11-(1-(1-(1/(1+EXP(-(BT11-BG11)))*Parameters!$B$3))^12)*100)</f>
        <v/>
      </c>
      <c r="BZ11" s="25">
        <f>IF(AD11=1,0,BV11-(1-(1-(1/(1+EXP(-(BT11-BH11)))*Parameters!$B$3))^12)*100)</f>
        <v/>
      </c>
      <c r="CA11" s="25">
        <f>IF(AD11=1,0,BV11-(1-(1-(1/(1+EXP(-(BT11-BI11)))*Parameters!$B$3))^12)*100)</f>
        <v/>
      </c>
      <c r="CB11" s="25">
        <f>IF(AD11=1,0,BV11-(1-(1-(1/(1+EXP(-(BT11-BJ11)))*Parameters!$B$3))^12)*100)</f>
        <v/>
      </c>
      <c r="CC11" s="25">
        <f>IF(AD11=1,0,BV11-(1-(1-(1/(1+EXP(-(BT11-BK11)))*Parameters!$B$3))^12)*100)</f>
        <v/>
      </c>
      <c r="CD11" s="25">
        <f>IF(AD11=1,0,BV11-(1-(1-(1/(1+EXP(-(BT11-BL11)))*Parameters!$B$3))^12)*100)</f>
        <v/>
      </c>
      <c r="CE11" s="25">
        <f>IF(AD11=1,0,BV11-(1-(1-(1/(1+EXP(-(BT11-BM11)))*Parameters!$B$3))^12)*100)</f>
        <v/>
      </c>
      <c r="CF11" s="25">
        <f>IF(AD11=1,0,BV11-(1-(1-(1/(1+EXP(-(BT11-BN11)))*Parameters!$B$3))^12)*100)</f>
        <v/>
      </c>
      <c r="CG11" s="25">
        <f>IF(AD11=1,0,BV11-(1-(1-(1/(1+EXP(-(BT11-BO11)))*Parameters!$B$3))^12)*100)</f>
        <v/>
      </c>
      <c r="CH11" s="25">
        <f>IF(AD11=1,0,BV11-(1-(1-(1/(1+EXP(-(BT11-BP11)))*Parameters!$B$3))^12)*100)</f>
        <v/>
      </c>
      <c r="CI11" s="25">
        <f>IF(AD11=1,0,BV11-(1-(1-(1/(1+EXP(-(BT11-BQ11)))*Parameters!$B$3))^12)*100)</f>
        <v/>
      </c>
      <c r="CJ11" s="25">
        <f>IF(AD11=1,0,BV11-(1-(1-(1/(1+EXP(-(BT11-BR11)))*Parameters!$B$3))^12)*100)</f>
        <v/>
      </c>
    </row>
    <row r="12">
      <c r="A12" s="17" t="inlineStr">
        <is>
          <t>GNR_2024_NEW</t>
        </is>
      </c>
      <c r="B12" s="17" t="inlineStr">
        <is>
          <t>3618G0RF7</t>
        </is>
      </c>
      <c r="C12" s="17" t="inlineStr">
        <is>
          <t>PN</t>
        </is>
      </c>
      <c r="D12" s="17" t="inlineStr">
        <is>
          <t>VIUM CAPITAL MORTGAGE, LLC.</t>
        </is>
      </c>
      <c r="E12" s="17" t="inlineStr">
        <is>
          <t>3618G0RF7_000000011422143</t>
        </is>
      </c>
      <c r="F12" s="17" t="n">
        <v>202603</v>
      </c>
      <c r="G12" s="18" t="n">
        <v>6.69</v>
      </c>
      <c r="H12" s="19" t="n">
        <v>15740254.08</v>
      </c>
      <c r="I12" s="17" t="n">
        <v>420</v>
      </c>
      <c r="J12" s="17" t="n">
        <v>20240501</v>
      </c>
      <c r="K12" s="17" t="n">
        <v>20590601</v>
      </c>
      <c r="L12" s="17" t="n"/>
      <c r="M12" s="17" t="n">
        <v>20340701</v>
      </c>
      <c r="N12" s="17" t="n">
        <v>10</v>
      </c>
      <c r="O12" s="17" t="inlineStr">
        <is>
          <t>232/223(F)</t>
        </is>
      </c>
      <c r="P12" s="17" t="inlineStr">
        <is>
          <t>MKT</t>
        </is>
      </c>
      <c r="Q12" s="17" t="n"/>
      <c r="R12" s="17" t="n"/>
      <c r="S12" s="17" t="n"/>
      <c r="T12" s="17" t="inlineStr">
        <is>
          <t>TX</t>
        </is>
      </c>
      <c r="U12" s="17" t="n">
        <v>62</v>
      </c>
      <c r="V12" s="17" t="n">
        <v>490.5</v>
      </c>
      <c r="W12" s="17" t="n">
        <v>22</v>
      </c>
      <c r="X12" s="17" t="n">
        <v>2024</v>
      </c>
      <c r="Y12" s="17" t="n">
        <v>91</v>
      </c>
      <c r="Z12" s="17" t="n">
        <v>10</v>
      </c>
      <c r="AA12" s="20">
        <f>IF(ISNUMBER(W12),W12,IFERROR(MAX(0,(VALUE(LEFT(F12,4))-VALUE(LEFT(TEXT(J12,"00000000"),4)))*12+(VALUE(MID(F12,5,2))-VALUE(MID(TEXT(J12,"00000000"),5,2)))),""))</f>
        <v/>
      </c>
      <c r="AB12" s="20">
        <f>IFERROR((VALUE(LEFT(TEXT(K12,"00000000"),4))-VALUE(LEFT(F12,4)))*12+(VALUE(MID(TEXT(K12,"00000000"),5,2))-VALUE(MID(F12,5,2))),"")</f>
        <v/>
      </c>
      <c r="AC12" s="20">
        <f>IF(OR(L12="",NOT(ISNUMBER(L12))),0,MAX(0,MIN(60,(VALUE(LEFT(F12,4))-VALUE(LEFT(TEXT(L12,"00000000"),4)))*12+(VALUE(MID(F12,5,2))-VALUE(MID(TEXT(L12,"00000000"),5,2))))))</f>
        <v/>
      </c>
      <c r="AD12" s="20">
        <f>IF(OR(L12="",NOT(ISNUMBER(L12))),0,IF(VALUE(F12)&lt;VALUE(LEFT(TEXT(L12,"00000000"),6)),1,0))</f>
        <v/>
      </c>
      <c r="AE12" s="20">
        <f>IF(OR(M12="",NOT(ISNUMBER(M12))),0,IF(VALUE(F12)&lt;VALUE(LEFT(TEXT(M12,"00000000"),6)),1,0))</f>
        <v/>
      </c>
      <c r="AF12" s="20">
        <f>IF(AND(AD12=0,AE12=0),1,0)</f>
        <v/>
      </c>
      <c r="AG12" s="20">
        <f>IF(ISNUMBER(X12),X12,IFERROR(VALUE(LEFT(TEXT(J12,"00000000"),4)),""))</f>
        <v/>
      </c>
      <c r="AH12" s="20">
        <f>IFERROR(XLOOKUP(AG12,Vintage_Rates!$A$2:$A$1000,Vintage_Rates!$B$2:$B$1000,""),"")</f>
        <v/>
      </c>
      <c r="AI12" s="20">
        <f>IF(ISNUMBER(Y12),Y12,IFERROR((G12-AH12)*100,""))</f>
        <v/>
      </c>
      <c r="AJ12" s="20">
        <f>IF(ISNUMBER(V12),V12,IFERROR(XLOOKUP(VALUE(F12),PLC_Rates!$A$2:$A$1000,PLC_Rates!$B$2:$B$1000,""),""))</f>
        <v/>
      </c>
      <c r="AK12" s="20">
        <f>IF(ISNUMBER(Z12),Z12,IF(AE12=0,0,MAX(0,MIN(10,((VALUE(LEFT(TEXT(M12,"00000000"),4))-VALUE(LEFT(F12,4)))*12+(VALUE(MID(TEXT(M12,"00000000"),5,2))-VALUE(MID(F12,5,2))))/12))))</f>
        <v/>
      </c>
      <c r="AL12" s="20">
        <f>IFERROR(G12*100-AJ12,"")</f>
        <v/>
      </c>
      <c r="AM12" s="20">
        <f>IFERROR(G12*100-(AJ12+(1+AK12)*12.5),"")</f>
        <v/>
      </c>
      <c r="AN12" s="21">
        <f>IFERROR(MIN(H12/1000000,100),"")</f>
        <v/>
      </c>
      <c r="AO12" s="20">
        <f>IFERROR(INDEX(FHA_Lookup!$B$2:$B$11,MATCH(TRUE,ISNUMBER(SEARCH(FHA_Lookup!$A$2:$A$11,UPPER(SUBSTITUTE(O12," ","")))),0)),"OTHER")</f>
        <v/>
      </c>
      <c r="AP12" s="20">
        <f>IFERROR(INDEX(FHA_Lookup!$C$2:$C$11,MATCH(TRUE,ISNUMBER(SEARCH(FHA_Lookup!$A$2:$A$11,UPPER(SUBSTITUTE(O12," ","")))),0)),"OTHER")</f>
        <v/>
      </c>
      <c r="AQ12" s="20">
        <f>IF(AP12="NC",1,0)</f>
        <v/>
      </c>
      <c r="AR12" s="20">
        <f>IF(UPPER(TRIM(P12))="AFF",1,0)</f>
        <v/>
      </c>
      <c r="AS12" s="20">
        <f>IF(UPPER(TRIM(P12))="BAF",1,0)</f>
        <v/>
      </c>
      <c r="AT12" s="20">
        <f>IF(UPPER(TRIM(P12))="MKT",1,0)</f>
        <v/>
      </c>
      <c r="AU12" s="20">
        <f>IF(AO12="221d4",1,0)</f>
        <v/>
      </c>
      <c r="AV12" s="20">
        <f>IF(AO12="223a7",1,0)</f>
        <v/>
      </c>
      <c r="AW12" s="20">
        <f>IF(AO12="232",1,0)</f>
        <v/>
      </c>
      <c r="AX12" s="20">
        <f>IF(AO12="538",1,0)</f>
        <v/>
      </c>
      <c r="AY12" s="20">
        <f>IF(AO12="241",1,0)</f>
        <v/>
      </c>
      <c r="AZ12" s="20">
        <f>IF(AO12="220",1,0)</f>
        <v/>
      </c>
      <c r="BA12" s="20">
        <f>IF(AO12="OTHER",1,0)</f>
        <v/>
      </c>
      <c r="BB12" s="20">
        <f>IF(UPPER(TRIM(C12))="LM",1,0)</f>
        <v/>
      </c>
      <c r="BC12" s="20">
        <f>IF(UPPER(TRIM(C12))="PN",1,0)</f>
        <v/>
      </c>
      <c r="BD12" s="20">
        <f>IF(UPPER(TRIM(C12))="LS",1,0)</f>
        <v/>
      </c>
      <c r="BE12" s="20">
        <f>IF(UPPER(TRIM(C12))="RX",1,0)</f>
        <v/>
      </c>
      <c r="BF12" s="22">
        <f>IFERROR((Parameters!$C$6*AM12+Parameters!$C$7*MAX(AM12-(-150),0)+Parameters!$C$8*MAX(AM12-(-50),0)+Parameters!$C$9*MAX(AM12-(0),0)+Parameters!$C$10*MAX(AM12-(50),0)+Parameters!$C$11*MAX(AM12-(100),0)+Parameters!$C$12*MAX(AM12-(150),0)+Parameters!$C$13*MAX(AM12-(250),0)),0)</f>
        <v/>
      </c>
      <c r="BG12" s="22">
        <f>IFERROR((Parameters!$C$14*AA12+Parameters!$C$15*MAX(AA12-(12),0)+Parameters!$C$16*MAX(AA12-(36),0)+Parameters!$C$17*MAX(AA12-(60),0)+Parameters!$C$18*MAX(AA12-(84),0)+Parameters!$C$19*MAX(AA12-(120),0)+Parameters!$C$20*MAX(AA12-(180),0)),0)</f>
        <v/>
      </c>
      <c r="BH12" s="22">
        <f>IFERROR((Parameters!$C$21*AK12+Parameters!$C$22*MAX(AK12-(0),0)+Parameters!$C$23*MAX(AK12-(2),0)+Parameters!$C$24*MAX(AK12-(5),0)+Parameters!$C$25*MAX(AK12-(8),0)),0)</f>
        <v/>
      </c>
      <c r="BI12" s="22">
        <f>IFERROR((Parameters!$C$26*AI12+Parameters!$C$27*MAX(AI12-(-100),0)+Parameters!$C$28*MAX(AI12-(-25),0)+Parameters!$C$29*MAX(AI12-(25),0)+Parameters!$C$30*MAX(AI12-(100),0)),0)</f>
        <v/>
      </c>
      <c r="BJ12" s="22">
        <f>IFERROR((Parameters!$C$31*AN12+Parameters!$C$32*MAX(AN12-(2),0)+Parameters!$C$33*MAX(AN12-(10),0)+Parameters!$C$34*MAX(AN12-(25),0)),0)</f>
        <v/>
      </c>
      <c r="BK12" s="22">
        <f>IFERROR((Parameters!$C$35*AB12+Parameters!$C$36*MAX(AB12-(12),0)+Parameters!$C$37*MAX(AB12-(24),0)+Parameters!$C$38*MAX(AB12-(60),0)),0)</f>
        <v/>
      </c>
      <c r="BL12" s="22">
        <f>IFERROR((Parameters!$C$39*AC12+Parameters!$C$40*MAX(AC12-(6),0)+Parameters!$C$41*MAX(AC12-(12),0)+Parameters!$C$42*MAX(AC12-(24),0)),0)</f>
        <v/>
      </c>
      <c r="BM12" s="22">
        <f>IFERROR(Parameters!$C$43*(MAX(AM12,0)*MIN(MAX(AK12,0),10))/100,0)</f>
        <v/>
      </c>
      <c r="BN12" s="22">
        <f>Parameters!$C$44*AE12</f>
        <v/>
      </c>
      <c r="BO12" s="22">
        <f>Parameters!$C$45*AU12 + Parameters!$C$46*AV12 + Parameters!$C$47*AW12 + Parameters!$C$48*AX12 + Parameters!$C$49*AY12 + Parameters!$C$50*AZ12 + Parameters!$C$51*BA12</f>
        <v/>
      </c>
      <c r="BP12" s="22">
        <f>Parameters!$C$52*AQ12</f>
        <v/>
      </c>
      <c r="BQ12" s="22">
        <f>Parameters!$C$53*AR12+Parameters!$C$54*AS12+Parameters!$C$55*AT12</f>
        <v/>
      </c>
      <c r="BR12" s="22">
        <f>Parameters!$C$56*BB12+Parameters!$C$57*BC12+Parameters!$C$58*BD12+Parameters!$C$59*BE12</f>
        <v/>
      </c>
      <c r="BS12" s="23">
        <f>Parameters!$B$2</f>
        <v/>
      </c>
      <c r="BT12" s="23">
        <f>BS12+BF12 + BG12 + BH12 + BI12 + BJ12 + BK12 + BL12 + BM12 + BN12 + BO12 + BP12 + BQ12 + BR12</f>
        <v/>
      </c>
      <c r="BU12" s="24">
        <f>IF(AD12=1,0,1/(1+EXP(-BT12))*Parameters!$B$3)</f>
        <v/>
      </c>
      <c r="BV12" s="25">
        <f>(1-(1-BU12)^12)*100</f>
        <v/>
      </c>
      <c r="BW12" s="25">
        <f>IF(AD12=1,0,(1-(1-1/(1+EXP(-Parameters!$B$2)))^12)*100)</f>
        <v/>
      </c>
      <c r="BX12" s="25">
        <f>IF(AD12=1,0,BV12-(1-(1-(1/(1+EXP(-(BT12-BF12)))*Parameters!$B$3))^12)*100)</f>
        <v/>
      </c>
      <c r="BY12" s="25">
        <f>IF(AD12=1,0,BV12-(1-(1-(1/(1+EXP(-(BT12-BG12)))*Parameters!$B$3))^12)*100)</f>
        <v/>
      </c>
      <c r="BZ12" s="25">
        <f>IF(AD12=1,0,BV12-(1-(1-(1/(1+EXP(-(BT12-BH12)))*Parameters!$B$3))^12)*100)</f>
        <v/>
      </c>
      <c r="CA12" s="25">
        <f>IF(AD12=1,0,BV12-(1-(1-(1/(1+EXP(-(BT12-BI12)))*Parameters!$B$3))^12)*100)</f>
        <v/>
      </c>
      <c r="CB12" s="25">
        <f>IF(AD12=1,0,BV12-(1-(1-(1/(1+EXP(-(BT12-BJ12)))*Parameters!$B$3))^12)*100)</f>
        <v/>
      </c>
      <c r="CC12" s="25">
        <f>IF(AD12=1,0,BV12-(1-(1-(1/(1+EXP(-(BT12-BK12)))*Parameters!$B$3))^12)*100)</f>
        <v/>
      </c>
      <c r="CD12" s="25">
        <f>IF(AD12=1,0,BV12-(1-(1-(1/(1+EXP(-(BT12-BL12)))*Parameters!$B$3))^12)*100)</f>
        <v/>
      </c>
      <c r="CE12" s="25">
        <f>IF(AD12=1,0,BV12-(1-(1-(1/(1+EXP(-(BT12-BM12)))*Parameters!$B$3))^12)*100)</f>
        <v/>
      </c>
      <c r="CF12" s="25">
        <f>IF(AD12=1,0,BV12-(1-(1-(1/(1+EXP(-(BT12-BN12)))*Parameters!$B$3))^12)*100)</f>
        <v/>
      </c>
      <c r="CG12" s="25">
        <f>IF(AD12=1,0,BV12-(1-(1-(1/(1+EXP(-(BT12-BO12)))*Parameters!$B$3))^12)*100)</f>
        <v/>
      </c>
      <c r="CH12" s="25">
        <f>IF(AD12=1,0,BV12-(1-(1-(1/(1+EXP(-(BT12-BP12)))*Parameters!$B$3))^12)*100)</f>
        <v/>
      </c>
      <c r="CI12" s="25">
        <f>IF(AD12=1,0,BV12-(1-(1-(1/(1+EXP(-(BT12-BQ12)))*Parameters!$B$3))^12)*100)</f>
        <v/>
      </c>
      <c r="CJ12" s="25">
        <f>IF(AD12=1,0,BV12-(1-(1-(1/(1+EXP(-(BT12-BR12)))*Parameters!$B$3))^12)*100)</f>
        <v/>
      </c>
    </row>
    <row r="13">
      <c r="A13" s="17" t="inlineStr">
        <is>
          <t>GNR_2024_NEW</t>
        </is>
      </c>
      <c r="B13" s="17" t="inlineStr">
        <is>
          <t>3618HNBE6</t>
        </is>
      </c>
      <c r="C13" s="17" t="inlineStr">
        <is>
          <t>PN</t>
        </is>
      </c>
      <c r="D13" s="17" t="inlineStr">
        <is>
          <t>LUMENT REAL ESTATE CAPITAL,LLC</t>
        </is>
      </c>
      <c r="E13" s="17" t="inlineStr">
        <is>
          <t>3618HNBE6_000000012122264</t>
        </is>
      </c>
      <c r="F13" s="17" t="n">
        <v>202603</v>
      </c>
      <c r="G13" s="18" t="n">
        <v>5.85</v>
      </c>
      <c r="H13" s="19" t="n">
        <v>10076795.56</v>
      </c>
      <c r="I13" s="17" t="n">
        <v>420</v>
      </c>
      <c r="J13" s="17" t="n">
        <v>20250301</v>
      </c>
      <c r="K13" s="17" t="n">
        <v>20600401</v>
      </c>
      <c r="L13" s="17" t="n"/>
      <c r="M13" s="17" t="n">
        <v>20350501</v>
      </c>
      <c r="N13" s="17" t="n">
        <v>10</v>
      </c>
      <c r="O13" s="17" t="inlineStr">
        <is>
          <t>232/223(F)</t>
        </is>
      </c>
      <c r="P13" s="17" t="n"/>
      <c r="Q13" s="17" t="n"/>
      <c r="R13" s="17" t="n"/>
      <c r="S13" s="17" t="n"/>
      <c r="T13" s="17" t="inlineStr">
        <is>
          <t>CA</t>
        </is>
      </c>
      <c r="U13" s="17" t="n">
        <v>44</v>
      </c>
      <c r="V13" s="17" t="n">
        <v>490.5</v>
      </c>
      <c r="W13" s="17" t="n">
        <v>12</v>
      </c>
      <c r="X13" s="17" t="n">
        <v>2025</v>
      </c>
      <c r="Y13" s="17" t="n">
        <v>3</v>
      </c>
      <c r="Z13" s="17" t="n">
        <v>10</v>
      </c>
      <c r="AA13" s="20">
        <f>IF(ISNUMBER(W13),W13,IFERROR(MAX(0,(VALUE(LEFT(F13,4))-VALUE(LEFT(TEXT(J13,"00000000"),4)))*12+(VALUE(MID(F13,5,2))-VALUE(MID(TEXT(J13,"00000000"),5,2)))),""))</f>
        <v/>
      </c>
      <c r="AB13" s="20">
        <f>IFERROR((VALUE(LEFT(TEXT(K13,"00000000"),4))-VALUE(LEFT(F13,4)))*12+(VALUE(MID(TEXT(K13,"00000000"),5,2))-VALUE(MID(F13,5,2))),"")</f>
        <v/>
      </c>
      <c r="AC13" s="20">
        <f>IF(OR(L13="",NOT(ISNUMBER(L13))),0,MAX(0,MIN(60,(VALUE(LEFT(F13,4))-VALUE(LEFT(TEXT(L13,"00000000"),4)))*12+(VALUE(MID(F13,5,2))-VALUE(MID(TEXT(L13,"00000000"),5,2))))))</f>
        <v/>
      </c>
      <c r="AD13" s="20">
        <f>IF(OR(L13="",NOT(ISNUMBER(L13))),0,IF(VALUE(F13)&lt;VALUE(LEFT(TEXT(L13,"00000000"),6)),1,0))</f>
        <v/>
      </c>
      <c r="AE13" s="20">
        <f>IF(OR(M13="",NOT(ISNUMBER(M13))),0,IF(VALUE(F13)&lt;VALUE(LEFT(TEXT(M13,"00000000"),6)),1,0))</f>
        <v/>
      </c>
      <c r="AF13" s="20">
        <f>IF(AND(AD13=0,AE13=0),1,0)</f>
        <v/>
      </c>
      <c r="AG13" s="20">
        <f>IF(ISNUMBER(X13),X13,IFERROR(VALUE(LEFT(TEXT(J13,"00000000"),4)),""))</f>
        <v/>
      </c>
      <c r="AH13" s="20">
        <f>IFERROR(XLOOKUP(AG13,Vintage_Rates!$A$2:$A$1000,Vintage_Rates!$B$2:$B$1000,""),"")</f>
        <v/>
      </c>
      <c r="AI13" s="20">
        <f>IF(ISNUMBER(Y13),Y13,IFERROR((G13-AH13)*100,""))</f>
        <v/>
      </c>
      <c r="AJ13" s="20">
        <f>IF(ISNUMBER(V13),V13,IFERROR(XLOOKUP(VALUE(F13),PLC_Rates!$A$2:$A$1000,PLC_Rates!$B$2:$B$1000,""),""))</f>
        <v/>
      </c>
      <c r="AK13" s="20">
        <f>IF(ISNUMBER(Z13),Z13,IF(AE13=0,0,MAX(0,MIN(10,((VALUE(LEFT(TEXT(M13,"00000000"),4))-VALUE(LEFT(F13,4)))*12+(VALUE(MID(TEXT(M13,"00000000"),5,2))-VALUE(MID(F13,5,2))))/12))))</f>
        <v/>
      </c>
      <c r="AL13" s="20">
        <f>IFERROR(G13*100-AJ13,"")</f>
        <v/>
      </c>
      <c r="AM13" s="20">
        <f>IFERROR(G13*100-(AJ13+(1+AK13)*12.5),"")</f>
        <v/>
      </c>
      <c r="AN13" s="21">
        <f>IFERROR(MIN(H13/1000000,100),"")</f>
        <v/>
      </c>
      <c r="AO13" s="20">
        <f>IFERROR(INDEX(FHA_Lookup!$B$2:$B$11,MATCH(TRUE,ISNUMBER(SEARCH(FHA_Lookup!$A$2:$A$11,UPPER(SUBSTITUTE(O13," ","")))),0)),"OTHER")</f>
        <v/>
      </c>
      <c r="AP13" s="20">
        <f>IFERROR(INDEX(FHA_Lookup!$C$2:$C$11,MATCH(TRUE,ISNUMBER(SEARCH(FHA_Lookup!$A$2:$A$11,UPPER(SUBSTITUTE(O13," ","")))),0)),"OTHER")</f>
        <v/>
      </c>
      <c r="AQ13" s="20">
        <f>IF(AP13="NC",1,0)</f>
        <v/>
      </c>
      <c r="AR13" s="20">
        <f>IF(UPPER(TRIM(P13))="AFF",1,0)</f>
        <v/>
      </c>
      <c r="AS13" s="20">
        <f>IF(UPPER(TRIM(P13))="BAF",1,0)</f>
        <v/>
      </c>
      <c r="AT13" s="20">
        <f>IF(UPPER(TRIM(P13))="MKT",1,0)</f>
        <v/>
      </c>
      <c r="AU13" s="20">
        <f>IF(AO13="221d4",1,0)</f>
        <v/>
      </c>
      <c r="AV13" s="20">
        <f>IF(AO13="223a7",1,0)</f>
        <v/>
      </c>
      <c r="AW13" s="20">
        <f>IF(AO13="232",1,0)</f>
        <v/>
      </c>
      <c r="AX13" s="20">
        <f>IF(AO13="538",1,0)</f>
        <v/>
      </c>
      <c r="AY13" s="20">
        <f>IF(AO13="241",1,0)</f>
        <v/>
      </c>
      <c r="AZ13" s="20">
        <f>IF(AO13="220",1,0)</f>
        <v/>
      </c>
      <c r="BA13" s="20">
        <f>IF(AO13="OTHER",1,0)</f>
        <v/>
      </c>
      <c r="BB13" s="20">
        <f>IF(UPPER(TRIM(C13))="LM",1,0)</f>
        <v/>
      </c>
      <c r="BC13" s="20">
        <f>IF(UPPER(TRIM(C13))="PN",1,0)</f>
        <v/>
      </c>
      <c r="BD13" s="20">
        <f>IF(UPPER(TRIM(C13))="LS",1,0)</f>
        <v/>
      </c>
      <c r="BE13" s="20">
        <f>IF(UPPER(TRIM(C13))="RX",1,0)</f>
        <v/>
      </c>
      <c r="BF13" s="22">
        <f>IFERROR((Parameters!$C$6*AM13+Parameters!$C$7*MAX(AM13-(-150),0)+Parameters!$C$8*MAX(AM13-(-50),0)+Parameters!$C$9*MAX(AM13-(0),0)+Parameters!$C$10*MAX(AM13-(50),0)+Parameters!$C$11*MAX(AM13-(100),0)+Parameters!$C$12*MAX(AM13-(150),0)+Parameters!$C$13*MAX(AM13-(250),0)),0)</f>
        <v/>
      </c>
      <c r="BG13" s="22">
        <f>IFERROR((Parameters!$C$14*AA13+Parameters!$C$15*MAX(AA13-(12),0)+Parameters!$C$16*MAX(AA13-(36),0)+Parameters!$C$17*MAX(AA13-(60),0)+Parameters!$C$18*MAX(AA13-(84),0)+Parameters!$C$19*MAX(AA13-(120),0)+Parameters!$C$20*MAX(AA13-(180),0)),0)</f>
        <v/>
      </c>
      <c r="BH13" s="22">
        <f>IFERROR((Parameters!$C$21*AK13+Parameters!$C$22*MAX(AK13-(0),0)+Parameters!$C$23*MAX(AK13-(2),0)+Parameters!$C$24*MAX(AK13-(5),0)+Parameters!$C$25*MAX(AK13-(8),0)),0)</f>
        <v/>
      </c>
      <c r="BI13" s="22">
        <f>IFERROR((Parameters!$C$26*AI13+Parameters!$C$27*MAX(AI13-(-100),0)+Parameters!$C$28*MAX(AI13-(-25),0)+Parameters!$C$29*MAX(AI13-(25),0)+Parameters!$C$30*MAX(AI13-(100),0)),0)</f>
        <v/>
      </c>
      <c r="BJ13" s="22">
        <f>IFERROR((Parameters!$C$31*AN13+Parameters!$C$32*MAX(AN13-(2),0)+Parameters!$C$33*MAX(AN13-(10),0)+Parameters!$C$34*MAX(AN13-(25),0)),0)</f>
        <v/>
      </c>
      <c r="BK13" s="22">
        <f>IFERROR((Parameters!$C$35*AB13+Parameters!$C$36*MAX(AB13-(12),0)+Parameters!$C$37*MAX(AB13-(24),0)+Parameters!$C$38*MAX(AB13-(60),0)),0)</f>
        <v/>
      </c>
      <c r="BL13" s="22">
        <f>IFERROR((Parameters!$C$39*AC13+Parameters!$C$40*MAX(AC13-(6),0)+Parameters!$C$41*MAX(AC13-(12),0)+Parameters!$C$42*MAX(AC13-(24),0)),0)</f>
        <v/>
      </c>
      <c r="BM13" s="22">
        <f>IFERROR(Parameters!$C$43*(MAX(AM13,0)*MIN(MAX(AK13,0),10))/100,0)</f>
        <v/>
      </c>
      <c r="BN13" s="22">
        <f>Parameters!$C$44*AE13</f>
        <v/>
      </c>
      <c r="BO13" s="22">
        <f>Parameters!$C$45*AU13 + Parameters!$C$46*AV13 + Parameters!$C$47*AW13 + Parameters!$C$48*AX13 + Parameters!$C$49*AY13 + Parameters!$C$50*AZ13 + Parameters!$C$51*BA13</f>
        <v/>
      </c>
      <c r="BP13" s="22">
        <f>Parameters!$C$52*AQ13</f>
        <v/>
      </c>
      <c r="BQ13" s="22">
        <f>Parameters!$C$53*AR13+Parameters!$C$54*AS13+Parameters!$C$55*AT13</f>
        <v/>
      </c>
      <c r="BR13" s="22">
        <f>Parameters!$C$56*BB13+Parameters!$C$57*BC13+Parameters!$C$58*BD13+Parameters!$C$59*BE13</f>
        <v/>
      </c>
      <c r="BS13" s="23">
        <f>Parameters!$B$2</f>
        <v/>
      </c>
      <c r="BT13" s="23">
        <f>BS13+BF13 + BG13 + BH13 + BI13 + BJ13 + BK13 + BL13 + BM13 + BN13 + BO13 + BP13 + BQ13 + BR13</f>
        <v/>
      </c>
      <c r="BU13" s="24">
        <f>IF(AD13=1,0,1/(1+EXP(-BT13))*Parameters!$B$3)</f>
        <v/>
      </c>
      <c r="BV13" s="25">
        <f>(1-(1-BU13)^12)*100</f>
        <v/>
      </c>
      <c r="BW13" s="25">
        <f>IF(AD13=1,0,(1-(1-1/(1+EXP(-Parameters!$B$2)))^12)*100)</f>
        <v/>
      </c>
      <c r="BX13" s="25">
        <f>IF(AD13=1,0,BV13-(1-(1-(1/(1+EXP(-(BT13-BF13)))*Parameters!$B$3))^12)*100)</f>
        <v/>
      </c>
      <c r="BY13" s="25">
        <f>IF(AD13=1,0,BV13-(1-(1-(1/(1+EXP(-(BT13-BG13)))*Parameters!$B$3))^12)*100)</f>
        <v/>
      </c>
      <c r="BZ13" s="25">
        <f>IF(AD13=1,0,BV13-(1-(1-(1/(1+EXP(-(BT13-BH13)))*Parameters!$B$3))^12)*100)</f>
        <v/>
      </c>
      <c r="CA13" s="25">
        <f>IF(AD13=1,0,BV13-(1-(1-(1/(1+EXP(-(BT13-BI13)))*Parameters!$B$3))^12)*100)</f>
        <v/>
      </c>
      <c r="CB13" s="25">
        <f>IF(AD13=1,0,BV13-(1-(1-(1/(1+EXP(-(BT13-BJ13)))*Parameters!$B$3))^12)*100)</f>
        <v/>
      </c>
      <c r="CC13" s="25">
        <f>IF(AD13=1,0,BV13-(1-(1-(1/(1+EXP(-(BT13-BK13)))*Parameters!$B$3))^12)*100)</f>
        <v/>
      </c>
      <c r="CD13" s="25">
        <f>IF(AD13=1,0,BV13-(1-(1-(1/(1+EXP(-(BT13-BL13)))*Parameters!$B$3))^12)*100)</f>
        <v/>
      </c>
      <c r="CE13" s="25">
        <f>IF(AD13=1,0,BV13-(1-(1-(1/(1+EXP(-(BT13-BM13)))*Parameters!$B$3))^12)*100)</f>
        <v/>
      </c>
      <c r="CF13" s="25">
        <f>IF(AD13=1,0,BV13-(1-(1-(1/(1+EXP(-(BT13-BN13)))*Parameters!$B$3))^12)*100)</f>
        <v/>
      </c>
      <c r="CG13" s="25">
        <f>IF(AD13=1,0,BV13-(1-(1-(1/(1+EXP(-(BT13-BO13)))*Parameters!$B$3))^12)*100)</f>
        <v/>
      </c>
      <c r="CH13" s="25">
        <f>IF(AD13=1,0,BV13-(1-(1-(1/(1+EXP(-(BT13-BP13)))*Parameters!$B$3))^12)*100)</f>
        <v/>
      </c>
      <c r="CI13" s="25">
        <f>IF(AD13=1,0,BV13-(1-(1-(1/(1+EXP(-(BT13-BQ13)))*Parameters!$B$3))^12)*100)</f>
        <v/>
      </c>
      <c r="CJ13" s="25">
        <f>IF(AD13=1,0,BV13-(1-(1-(1/(1+EXP(-(BT13-BR13)))*Parameters!$B$3))^12)*100)</f>
        <v/>
      </c>
    </row>
    <row r="14">
      <c r="A14" s="17" t="inlineStr">
        <is>
          <t>GNR_2024_NEW</t>
        </is>
      </c>
      <c r="B14" s="17" t="inlineStr">
        <is>
          <t>3618H6UH5</t>
        </is>
      </c>
      <c r="C14" s="17" t="inlineStr">
        <is>
          <t>PN</t>
        </is>
      </c>
      <c r="D14" s="17" t="inlineStr">
        <is>
          <t>VIUM CAPITAL MORTGAGE, LLC.</t>
        </is>
      </c>
      <c r="E14" s="17" t="inlineStr">
        <is>
          <t>3618H6UH5_000000007322340</t>
        </is>
      </c>
      <c r="F14" s="17" t="n">
        <v>202603</v>
      </c>
      <c r="G14" s="18" t="n">
        <v>5.9</v>
      </c>
      <c r="H14" s="19" t="n">
        <v>9849441.74</v>
      </c>
      <c r="I14" s="17" t="n">
        <v>420</v>
      </c>
      <c r="J14" s="17" t="n">
        <v>20240724</v>
      </c>
      <c r="K14" s="17" t="n">
        <v>20590801</v>
      </c>
      <c r="L14" s="17" t="n"/>
      <c r="M14" s="17" t="n">
        <v>20340901</v>
      </c>
      <c r="N14" s="17" t="n">
        <v>10</v>
      </c>
      <c r="O14" s="17" t="inlineStr">
        <is>
          <t>232/223(F)</t>
        </is>
      </c>
      <c r="P14" s="17" t="inlineStr">
        <is>
          <t>MKT</t>
        </is>
      </c>
      <c r="Q14" s="17" t="n"/>
      <c r="R14" s="17" t="n"/>
      <c r="S14" s="17" t="n"/>
      <c r="T14" s="17" t="inlineStr">
        <is>
          <t>IN</t>
        </is>
      </c>
      <c r="U14" s="17" t="n">
        <v>44</v>
      </c>
      <c r="V14" s="17" t="n">
        <v>490.5</v>
      </c>
      <c r="W14" s="17" t="n">
        <v>20</v>
      </c>
      <c r="X14" s="17" t="n">
        <v>2024</v>
      </c>
      <c r="Y14" s="17" t="n">
        <v>12</v>
      </c>
      <c r="Z14" s="17" t="n">
        <v>9</v>
      </c>
      <c r="AA14" s="20">
        <f>IF(ISNUMBER(W14),W14,IFERROR(MAX(0,(VALUE(LEFT(F14,4))-VALUE(LEFT(TEXT(J14,"00000000"),4)))*12+(VALUE(MID(F14,5,2))-VALUE(MID(TEXT(J14,"00000000"),5,2)))),""))</f>
        <v/>
      </c>
      <c r="AB14" s="20">
        <f>IFERROR((VALUE(LEFT(TEXT(K14,"00000000"),4))-VALUE(LEFT(F14,4)))*12+(VALUE(MID(TEXT(K14,"00000000"),5,2))-VALUE(MID(F14,5,2))),"")</f>
        <v/>
      </c>
      <c r="AC14" s="20">
        <f>IF(OR(L14="",NOT(ISNUMBER(L14))),0,MAX(0,MIN(60,(VALUE(LEFT(F14,4))-VALUE(LEFT(TEXT(L14,"00000000"),4)))*12+(VALUE(MID(F14,5,2))-VALUE(MID(TEXT(L14,"00000000"),5,2))))))</f>
        <v/>
      </c>
      <c r="AD14" s="20">
        <f>IF(OR(L14="",NOT(ISNUMBER(L14))),0,IF(VALUE(F14)&lt;VALUE(LEFT(TEXT(L14,"00000000"),6)),1,0))</f>
        <v/>
      </c>
      <c r="AE14" s="20">
        <f>IF(OR(M14="",NOT(ISNUMBER(M14))),0,IF(VALUE(F14)&lt;VALUE(LEFT(TEXT(M14,"00000000"),6)),1,0))</f>
        <v/>
      </c>
      <c r="AF14" s="20">
        <f>IF(AND(AD14=0,AE14=0),1,0)</f>
        <v/>
      </c>
      <c r="AG14" s="20">
        <f>IF(ISNUMBER(X14),X14,IFERROR(VALUE(LEFT(TEXT(J14,"00000000"),4)),""))</f>
        <v/>
      </c>
      <c r="AH14" s="20">
        <f>IFERROR(XLOOKUP(AG14,Vintage_Rates!$A$2:$A$1000,Vintage_Rates!$B$2:$B$1000,""),"")</f>
        <v/>
      </c>
      <c r="AI14" s="20">
        <f>IF(ISNUMBER(Y14),Y14,IFERROR((G14-AH14)*100,""))</f>
        <v/>
      </c>
      <c r="AJ14" s="20">
        <f>IF(ISNUMBER(V14),V14,IFERROR(XLOOKUP(VALUE(F14),PLC_Rates!$A$2:$A$1000,PLC_Rates!$B$2:$B$1000,""),""))</f>
        <v/>
      </c>
      <c r="AK14" s="20">
        <f>IF(ISNUMBER(Z14),Z14,IF(AE14=0,0,MAX(0,MIN(10,((VALUE(LEFT(TEXT(M14,"00000000"),4))-VALUE(LEFT(F14,4)))*12+(VALUE(MID(TEXT(M14,"00000000"),5,2))-VALUE(MID(F14,5,2))))/12))))</f>
        <v/>
      </c>
      <c r="AL14" s="20">
        <f>IFERROR(G14*100-AJ14,"")</f>
        <v/>
      </c>
      <c r="AM14" s="20">
        <f>IFERROR(G14*100-(AJ14+(1+AK14)*12.5),"")</f>
        <v/>
      </c>
      <c r="AN14" s="21">
        <f>IFERROR(MIN(H14/1000000,100),"")</f>
        <v/>
      </c>
      <c r="AO14" s="20">
        <f>IFERROR(INDEX(FHA_Lookup!$B$2:$B$11,MATCH(TRUE,ISNUMBER(SEARCH(FHA_Lookup!$A$2:$A$11,UPPER(SUBSTITUTE(O14," ","")))),0)),"OTHER")</f>
        <v/>
      </c>
      <c r="AP14" s="20">
        <f>IFERROR(INDEX(FHA_Lookup!$C$2:$C$11,MATCH(TRUE,ISNUMBER(SEARCH(FHA_Lookup!$A$2:$A$11,UPPER(SUBSTITUTE(O14," ","")))),0)),"OTHER")</f>
        <v/>
      </c>
      <c r="AQ14" s="20">
        <f>IF(AP14="NC",1,0)</f>
        <v/>
      </c>
      <c r="AR14" s="20">
        <f>IF(UPPER(TRIM(P14))="AFF",1,0)</f>
        <v/>
      </c>
      <c r="AS14" s="20">
        <f>IF(UPPER(TRIM(P14))="BAF",1,0)</f>
        <v/>
      </c>
      <c r="AT14" s="20">
        <f>IF(UPPER(TRIM(P14))="MKT",1,0)</f>
        <v/>
      </c>
      <c r="AU14" s="20">
        <f>IF(AO14="221d4",1,0)</f>
        <v/>
      </c>
      <c r="AV14" s="20">
        <f>IF(AO14="223a7",1,0)</f>
        <v/>
      </c>
      <c r="AW14" s="20">
        <f>IF(AO14="232",1,0)</f>
        <v/>
      </c>
      <c r="AX14" s="20">
        <f>IF(AO14="538",1,0)</f>
        <v/>
      </c>
      <c r="AY14" s="20">
        <f>IF(AO14="241",1,0)</f>
        <v/>
      </c>
      <c r="AZ14" s="20">
        <f>IF(AO14="220",1,0)</f>
        <v/>
      </c>
      <c r="BA14" s="20">
        <f>IF(AO14="OTHER",1,0)</f>
        <v/>
      </c>
      <c r="BB14" s="20">
        <f>IF(UPPER(TRIM(C14))="LM",1,0)</f>
        <v/>
      </c>
      <c r="BC14" s="20">
        <f>IF(UPPER(TRIM(C14))="PN",1,0)</f>
        <v/>
      </c>
      <c r="BD14" s="20">
        <f>IF(UPPER(TRIM(C14))="LS",1,0)</f>
        <v/>
      </c>
      <c r="BE14" s="20">
        <f>IF(UPPER(TRIM(C14))="RX",1,0)</f>
        <v/>
      </c>
      <c r="BF14" s="22">
        <f>IFERROR((Parameters!$C$6*AM14+Parameters!$C$7*MAX(AM14-(-150),0)+Parameters!$C$8*MAX(AM14-(-50),0)+Parameters!$C$9*MAX(AM14-(0),0)+Parameters!$C$10*MAX(AM14-(50),0)+Parameters!$C$11*MAX(AM14-(100),0)+Parameters!$C$12*MAX(AM14-(150),0)+Parameters!$C$13*MAX(AM14-(250),0)),0)</f>
        <v/>
      </c>
      <c r="BG14" s="22">
        <f>IFERROR((Parameters!$C$14*AA14+Parameters!$C$15*MAX(AA14-(12),0)+Parameters!$C$16*MAX(AA14-(36),0)+Parameters!$C$17*MAX(AA14-(60),0)+Parameters!$C$18*MAX(AA14-(84),0)+Parameters!$C$19*MAX(AA14-(120),0)+Parameters!$C$20*MAX(AA14-(180),0)),0)</f>
        <v/>
      </c>
      <c r="BH14" s="22">
        <f>IFERROR((Parameters!$C$21*AK14+Parameters!$C$22*MAX(AK14-(0),0)+Parameters!$C$23*MAX(AK14-(2),0)+Parameters!$C$24*MAX(AK14-(5),0)+Parameters!$C$25*MAX(AK14-(8),0)),0)</f>
        <v/>
      </c>
      <c r="BI14" s="22">
        <f>IFERROR((Parameters!$C$26*AI14+Parameters!$C$27*MAX(AI14-(-100),0)+Parameters!$C$28*MAX(AI14-(-25),0)+Parameters!$C$29*MAX(AI14-(25),0)+Parameters!$C$30*MAX(AI14-(100),0)),0)</f>
        <v/>
      </c>
      <c r="BJ14" s="22">
        <f>IFERROR((Parameters!$C$31*AN14+Parameters!$C$32*MAX(AN14-(2),0)+Parameters!$C$33*MAX(AN14-(10),0)+Parameters!$C$34*MAX(AN14-(25),0)),0)</f>
        <v/>
      </c>
      <c r="BK14" s="22">
        <f>IFERROR((Parameters!$C$35*AB14+Parameters!$C$36*MAX(AB14-(12),0)+Parameters!$C$37*MAX(AB14-(24),0)+Parameters!$C$38*MAX(AB14-(60),0)),0)</f>
        <v/>
      </c>
      <c r="BL14" s="22">
        <f>IFERROR((Parameters!$C$39*AC14+Parameters!$C$40*MAX(AC14-(6),0)+Parameters!$C$41*MAX(AC14-(12),0)+Parameters!$C$42*MAX(AC14-(24),0)),0)</f>
        <v/>
      </c>
      <c r="BM14" s="22">
        <f>IFERROR(Parameters!$C$43*(MAX(AM14,0)*MIN(MAX(AK14,0),10))/100,0)</f>
        <v/>
      </c>
      <c r="BN14" s="22">
        <f>Parameters!$C$44*AE14</f>
        <v/>
      </c>
      <c r="BO14" s="22">
        <f>Parameters!$C$45*AU14 + Parameters!$C$46*AV14 + Parameters!$C$47*AW14 + Parameters!$C$48*AX14 + Parameters!$C$49*AY14 + Parameters!$C$50*AZ14 + Parameters!$C$51*BA14</f>
        <v/>
      </c>
      <c r="BP14" s="22">
        <f>Parameters!$C$52*AQ14</f>
        <v/>
      </c>
      <c r="BQ14" s="22">
        <f>Parameters!$C$53*AR14+Parameters!$C$54*AS14+Parameters!$C$55*AT14</f>
        <v/>
      </c>
      <c r="BR14" s="22">
        <f>Parameters!$C$56*BB14+Parameters!$C$57*BC14+Parameters!$C$58*BD14+Parameters!$C$59*BE14</f>
        <v/>
      </c>
      <c r="BS14" s="23">
        <f>Parameters!$B$2</f>
        <v/>
      </c>
      <c r="BT14" s="23">
        <f>BS14+BF14 + BG14 + BH14 + BI14 + BJ14 + BK14 + BL14 + BM14 + BN14 + BO14 + BP14 + BQ14 + BR14</f>
        <v/>
      </c>
      <c r="BU14" s="24">
        <f>IF(AD14=1,0,1/(1+EXP(-BT14))*Parameters!$B$3)</f>
        <v/>
      </c>
      <c r="BV14" s="25">
        <f>(1-(1-BU14)^12)*100</f>
        <v/>
      </c>
      <c r="BW14" s="25">
        <f>IF(AD14=1,0,(1-(1-1/(1+EXP(-Parameters!$B$2)))^12)*100)</f>
        <v/>
      </c>
      <c r="BX14" s="25">
        <f>IF(AD14=1,0,BV14-(1-(1-(1/(1+EXP(-(BT14-BF14)))*Parameters!$B$3))^12)*100)</f>
        <v/>
      </c>
      <c r="BY14" s="25">
        <f>IF(AD14=1,0,BV14-(1-(1-(1/(1+EXP(-(BT14-BG14)))*Parameters!$B$3))^12)*100)</f>
        <v/>
      </c>
      <c r="BZ14" s="25">
        <f>IF(AD14=1,0,BV14-(1-(1-(1/(1+EXP(-(BT14-BH14)))*Parameters!$B$3))^12)*100)</f>
        <v/>
      </c>
      <c r="CA14" s="25">
        <f>IF(AD14=1,0,BV14-(1-(1-(1/(1+EXP(-(BT14-BI14)))*Parameters!$B$3))^12)*100)</f>
        <v/>
      </c>
      <c r="CB14" s="25">
        <f>IF(AD14=1,0,BV14-(1-(1-(1/(1+EXP(-(BT14-BJ14)))*Parameters!$B$3))^12)*100)</f>
        <v/>
      </c>
      <c r="CC14" s="25">
        <f>IF(AD14=1,0,BV14-(1-(1-(1/(1+EXP(-(BT14-BK14)))*Parameters!$B$3))^12)*100)</f>
        <v/>
      </c>
      <c r="CD14" s="25">
        <f>IF(AD14=1,0,BV14-(1-(1-(1/(1+EXP(-(BT14-BL14)))*Parameters!$B$3))^12)*100)</f>
        <v/>
      </c>
      <c r="CE14" s="25">
        <f>IF(AD14=1,0,BV14-(1-(1-(1/(1+EXP(-(BT14-BM14)))*Parameters!$B$3))^12)*100)</f>
        <v/>
      </c>
      <c r="CF14" s="25">
        <f>IF(AD14=1,0,BV14-(1-(1-(1/(1+EXP(-(BT14-BN14)))*Parameters!$B$3))^12)*100)</f>
        <v/>
      </c>
      <c r="CG14" s="25">
        <f>IF(AD14=1,0,BV14-(1-(1-(1/(1+EXP(-(BT14-BO14)))*Parameters!$B$3))^12)*100)</f>
        <v/>
      </c>
      <c r="CH14" s="25">
        <f>IF(AD14=1,0,BV14-(1-(1-(1/(1+EXP(-(BT14-BP14)))*Parameters!$B$3))^12)*100)</f>
        <v/>
      </c>
      <c r="CI14" s="25">
        <f>IF(AD14=1,0,BV14-(1-(1-(1/(1+EXP(-(BT14-BQ14)))*Parameters!$B$3))^12)*100)</f>
        <v/>
      </c>
      <c r="CJ14" s="25">
        <f>IF(AD14=1,0,BV14-(1-(1-(1/(1+EXP(-(BT14-BR14)))*Parameters!$B$3))^12)*100)</f>
        <v/>
      </c>
    </row>
    <row r="15">
      <c r="A15" s="17" t="inlineStr">
        <is>
          <t>GNR_2024_NEW</t>
        </is>
      </c>
      <c r="B15" s="17" t="inlineStr">
        <is>
          <t>3618BCU88</t>
        </is>
      </c>
      <c r="C15" s="17" t="inlineStr">
        <is>
          <t>PN</t>
        </is>
      </c>
      <c r="D15" s="17" t="inlineStr">
        <is>
          <t>BELLWETHER ENTERPRISE REAL ESTATE CAPITA</t>
        </is>
      </c>
      <c r="E15" s="17" t="inlineStr">
        <is>
          <t>3618BCU88_000000005135861</t>
        </is>
      </c>
      <c r="F15" s="17" t="n">
        <v>202603</v>
      </c>
      <c r="G15" s="18" t="n">
        <v>5.25</v>
      </c>
      <c r="H15" s="19" t="n">
        <v>13809145.11</v>
      </c>
      <c r="I15" s="17" t="n">
        <v>480</v>
      </c>
      <c r="J15" s="17" t="n">
        <v>20230601</v>
      </c>
      <c r="K15" s="17" t="n">
        <v>20641001</v>
      </c>
      <c r="L15" s="17" t="n"/>
      <c r="M15" s="17" t="n">
        <v>20341031</v>
      </c>
      <c r="N15" s="17" t="n">
        <v>10</v>
      </c>
      <c r="O15" s="17" t="inlineStr">
        <is>
          <t>221(D)(4)</t>
        </is>
      </c>
      <c r="P15" s="17" t="inlineStr">
        <is>
          <t>BAF</t>
        </is>
      </c>
      <c r="Q15" s="17" t="n"/>
      <c r="R15" s="17" t="n"/>
      <c r="S15" s="17" t="n"/>
      <c r="T15" s="17" t="inlineStr">
        <is>
          <t>VA</t>
        </is>
      </c>
      <c r="U15" s="17" t="n">
        <v>120</v>
      </c>
      <c r="V15" s="17" t="n">
        <v>490.5</v>
      </c>
      <c r="W15" s="17" t="n">
        <v>33</v>
      </c>
      <c r="X15" s="17" t="n">
        <v>2023</v>
      </c>
      <c r="Y15" s="17" t="n">
        <v>-33.5</v>
      </c>
      <c r="Z15" s="17" t="n">
        <v>10</v>
      </c>
      <c r="AA15" s="20">
        <f>IF(ISNUMBER(W15),W15,IFERROR(MAX(0,(VALUE(LEFT(F15,4))-VALUE(LEFT(TEXT(J15,"00000000"),4)))*12+(VALUE(MID(F15,5,2))-VALUE(MID(TEXT(J15,"00000000"),5,2)))),""))</f>
        <v/>
      </c>
      <c r="AB15" s="20">
        <f>IFERROR((VALUE(LEFT(TEXT(K15,"00000000"),4))-VALUE(LEFT(F15,4)))*12+(VALUE(MID(TEXT(K15,"00000000"),5,2))-VALUE(MID(F15,5,2))),"")</f>
        <v/>
      </c>
      <c r="AC15" s="20">
        <f>IF(OR(L15="",NOT(ISNUMBER(L15))),0,MAX(0,MIN(60,(VALUE(LEFT(F15,4))-VALUE(LEFT(TEXT(L15,"00000000"),4)))*12+(VALUE(MID(F15,5,2))-VALUE(MID(TEXT(L15,"00000000"),5,2))))))</f>
        <v/>
      </c>
      <c r="AD15" s="20">
        <f>IF(OR(L15="",NOT(ISNUMBER(L15))),0,IF(VALUE(F15)&lt;VALUE(LEFT(TEXT(L15,"00000000"),6)),1,0))</f>
        <v/>
      </c>
      <c r="AE15" s="20">
        <f>IF(OR(M15="",NOT(ISNUMBER(M15))),0,IF(VALUE(F15)&lt;VALUE(LEFT(TEXT(M15,"00000000"),6)),1,0))</f>
        <v/>
      </c>
      <c r="AF15" s="20">
        <f>IF(AND(AD15=0,AE15=0),1,0)</f>
        <v/>
      </c>
      <c r="AG15" s="20">
        <f>IF(ISNUMBER(X15),X15,IFERROR(VALUE(LEFT(TEXT(J15,"00000000"),4)),""))</f>
        <v/>
      </c>
      <c r="AH15" s="20">
        <f>IFERROR(XLOOKUP(AG15,Vintage_Rates!$A$2:$A$1000,Vintage_Rates!$B$2:$B$1000,""),"")</f>
        <v/>
      </c>
      <c r="AI15" s="20">
        <f>IF(ISNUMBER(Y15),Y15,IFERROR((G15-AH15)*100,""))</f>
        <v/>
      </c>
      <c r="AJ15" s="20">
        <f>IF(ISNUMBER(V15),V15,IFERROR(XLOOKUP(VALUE(F15),PLC_Rates!$A$2:$A$1000,PLC_Rates!$B$2:$B$1000,""),""))</f>
        <v/>
      </c>
      <c r="AK15" s="20">
        <f>IF(ISNUMBER(Z15),Z15,IF(AE15=0,0,MAX(0,MIN(10,((VALUE(LEFT(TEXT(M15,"00000000"),4))-VALUE(LEFT(F15,4)))*12+(VALUE(MID(TEXT(M15,"00000000"),5,2))-VALUE(MID(F15,5,2))))/12))))</f>
        <v/>
      </c>
      <c r="AL15" s="20">
        <f>IFERROR(G15*100-AJ15,"")</f>
        <v/>
      </c>
      <c r="AM15" s="20">
        <f>IFERROR(G15*100-(AJ15+(1+AK15)*12.5),"")</f>
        <v/>
      </c>
      <c r="AN15" s="21">
        <f>IFERROR(MIN(H15/1000000,100),"")</f>
        <v/>
      </c>
      <c r="AO15" s="20">
        <f>IFERROR(INDEX(FHA_Lookup!$B$2:$B$11,MATCH(TRUE,ISNUMBER(SEARCH(FHA_Lookup!$A$2:$A$11,UPPER(SUBSTITUTE(O15," ","")))),0)),"OTHER")</f>
        <v/>
      </c>
      <c r="AP15" s="20">
        <f>IFERROR(INDEX(FHA_Lookup!$C$2:$C$11,MATCH(TRUE,ISNUMBER(SEARCH(FHA_Lookup!$A$2:$A$11,UPPER(SUBSTITUTE(O15," ","")))),0)),"OTHER")</f>
        <v/>
      </c>
      <c r="AQ15" s="20">
        <f>IF(AP15="NC",1,0)</f>
        <v/>
      </c>
      <c r="AR15" s="20">
        <f>IF(UPPER(TRIM(P15))="AFF",1,0)</f>
        <v/>
      </c>
      <c r="AS15" s="20">
        <f>IF(UPPER(TRIM(P15))="BAF",1,0)</f>
        <v/>
      </c>
      <c r="AT15" s="20">
        <f>IF(UPPER(TRIM(P15))="MKT",1,0)</f>
        <v/>
      </c>
      <c r="AU15" s="20">
        <f>IF(AO15="221d4",1,0)</f>
        <v/>
      </c>
      <c r="AV15" s="20">
        <f>IF(AO15="223a7",1,0)</f>
        <v/>
      </c>
      <c r="AW15" s="20">
        <f>IF(AO15="232",1,0)</f>
        <v/>
      </c>
      <c r="AX15" s="20">
        <f>IF(AO15="538",1,0)</f>
        <v/>
      </c>
      <c r="AY15" s="20">
        <f>IF(AO15="241",1,0)</f>
        <v/>
      </c>
      <c r="AZ15" s="20">
        <f>IF(AO15="220",1,0)</f>
        <v/>
      </c>
      <c r="BA15" s="20">
        <f>IF(AO15="OTHER",1,0)</f>
        <v/>
      </c>
      <c r="BB15" s="20">
        <f>IF(UPPER(TRIM(C15))="LM",1,0)</f>
        <v/>
      </c>
      <c r="BC15" s="20">
        <f>IF(UPPER(TRIM(C15))="PN",1,0)</f>
        <v/>
      </c>
      <c r="BD15" s="20">
        <f>IF(UPPER(TRIM(C15))="LS",1,0)</f>
        <v/>
      </c>
      <c r="BE15" s="20">
        <f>IF(UPPER(TRIM(C15))="RX",1,0)</f>
        <v/>
      </c>
      <c r="BF15" s="22">
        <f>IFERROR((Parameters!$C$6*AM15+Parameters!$C$7*MAX(AM15-(-150),0)+Parameters!$C$8*MAX(AM15-(-50),0)+Parameters!$C$9*MAX(AM15-(0),0)+Parameters!$C$10*MAX(AM15-(50),0)+Parameters!$C$11*MAX(AM15-(100),0)+Parameters!$C$12*MAX(AM15-(150),0)+Parameters!$C$13*MAX(AM15-(250),0)),0)</f>
        <v/>
      </c>
      <c r="BG15" s="22">
        <f>IFERROR((Parameters!$C$14*AA15+Parameters!$C$15*MAX(AA15-(12),0)+Parameters!$C$16*MAX(AA15-(36),0)+Parameters!$C$17*MAX(AA15-(60),0)+Parameters!$C$18*MAX(AA15-(84),0)+Parameters!$C$19*MAX(AA15-(120),0)+Parameters!$C$20*MAX(AA15-(180),0)),0)</f>
        <v/>
      </c>
      <c r="BH15" s="22">
        <f>IFERROR((Parameters!$C$21*AK15+Parameters!$C$22*MAX(AK15-(0),0)+Parameters!$C$23*MAX(AK15-(2),0)+Parameters!$C$24*MAX(AK15-(5),0)+Parameters!$C$25*MAX(AK15-(8),0)),0)</f>
        <v/>
      </c>
      <c r="BI15" s="22">
        <f>IFERROR((Parameters!$C$26*AI15+Parameters!$C$27*MAX(AI15-(-100),0)+Parameters!$C$28*MAX(AI15-(-25),0)+Parameters!$C$29*MAX(AI15-(25),0)+Parameters!$C$30*MAX(AI15-(100),0)),0)</f>
        <v/>
      </c>
      <c r="BJ15" s="22">
        <f>IFERROR((Parameters!$C$31*AN15+Parameters!$C$32*MAX(AN15-(2),0)+Parameters!$C$33*MAX(AN15-(10),0)+Parameters!$C$34*MAX(AN15-(25),0)),0)</f>
        <v/>
      </c>
      <c r="BK15" s="22">
        <f>IFERROR((Parameters!$C$35*AB15+Parameters!$C$36*MAX(AB15-(12),0)+Parameters!$C$37*MAX(AB15-(24),0)+Parameters!$C$38*MAX(AB15-(60),0)),0)</f>
        <v/>
      </c>
      <c r="BL15" s="22">
        <f>IFERROR((Parameters!$C$39*AC15+Parameters!$C$40*MAX(AC15-(6),0)+Parameters!$C$41*MAX(AC15-(12),0)+Parameters!$C$42*MAX(AC15-(24),0)),0)</f>
        <v/>
      </c>
      <c r="BM15" s="22">
        <f>IFERROR(Parameters!$C$43*(MAX(AM15,0)*MIN(MAX(AK15,0),10))/100,0)</f>
        <v/>
      </c>
      <c r="BN15" s="22">
        <f>Parameters!$C$44*AE15</f>
        <v/>
      </c>
      <c r="BO15" s="22">
        <f>Parameters!$C$45*AU15 + Parameters!$C$46*AV15 + Parameters!$C$47*AW15 + Parameters!$C$48*AX15 + Parameters!$C$49*AY15 + Parameters!$C$50*AZ15 + Parameters!$C$51*BA15</f>
        <v/>
      </c>
      <c r="BP15" s="22">
        <f>Parameters!$C$52*AQ15</f>
        <v/>
      </c>
      <c r="BQ15" s="22">
        <f>Parameters!$C$53*AR15+Parameters!$C$54*AS15+Parameters!$C$55*AT15</f>
        <v/>
      </c>
      <c r="BR15" s="22">
        <f>Parameters!$C$56*BB15+Parameters!$C$57*BC15+Parameters!$C$58*BD15+Parameters!$C$59*BE15</f>
        <v/>
      </c>
      <c r="BS15" s="23">
        <f>Parameters!$B$2</f>
        <v/>
      </c>
      <c r="BT15" s="23">
        <f>BS15+BF15 + BG15 + BH15 + BI15 + BJ15 + BK15 + BL15 + BM15 + BN15 + BO15 + BP15 + BQ15 + BR15</f>
        <v/>
      </c>
      <c r="BU15" s="24">
        <f>IF(AD15=1,0,1/(1+EXP(-BT15))*Parameters!$B$3)</f>
        <v/>
      </c>
      <c r="BV15" s="25">
        <f>(1-(1-BU15)^12)*100</f>
        <v/>
      </c>
      <c r="BW15" s="25">
        <f>IF(AD15=1,0,(1-(1-1/(1+EXP(-Parameters!$B$2)))^12)*100)</f>
        <v/>
      </c>
      <c r="BX15" s="25">
        <f>IF(AD15=1,0,BV15-(1-(1-(1/(1+EXP(-(BT15-BF15)))*Parameters!$B$3))^12)*100)</f>
        <v/>
      </c>
      <c r="BY15" s="25">
        <f>IF(AD15=1,0,BV15-(1-(1-(1/(1+EXP(-(BT15-BG15)))*Parameters!$B$3))^12)*100)</f>
        <v/>
      </c>
      <c r="BZ15" s="25">
        <f>IF(AD15=1,0,BV15-(1-(1-(1/(1+EXP(-(BT15-BH15)))*Parameters!$B$3))^12)*100)</f>
        <v/>
      </c>
      <c r="CA15" s="25">
        <f>IF(AD15=1,0,BV15-(1-(1-(1/(1+EXP(-(BT15-BI15)))*Parameters!$B$3))^12)*100)</f>
        <v/>
      </c>
      <c r="CB15" s="25">
        <f>IF(AD15=1,0,BV15-(1-(1-(1/(1+EXP(-(BT15-BJ15)))*Parameters!$B$3))^12)*100)</f>
        <v/>
      </c>
      <c r="CC15" s="25">
        <f>IF(AD15=1,0,BV15-(1-(1-(1/(1+EXP(-(BT15-BK15)))*Parameters!$B$3))^12)*100)</f>
        <v/>
      </c>
      <c r="CD15" s="25">
        <f>IF(AD15=1,0,BV15-(1-(1-(1/(1+EXP(-(BT15-BL15)))*Parameters!$B$3))^12)*100)</f>
        <v/>
      </c>
      <c r="CE15" s="25">
        <f>IF(AD15=1,0,BV15-(1-(1-(1/(1+EXP(-(BT15-BM15)))*Parameters!$B$3))^12)*100)</f>
        <v/>
      </c>
      <c r="CF15" s="25">
        <f>IF(AD15=1,0,BV15-(1-(1-(1/(1+EXP(-(BT15-BN15)))*Parameters!$B$3))^12)*100)</f>
        <v/>
      </c>
      <c r="CG15" s="25">
        <f>IF(AD15=1,0,BV15-(1-(1-(1/(1+EXP(-(BT15-BO15)))*Parameters!$B$3))^12)*100)</f>
        <v/>
      </c>
      <c r="CH15" s="25">
        <f>IF(AD15=1,0,BV15-(1-(1-(1/(1+EXP(-(BT15-BP15)))*Parameters!$B$3))^12)*100)</f>
        <v/>
      </c>
      <c r="CI15" s="25">
        <f>IF(AD15=1,0,BV15-(1-(1-(1/(1+EXP(-(BT15-BQ15)))*Parameters!$B$3))^12)*100)</f>
        <v/>
      </c>
      <c r="CJ15" s="25">
        <f>IF(AD15=1,0,BV15-(1-(1-(1/(1+EXP(-(BT15-BR15)))*Parameters!$B$3))^12)*100)</f>
        <v/>
      </c>
    </row>
    <row r="16">
      <c r="A16" s="17" t="inlineStr">
        <is>
          <t>GNR_2024_NEW</t>
        </is>
      </c>
      <c r="B16" s="17" t="inlineStr">
        <is>
          <t>3618HXGV1</t>
        </is>
      </c>
      <c r="C16" s="17" t="inlineStr">
        <is>
          <t>PN</t>
        </is>
      </c>
      <c r="D16" s="17" t="inlineStr">
        <is>
          <t>WALKER &amp; DUNLOP, LLC</t>
        </is>
      </c>
      <c r="E16" s="17" t="inlineStr">
        <is>
          <t>3618HXGV1_000000002311760</t>
        </is>
      </c>
      <c r="F16" s="17" t="n">
        <v>202603</v>
      </c>
      <c r="G16" s="18" t="n">
        <v>5.38</v>
      </c>
      <c r="H16" s="19" t="n">
        <v>14025078.34</v>
      </c>
      <c r="I16" s="17" t="n">
        <v>420</v>
      </c>
      <c r="J16" s="17" t="n">
        <v>20250529</v>
      </c>
      <c r="K16" s="17" t="n">
        <v>20600601</v>
      </c>
      <c r="L16" s="17" t="n"/>
      <c r="M16" s="17" t="n">
        <v>20350701</v>
      </c>
      <c r="N16" s="17" t="n">
        <v>10</v>
      </c>
      <c r="O16" s="17" t="inlineStr">
        <is>
          <t>207/223(F)</t>
        </is>
      </c>
      <c r="P16" s="17" t="n"/>
      <c r="Q16" s="17" t="n"/>
      <c r="R16" s="17" t="inlineStr">
        <is>
          <t>P</t>
        </is>
      </c>
      <c r="S16" s="17" t="n"/>
      <c r="T16" s="17" t="inlineStr">
        <is>
          <t>MA</t>
        </is>
      </c>
      <c r="U16" s="17" t="n">
        <v>64</v>
      </c>
      <c r="V16" s="17" t="n">
        <v>490.5</v>
      </c>
      <c r="W16" s="17" t="n">
        <v>10</v>
      </c>
      <c r="X16" s="17" t="n">
        <v>2025</v>
      </c>
      <c r="Y16" s="17" t="n">
        <v>-44</v>
      </c>
      <c r="Z16" s="17" t="n">
        <v>10</v>
      </c>
      <c r="AA16" s="20">
        <f>IF(ISNUMBER(W16),W16,IFERROR(MAX(0,(VALUE(LEFT(F16,4))-VALUE(LEFT(TEXT(J16,"00000000"),4)))*12+(VALUE(MID(F16,5,2))-VALUE(MID(TEXT(J16,"00000000"),5,2)))),""))</f>
        <v/>
      </c>
      <c r="AB16" s="20">
        <f>IFERROR((VALUE(LEFT(TEXT(K16,"00000000"),4))-VALUE(LEFT(F16,4)))*12+(VALUE(MID(TEXT(K16,"00000000"),5,2))-VALUE(MID(F16,5,2))),"")</f>
        <v/>
      </c>
      <c r="AC16" s="20">
        <f>IF(OR(L16="",NOT(ISNUMBER(L16))),0,MAX(0,MIN(60,(VALUE(LEFT(F16,4))-VALUE(LEFT(TEXT(L16,"00000000"),4)))*12+(VALUE(MID(F16,5,2))-VALUE(MID(TEXT(L16,"00000000"),5,2))))))</f>
        <v/>
      </c>
      <c r="AD16" s="20">
        <f>IF(OR(L16="",NOT(ISNUMBER(L16))),0,IF(VALUE(F16)&lt;VALUE(LEFT(TEXT(L16,"00000000"),6)),1,0))</f>
        <v/>
      </c>
      <c r="AE16" s="20">
        <f>IF(OR(M16="",NOT(ISNUMBER(M16))),0,IF(VALUE(F16)&lt;VALUE(LEFT(TEXT(M16,"00000000"),6)),1,0))</f>
        <v/>
      </c>
      <c r="AF16" s="20">
        <f>IF(AND(AD16=0,AE16=0),1,0)</f>
        <v/>
      </c>
      <c r="AG16" s="20">
        <f>IF(ISNUMBER(X16),X16,IFERROR(VALUE(LEFT(TEXT(J16,"00000000"),4)),""))</f>
        <v/>
      </c>
      <c r="AH16" s="20">
        <f>IFERROR(XLOOKUP(AG16,Vintage_Rates!$A$2:$A$1000,Vintage_Rates!$B$2:$B$1000,""),"")</f>
        <v/>
      </c>
      <c r="AI16" s="20">
        <f>IF(ISNUMBER(Y16),Y16,IFERROR((G16-AH16)*100,""))</f>
        <v/>
      </c>
      <c r="AJ16" s="20">
        <f>IF(ISNUMBER(V16),V16,IFERROR(XLOOKUP(VALUE(F16),PLC_Rates!$A$2:$A$1000,PLC_Rates!$B$2:$B$1000,""),""))</f>
        <v/>
      </c>
      <c r="AK16" s="20">
        <f>IF(ISNUMBER(Z16),Z16,IF(AE16=0,0,MAX(0,MIN(10,((VALUE(LEFT(TEXT(M16,"00000000"),4))-VALUE(LEFT(F16,4)))*12+(VALUE(MID(TEXT(M16,"00000000"),5,2))-VALUE(MID(F16,5,2))))/12))))</f>
        <v/>
      </c>
      <c r="AL16" s="20">
        <f>IFERROR(G16*100-AJ16,"")</f>
        <v/>
      </c>
      <c r="AM16" s="20">
        <f>IFERROR(G16*100-(AJ16+(1+AK16)*12.5),"")</f>
        <v/>
      </c>
      <c r="AN16" s="21">
        <f>IFERROR(MIN(H16/1000000,100),"")</f>
        <v/>
      </c>
      <c r="AO16" s="20">
        <f>IFERROR(INDEX(FHA_Lookup!$B$2:$B$11,MATCH(TRUE,ISNUMBER(SEARCH(FHA_Lookup!$A$2:$A$11,UPPER(SUBSTITUTE(O16," ","")))),0)),"OTHER")</f>
        <v/>
      </c>
      <c r="AP16" s="20">
        <f>IFERROR(INDEX(FHA_Lookup!$C$2:$C$11,MATCH(TRUE,ISNUMBER(SEARCH(FHA_Lookup!$A$2:$A$11,UPPER(SUBSTITUTE(O16," ","")))),0)),"OTHER")</f>
        <v/>
      </c>
      <c r="AQ16" s="20">
        <f>IF(AP16="NC",1,0)</f>
        <v/>
      </c>
      <c r="AR16" s="20">
        <f>IF(UPPER(TRIM(P16))="AFF",1,0)</f>
        <v/>
      </c>
      <c r="AS16" s="20">
        <f>IF(UPPER(TRIM(P16))="BAF",1,0)</f>
        <v/>
      </c>
      <c r="AT16" s="20">
        <f>IF(UPPER(TRIM(P16))="MKT",1,0)</f>
        <v/>
      </c>
      <c r="AU16" s="20">
        <f>IF(AO16="221d4",1,0)</f>
        <v/>
      </c>
      <c r="AV16" s="20">
        <f>IF(AO16="223a7",1,0)</f>
        <v/>
      </c>
      <c r="AW16" s="20">
        <f>IF(AO16="232",1,0)</f>
        <v/>
      </c>
      <c r="AX16" s="20">
        <f>IF(AO16="538",1,0)</f>
        <v/>
      </c>
      <c r="AY16" s="20">
        <f>IF(AO16="241",1,0)</f>
        <v/>
      </c>
      <c r="AZ16" s="20">
        <f>IF(AO16="220",1,0)</f>
        <v/>
      </c>
      <c r="BA16" s="20">
        <f>IF(AO16="OTHER",1,0)</f>
        <v/>
      </c>
      <c r="BB16" s="20">
        <f>IF(UPPER(TRIM(C16))="LM",1,0)</f>
        <v/>
      </c>
      <c r="BC16" s="20">
        <f>IF(UPPER(TRIM(C16))="PN",1,0)</f>
        <v/>
      </c>
      <c r="BD16" s="20">
        <f>IF(UPPER(TRIM(C16))="LS",1,0)</f>
        <v/>
      </c>
      <c r="BE16" s="20">
        <f>IF(UPPER(TRIM(C16))="RX",1,0)</f>
        <v/>
      </c>
      <c r="BF16" s="22">
        <f>IFERROR((Parameters!$C$6*AM16+Parameters!$C$7*MAX(AM16-(-150),0)+Parameters!$C$8*MAX(AM16-(-50),0)+Parameters!$C$9*MAX(AM16-(0),0)+Parameters!$C$10*MAX(AM16-(50),0)+Parameters!$C$11*MAX(AM16-(100),0)+Parameters!$C$12*MAX(AM16-(150),0)+Parameters!$C$13*MAX(AM16-(250),0)),0)</f>
        <v/>
      </c>
      <c r="BG16" s="22">
        <f>IFERROR((Parameters!$C$14*AA16+Parameters!$C$15*MAX(AA16-(12),0)+Parameters!$C$16*MAX(AA16-(36),0)+Parameters!$C$17*MAX(AA16-(60),0)+Parameters!$C$18*MAX(AA16-(84),0)+Parameters!$C$19*MAX(AA16-(120),0)+Parameters!$C$20*MAX(AA16-(180),0)),0)</f>
        <v/>
      </c>
      <c r="BH16" s="22">
        <f>IFERROR((Parameters!$C$21*AK16+Parameters!$C$22*MAX(AK16-(0),0)+Parameters!$C$23*MAX(AK16-(2),0)+Parameters!$C$24*MAX(AK16-(5),0)+Parameters!$C$25*MAX(AK16-(8),0)),0)</f>
        <v/>
      </c>
      <c r="BI16" s="22">
        <f>IFERROR((Parameters!$C$26*AI16+Parameters!$C$27*MAX(AI16-(-100),0)+Parameters!$C$28*MAX(AI16-(-25),0)+Parameters!$C$29*MAX(AI16-(25),0)+Parameters!$C$30*MAX(AI16-(100),0)),0)</f>
        <v/>
      </c>
      <c r="BJ16" s="22">
        <f>IFERROR((Parameters!$C$31*AN16+Parameters!$C$32*MAX(AN16-(2),0)+Parameters!$C$33*MAX(AN16-(10),0)+Parameters!$C$34*MAX(AN16-(25),0)),0)</f>
        <v/>
      </c>
      <c r="BK16" s="22">
        <f>IFERROR((Parameters!$C$35*AB16+Parameters!$C$36*MAX(AB16-(12),0)+Parameters!$C$37*MAX(AB16-(24),0)+Parameters!$C$38*MAX(AB16-(60),0)),0)</f>
        <v/>
      </c>
      <c r="BL16" s="22">
        <f>IFERROR((Parameters!$C$39*AC16+Parameters!$C$40*MAX(AC16-(6),0)+Parameters!$C$41*MAX(AC16-(12),0)+Parameters!$C$42*MAX(AC16-(24),0)),0)</f>
        <v/>
      </c>
      <c r="BM16" s="22">
        <f>IFERROR(Parameters!$C$43*(MAX(AM16,0)*MIN(MAX(AK16,0),10))/100,0)</f>
        <v/>
      </c>
      <c r="BN16" s="22">
        <f>Parameters!$C$44*AE16</f>
        <v/>
      </c>
      <c r="BO16" s="22">
        <f>Parameters!$C$45*AU16 + Parameters!$C$46*AV16 + Parameters!$C$47*AW16 + Parameters!$C$48*AX16 + Parameters!$C$49*AY16 + Parameters!$C$50*AZ16 + Parameters!$C$51*BA16</f>
        <v/>
      </c>
      <c r="BP16" s="22">
        <f>Parameters!$C$52*AQ16</f>
        <v/>
      </c>
      <c r="BQ16" s="22">
        <f>Parameters!$C$53*AR16+Parameters!$C$54*AS16+Parameters!$C$55*AT16</f>
        <v/>
      </c>
      <c r="BR16" s="22">
        <f>Parameters!$C$56*BB16+Parameters!$C$57*BC16+Parameters!$C$58*BD16+Parameters!$C$59*BE16</f>
        <v/>
      </c>
      <c r="BS16" s="23">
        <f>Parameters!$B$2</f>
        <v/>
      </c>
      <c r="BT16" s="23">
        <f>BS16+BF16 + BG16 + BH16 + BI16 + BJ16 + BK16 + BL16 + BM16 + BN16 + BO16 + BP16 + BQ16 + BR16</f>
        <v/>
      </c>
      <c r="BU16" s="24">
        <f>IF(AD16=1,0,1/(1+EXP(-BT16))*Parameters!$B$3)</f>
        <v/>
      </c>
      <c r="BV16" s="25">
        <f>(1-(1-BU16)^12)*100</f>
        <v/>
      </c>
      <c r="BW16" s="25">
        <f>IF(AD16=1,0,(1-(1-1/(1+EXP(-Parameters!$B$2)))^12)*100)</f>
        <v/>
      </c>
      <c r="BX16" s="25">
        <f>IF(AD16=1,0,BV16-(1-(1-(1/(1+EXP(-(BT16-BF16)))*Parameters!$B$3))^12)*100)</f>
        <v/>
      </c>
      <c r="BY16" s="25">
        <f>IF(AD16=1,0,BV16-(1-(1-(1/(1+EXP(-(BT16-BG16)))*Parameters!$B$3))^12)*100)</f>
        <v/>
      </c>
      <c r="BZ16" s="25">
        <f>IF(AD16=1,0,BV16-(1-(1-(1/(1+EXP(-(BT16-BH16)))*Parameters!$B$3))^12)*100)</f>
        <v/>
      </c>
      <c r="CA16" s="25">
        <f>IF(AD16=1,0,BV16-(1-(1-(1/(1+EXP(-(BT16-BI16)))*Parameters!$B$3))^12)*100)</f>
        <v/>
      </c>
      <c r="CB16" s="25">
        <f>IF(AD16=1,0,BV16-(1-(1-(1/(1+EXP(-(BT16-BJ16)))*Parameters!$B$3))^12)*100)</f>
        <v/>
      </c>
      <c r="CC16" s="25">
        <f>IF(AD16=1,0,BV16-(1-(1-(1/(1+EXP(-(BT16-BK16)))*Parameters!$B$3))^12)*100)</f>
        <v/>
      </c>
      <c r="CD16" s="25">
        <f>IF(AD16=1,0,BV16-(1-(1-(1/(1+EXP(-(BT16-BL16)))*Parameters!$B$3))^12)*100)</f>
        <v/>
      </c>
      <c r="CE16" s="25">
        <f>IF(AD16=1,0,BV16-(1-(1-(1/(1+EXP(-(BT16-BM16)))*Parameters!$B$3))^12)*100)</f>
        <v/>
      </c>
      <c r="CF16" s="25">
        <f>IF(AD16=1,0,BV16-(1-(1-(1/(1+EXP(-(BT16-BN16)))*Parameters!$B$3))^12)*100)</f>
        <v/>
      </c>
      <c r="CG16" s="25">
        <f>IF(AD16=1,0,BV16-(1-(1-(1/(1+EXP(-(BT16-BO16)))*Parameters!$B$3))^12)*100)</f>
        <v/>
      </c>
      <c r="CH16" s="25">
        <f>IF(AD16=1,0,BV16-(1-(1-(1/(1+EXP(-(BT16-BP16)))*Parameters!$B$3))^12)*100)</f>
        <v/>
      </c>
      <c r="CI16" s="25">
        <f>IF(AD16=1,0,BV16-(1-(1-(1/(1+EXP(-(BT16-BQ16)))*Parameters!$B$3))^12)*100)</f>
        <v/>
      </c>
      <c r="CJ16" s="25">
        <f>IF(AD16=1,0,BV16-(1-(1-(1/(1+EXP(-(BT16-BR16)))*Parameters!$B$3))^12)*100)</f>
        <v/>
      </c>
    </row>
    <row r="17">
      <c r="A17" s="17" t="inlineStr">
        <is>
          <t>GNR_2024_NEW</t>
        </is>
      </c>
      <c r="B17" s="17" t="inlineStr">
        <is>
          <t>3618JBFJ5</t>
        </is>
      </c>
      <c r="C17" s="17" t="inlineStr">
        <is>
          <t>PN</t>
        </is>
      </c>
      <c r="D17" s="17" t="inlineStr">
        <is>
          <t>GREYSTONE FUNDING COMPANY LLC</t>
        </is>
      </c>
      <c r="E17" s="17" t="inlineStr">
        <is>
          <t>3618JBFJ5_000000005111548</t>
        </is>
      </c>
      <c r="F17" s="17" t="n">
        <v>202603</v>
      </c>
      <c r="G17" s="18" t="n">
        <v>5.61</v>
      </c>
      <c r="H17" s="19" t="n">
        <v>48002322.29</v>
      </c>
      <c r="I17" s="17" t="n">
        <v>420</v>
      </c>
      <c r="J17" s="17" t="n">
        <v>20250101</v>
      </c>
      <c r="K17" s="17" t="n">
        <v>20600201</v>
      </c>
      <c r="L17" s="17" t="n"/>
      <c r="M17" s="17" t="n">
        <v>20350301</v>
      </c>
      <c r="N17" s="17" t="n">
        <v>10</v>
      </c>
      <c r="O17" s="17" t="inlineStr">
        <is>
          <t>207/223(F)</t>
        </is>
      </c>
      <c r="P17" s="17" t="n"/>
      <c r="Q17" s="17" t="n"/>
      <c r="R17" s="17" t="n"/>
      <c r="S17" s="17" t="n"/>
      <c r="T17" s="17" t="inlineStr">
        <is>
          <t>VA</t>
        </is>
      </c>
      <c r="U17" s="17" t="n">
        <v>312</v>
      </c>
      <c r="V17" s="17" t="n">
        <v>490.5</v>
      </c>
      <c r="W17" s="17" t="n">
        <v>14</v>
      </c>
      <c r="X17" s="17" t="n">
        <v>2025</v>
      </c>
      <c r="Y17" s="17" t="n">
        <v>-21</v>
      </c>
      <c r="Z17" s="17" t="n">
        <v>9</v>
      </c>
      <c r="AA17" s="20">
        <f>IF(ISNUMBER(W17),W17,IFERROR(MAX(0,(VALUE(LEFT(F17,4))-VALUE(LEFT(TEXT(J17,"00000000"),4)))*12+(VALUE(MID(F17,5,2))-VALUE(MID(TEXT(J17,"00000000"),5,2)))),""))</f>
        <v/>
      </c>
      <c r="AB17" s="20">
        <f>IFERROR((VALUE(LEFT(TEXT(K17,"00000000"),4))-VALUE(LEFT(F17,4)))*12+(VALUE(MID(TEXT(K17,"00000000"),5,2))-VALUE(MID(F17,5,2))),"")</f>
        <v/>
      </c>
      <c r="AC17" s="20">
        <f>IF(OR(L17="",NOT(ISNUMBER(L17))),0,MAX(0,MIN(60,(VALUE(LEFT(F17,4))-VALUE(LEFT(TEXT(L17,"00000000"),4)))*12+(VALUE(MID(F17,5,2))-VALUE(MID(TEXT(L17,"00000000"),5,2))))))</f>
        <v/>
      </c>
      <c r="AD17" s="20">
        <f>IF(OR(L17="",NOT(ISNUMBER(L17))),0,IF(VALUE(F17)&lt;VALUE(LEFT(TEXT(L17,"00000000"),6)),1,0))</f>
        <v/>
      </c>
      <c r="AE17" s="20">
        <f>IF(OR(M17="",NOT(ISNUMBER(M17))),0,IF(VALUE(F17)&lt;VALUE(LEFT(TEXT(M17,"00000000"),6)),1,0))</f>
        <v/>
      </c>
      <c r="AF17" s="20">
        <f>IF(AND(AD17=0,AE17=0),1,0)</f>
        <v/>
      </c>
      <c r="AG17" s="20">
        <f>IF(ISNUMBER(X17),X17,IFERROR(VALUE(LEFT(TEXT(J17,"00000000"),4)),""))</f>
        <v/>
      </c>
      <c r="AH17" s="20">
        <f>IFERROR(XLOOKUP(AG17,Vintage_Rates!$A$2:$A$1000,Vintage_Rates!$B$2:$B$1000,""),"")</f>
        <v/>
      </c>
      <c r="AI17" s="20">
        <f>IF(ISNUMBER(Y17),Y17,IFERROR((G17-AH17)*100,""))</f>
        <v/>
      </c>
      <c r="AJ17" s="20">
        <f>IF(ISNUMBER(V17),V17,IFERROR(XLOOKUP(VALUE(F17),PLC_Rates!$A$2:$A$1000,PLC_Rates!$B$2:$B$1000,""),""))</f>
        <v/>
      </c>
      <c r="AK17" s="20">
        <f>IF(ISNUMBER(Z17),Z17,IF(AE17=0,0,MAX(0,MIN(10,((VALUE(LEFT(TEXT(M17,"00000000"),4))-VALUE(LEFT(F17,4)))*12+(VALUE(MID(TEXT(M17,"00000000"),5,2))-VALUE(MID(F17,5,2))))/12))))</f>
        <v/>
      </c>
      <c r="AL17" s="20">
        <f>IFERROR(G17*100-AJ17,"")</f>
        <v/>
      </c>
      <c r="AM17" s="20">
        <f>IFERROR(G17*100-(AJ17+(1+AK17)*12.5),"")</f>
        <v/>
      </c>
      <c r="AN17" s="21">
        <f>IFERROR(MIN(H17/1000000,100),"")</f>
        <v/>
      </c>
      <c r="AO17" s="20">
        <f>IFERROR(INDEX(FHA_Lookup!$B$2:$B$11,MATCH(TRUE,ISNUMBER(SEARCH(FHA_Lookup!$A$2:$A$11,UPPER(SUBSTITUTE(O17," ","")))),0)),"OTHER")</f>
        <v/>
      </c>
      <c r="AP17" s="20">
        <f>IFERROR(INDEX(FHA_Lookup!$C$2:$C$11,MATCH(TRUE,ISNUMBER(SEARCH(FHA_Lookup!$A$2:$A$11,UPPER(SUBSTITUTE(O17," ","")))),0)),"OTHER")</f>
        <v/>
      </c>
      <c r="AQ17" s="20">
        <f>IF(AP17="NC",1,0)</f>
        <v/>
      </c>
      <c r="AR17" s="20">
        <f>IF(UPPER(TRIM(P17))="AFF",1,0)</f>
        <v/>
      </c>
      <c r="AS17" s="20">
        <f>IF(UPPER(TRIM(P17))="BAF",1,0)</f>
        <v/>
      </c>
      <c r="AT17" s="20">
        <f>IF(UPPER(TRIM(P17))="MKT",1,0)</f>
        <v/>
      </c>
      <c r="AU17" s="20">
        <f>IF(AO17="221d4",1,0)</f>
        <v/>
      </c>
      <c r="AV17" s="20">
        <f>IF(AO17="223a7",1,0)</f>
        <v/>
      </c>
      <c r="AW17" s="20">
        <f>IF(AO17="232",1,0)</f>
        <v/>
      </c>
      <c r="AX17" s="20">
        <f>IF(AO17="538",1,0)</f>
        <v/>
      </c>
      <c r="AY17" s="20">
        <f>IF(AO17="241",1,0)</f>
        <v/>
      </c>
      <c r="AZ17" s="20">
        <f>IF(AO17="220",1,0)</f>
        <v/>
      </c>
      <c r="BA17" s="20">
        <f>IF(AO17="OTHER",1,0)</f>
        <v/>
      </c>
      <c r="BB17" s="20">
        <f>IF(UPPER(TRIM(C17))="LM",1,0)</f>
        <v/>
      </c>
      <c r="BC17" s="20">
        <f>IF(UPPER(TRIM(C17))="PN",1,0)</f>
        <v/>
      </c>
      <c r="BD17" s="20">
        <f>IF(UPPER(TRIM(C17))="LS",1,0)</f>
        <v/>
      </c>
      <c r="BE17" s="20">
        <f>IF(UPPER(TRIM(C17))="RX",1,0)</f>
        <v/>
      </c>
      <c r="BF17" s="22">
        <f>IFERROR((Parameters!$C$6*AM17+Parameters!$C$7*MAX(AM17-(-150),0)+Parameters!$C$8*MAX(AM17-(-50),0)+Parameters!$C$9*MAX(AM17-(0),0)+Parameters!$C$10*MAX(AM17-(50),0)+Parameters!$C$11*MAX(AM17-(100),0)+Parameters!$C$12*MAX(AM17-(150),0)+Parameters!$C$13*MAX(AM17-(250),0)),0)</f>
        <v/>
      </c>
      <c r="BG17" s="22">
        <f>IFERROR((Parameters!$C$14*AA17+Parameters!$C$15*MAX(AA17-(12),0)+Parameters!$C$16*MAX(AA17-(36),0)+Parameters!$C$17*MAX(AA17-(60),0)+Parameters!$C$18*MAX(AA17-(84),0)+Parameters!$C$19*MAX(AA17-(120),0)+Parameters!$C$20*MAX(AA17-(180),0)),0)</f>
        <v/>
      </c>
      <c r="BH17" s="22">
        <f>IFERROR((Parameters!$C$21*AK17+Parameters!$C$22*MAX(AK17-(0),0)+Parameters!$C$23*MAX(AK17-(2),0)+Parameters!$C$24*MAX(AK17-(5),0)+Parameters!$C$25*MAX(AK17-(8),0)),0)</f>
        <v/>
      </c>
      <c r="BI17" s="22">
        <f>IFERROR((Parameters!$C$26*AI17+Parameters!$C$27*MAX(AI17-(-100),0)+Parameters!$C$28*MAX(AI17-(-25),0)+Parameters!$C$29*MAX(AI17-(25),0)+Parameters!$C$30*MAX(AI17-(100),0)),0)</f>
        <v/>
      </c>
      <c r="BJ17" s="22">
        <f>IFERROR((Parameters!$C$31*AN17+Parameters!$C$32*MAX(AN17-(2),0)+Parameters!$C$33*MAX(AN17-(10),0)+Parameters!$C$34*MAX(AN17-(25),0)),0)</f>
        <v/>
      </c>
      <c r="BK17" s="22">
        <f>IFERROR((Parameters!$C$35*AB17+Parameters!$C$36*MAX(AB17-(12),0)+Parameters!$C$37*MAX(AB17-(24),0)+Parameters!$C$38*MAX(AB17-(60),0)),0)</f>
        <v/>
      </c>
      <c r="BL17" s="22">
        <f>IFERROR((Parameters!$C$39*AC17+Parameters!$C$40*MAX(AC17-(6),0)+Parameters!$C$41*MAX(AC17-(12),0)+Parameters!$C$42*MAX(AC17-(24),0)),0)</f>
        <v/>
      </c>
      <c r="BM17" s="22">
        <f>IFERROR(Parameters!$C$43*(MAX(AM17,0)*MIN(MAX(AK17,0),10))/100,0)</f>
        <v/>
      </c>
      <c r="BN17" s="22">
        <f>Parameters!$C$44*AE17</f>
        <v/>
      </c>
      <c r="BO17" s="22">
        <f>Parameters!$C$45*AU17 + Parameters!$C$46*AV17 + Parameters!$C$47*AW17 + Parameters!$C$48*AX17 + Parameters!$C$49*AY17 + Parameters!$C$50*AZ17 + Parameters!$C$51*BA17</f>
        <v/>
      </c>
      <c r="BP17" s="22">
        <f>Parameters!$C$52*AQ17</f>
        <v/>
      </c>
      <c r="BQ17" s="22">
        <f>Parameters!$C$53*AR17+Parameters!$C$54*AS17+Parameters!$C$55*AT17</f>
        <v/>
      </c>
      <c r="BR17" s="22">
        <f>Parameters!$C$56*BB17+Parameters!$C$57*BC17+Parameters!$C$58*BD17+Parameters!$C$59*BE17</f>
        <v/>
      </c>
      <c r="BS17" s="23">
        <f>Parameters!$B$2</f>
        <v/>
      </c>
      <c r="BT17" s="23">
        <f>BS17+BF17 + BG17 + BH17 + BI17 + BJ17 + BK17 + BL17 + BM17 + BN17 + BO17 + BP17 + BQ17 + BR17</f>
        <v/>
      </c>
      <c r="BU17" s="24">
        <f>IF(AD17=1,0,1/(1+EXP(-BT17))*Parameters!$B$3)</f>
        <v/>
      </c>
      <c r="BV17" s="25">
        <f>(1-(1-BU17)^12)*100</f>
        <v/>
      </c>
      <c r="BW17" s="25">
        <f>IF(AD17=1,0,(1-(1-1/(1+EXP(-Parameters!$B$2)))^12)*100)</f>
        <v/>
      </c>
      <c r="BX17" s="25">
        <f>IF(AD17=1,0,BV17-(1-(1-(1/(1+EXP(-(BT17-BF17)))*Parameters!$B$3))^12)*100)</f>
        <v/>
      </c>
      <c r="BY17" s="25">
        <f>IF(AD17=1,0,BV17-(1-(1-(1/(1+EXP(-(BT17-BG17)))*Parameters!$B$3))^12)*100)</f>
        <v/>
      </c>
      <c r="BZ17" s="25">
        <f>IF(AD17=1,0,BV17-(1-(1-(1/(1+EXP(-(BT17-BH17)))*Parameters!$B$3))^12)*100)</f>
        <v/>
      </c>
      <c r="CA17" s="25">
        <f>IF(AD17=1,0,BV17-(1-(1-(1/(1+EXP(-(BT17-BI17)))*Parameters!$B$3))^12)*100)</f>
        <v/>
      </c>
      <c r="CB17" s="25">
        <f>IF(AD17=1,0,BV17-(1-(1-(1/(1+EXP(-(BT17-BJ17)))*Parameters!$B$3))^12)*100)</f>
        <v/>
      </c>
      <c r="CC17" s="25">
        <f>IF(AD17=1,0,BV17-(1-(1-(1/(1+EXP(-(BT17-BK17)))*Parameters!$B$3))^12)*100)</f>
        <v/>
      </c>
      <c r="CD17" s="25">
        <f>IF(AD17=1,0,BV17-(1-(1-(1/(1+EXP(-(BT17-BL17)))*Parameters!$B$3))^12)*100)</f>
        <v/>
      </c>
      <c r="CE17" s="25">
        <f>IF(AD17=1,0,BV17-(1-(1-(1/(1+EXP(-(BT17-BM17)))*Parameters!$B$3))^12)*100)</f>
        <v/>
      </c>
      <c r="CF17" s="25">
        <f>IF(AD17=1,0,BV17-(1-(1-(1/(1+EXP(-(BT17-BN17)))*Parameters!$B$3))^12)*100)</f>
        <v/>
      </c>
      <c r="CG17" s="25">
        <f>IF(AD17=1,0,BV17-(1-(1-(1/(1+EXP(-(BT17-BO17)))*Parameters!$B$3))^12)*100)</f>
        <v/>
      </c>
      <c r="CH17" s="25">
        <f>IF(AD17=1,0,BV17-(1-(1-(1/(1+EXP(-(BT17-BP17)))*Parameters!$B$3))^12)*100)</f>
        <v/>
      </c>
      <c r="CI17" s="25">
        <f>IF(AD17=1,0,BV17-(1-(1-(1/(1+EXP(-(BT17-BQ17)))*Parameters!$B$3))^12)*100)</f>
        <v/>
      </c>
      <c r="CJ17" s="25">
        <f>IF(AD17=1,0,BV17-(1-(1-(1/(1+EXP(-(BT17-BR17)))*Parameters!$B$3))^12)*100)</f>
        <v/>
      </c>
    </row>
    <row r="18">
      <c r="A18" s="17" t="inlineStr">
        <is>
          <t>GNR_2024_NEW</t>
        </is>
      </c>
      <c r="B18" s="17" t="inlineStr">
        <is>
          <t>3617YPGE9</t>
        </is>
      </c>
      <c r="C18" s="17" t="inlineStr">
        <is>
          <t>PN</t>
        </is>
      </c>
      <c r="D18" s="17" t="inlineStr">
        <is>
          <t>JLL REAL ESTATE CAPITAL, LLC</t>
        </is>
      </c>
      <c r="E18" s="17" t="inlineStr">
        <is>
          <t>3617YPGE9_000000004611207</t>
        </is>
      </c>
      <c r="F18" s="17" t="n">
        <v>202603</v>
      </c>
      <c r="G18" s="18" t="n">
        <v>5.7</v>
      </c>
      <c r="H18" s="19" t="n">
        <v>10724476.31</v>
      </c>
      <c r="I18" s="17" t="n">
        <v>420</v>
      </c>
      <c r="J18" s="17" t="n">
        <v>20230721</v>
      </c>
      <c r="K18" s="17" t="n">
        <v>20580801</v>
      </c>
      <c r="L18" s="17" t="n"/>
      <c r="M18" s="17" t="n">
        <v>20330901</v>
      </c>
      <c r="N18" s="17" t="n">
        <v>10</v>
      </c>
      <c r="O18" s="17" t="inlineStr">
        <is>
          <t>207/223(F)</t>
        </is>
      </c>
      <c r="P18" s="17" t="inlineStr">
        <is>
          <t>BAF</t>
        </is>
      </c>
      <c r="Q18" s="17" t="n"/>
      <c r="R18" s="17" t="n"/>
      <c r="S18" s="17" t="n"/>
      <c r="T18" s="17" t="inlineStr">
        <is>
          <t>OH</t>
        </is>
      </c>
      <c r="U18" s="17" t="n">
        <v>149</v>
      </c>
      <c r="V18" s="17" t="n">
        <v>490.5</v>
      </c>
      <c r="W18" s="17" t="n">
        <v>32</v>
      </c>
      <c r="X18" s="17" t="n">
        <v>2023</v>
      </c>
      <c r="Y18" s="17" t="n">
        <v>11.5</v>
      </c>
      <c r="Z18" s="17" t="n">
        <v>10</v>
      </c>
      <c r="AA18" s="20">
        <f>IF(ISNUMBER(W18),W18,IFERROR(MAX(0,(VALUE(LEFT(F18,4))-VALUE(LEFT(TEXT(J18,"00000000"),4)))*12+(VALUE(MID(F18,5,2))-VALUE(MID(TEXT(J18,"00000000"),5,2)))),""))</f>
        <v/>
      </c>
      <c r="AB18" s="20">
        <f>IFERROR((VALUE(LEFT(TEXT(K18,"00000000"),4))-VALUE(LEFT(F18,4)))*12+(VALUE(MID(TEXT(K18,"00000000"),5,2))-VALUE(MID(F18,5,2))),"")</f>
        <v/>
      </c>
      <c r="AC18" s="20">
        <f>IF(OR(L18="",NOT(ISNUMBER(L18))),0,MAX(0,MIN(60,(VALUE(LEFT(F18,4))-VALUE(LEFT(TEXT(L18,"00000000"),4)))*12+(VALUE(MID(F18,5,2))-VALUE(MID(TEXT(L18,"00000000"),5,2))))))</f>
        <v/>
      </c>
      <c r="AD18" s="20">
        <f>IF(OR(L18="",NOT(ISNUMBER(L18))),0,IF(VALUE(F18)&lt;VALUE(LEFT(TEXT(L18,"00000000"),6)),1,0))</f>
        <v/>
      </c>
      <c r="AE18" s="20">
        <f>IF(OR(M18="",NOT(ISNUMBER(M18))),0,IF(VALUE(F18)&lt;VALUE(LEFT(TEXT(M18,"00000000"),6)),1,0))</f>
        <v/>
      </c>
      <c r="AF18" s="20">
        <f>IF(AND(AD18=0,AE18=0),1,0)</f>
        <v/>
      </c>
      <c r="AG18" s="20">
        <f>IF(ISNUMBER(X18),X18,IFERROR(VALUE(LEFT(TEXT(J18,"00000000"),4)),""))</f>
        <v/>
      </c>
      <c r="AH18" s="20">
        <f>IFERROR(XLOOKUP(AG18,Vintage_Rates!$A$2:$A$1000,Vintage_Rates!$B$2:$B$1000,""),"")</f>
        <v/>
      </c>
      <c r="AI18" s="20">
        <f>IF(ISNUMBER(Y18),Y18,IFERROR((G18-AH18)*100,""))</f>
        <v/>
      </c>
      <c r="AJ18" s="20">
        <f>IF(ISNUMBER(V18),V18,IFERROR(XLOOKUP(VALUE(F18),PLC_Rates!$A$2:$A$1000,PLC_Rates!$B$2:$B$1000,""),""))</f>
        <v/>
      </c>
      <c r="AK18" s="20">
        <f>IF(ISNUMBER(Z18),Z18,IF(AE18=0,0,MAX(0,MIN(10,((VALUE(LEFT(TEXT(M18,"00000000"),4))-VALUE(LEFT(F18,4)))*12+(VALUE(MID(TEXT(M18,"00000000"),5,2))-VALUE(MID(F18,5,2))))/12))))</f>
        <v/>
      </c>
      <c r="AL18" s="20">
        <f>IFERROR(G18*100-AJ18,"")</f>
        <v/>
      </c>
      <c r="AM18" s="20">
        <f>IFERROR(G18*100-(AJ18+(1+AK18)*12.5),"")</f>
        <v/>
      </c>
      <c r="AN18" s="21">
        <f>IFERROR(MIN(H18/1000000,100),"")</f>
        <v/>
      </c>
      <c r="AO18" s="20">
        <f>IFERROR(INDEX(FHA_Lookup!$B$2:$B$11,MATCH(TRUE,ISNUMBER(SEARCH(FHA_Lookup!$A$2:$A$11,UPPER(SUBSTITUTE(O18," ","")))),0)),"OTHER")</f>
        <v/>
      </c>
      <c r="AP18" s="20">
        <f>IFERROR(INDEX(FHA_Lookup!$C$2:$C$11,MATCH(TRUE,ISNUMBER(SEARCH(FHA_Lookup!$A$2:$A$11,UPPER(SUBSTITUTE(O18," ","")))),0)),"OTHER")</f>
        <v/>
      </c>
      <c r="AQ18" s="20">
        <f>IF(AP18="NC",1,0)</f>
        <v/>
      </c>
      <c r="AR18" s="20">
        <f>IF(UPPER(TRIM(P18))="AFF",1,0)</f>
        <v/>
      </c>
      <c r="AS18" s="20">
        <f>IF(UPPER(TRIM(P18))="BAF",1,0)</f>
        <v/>
      </c>
      <c r="AT18" s="20">
        <f>IF(UPPER(TRIM(P18))="MKT",1,0)</f>
        <v/>
      </c>
      <c r="AU18" s="20">
        <f>IF(AO18="221d4",1,0)</f>
        <v/>
      </c>
      <c r="AV18" s="20">
        <f>IF(AO18="223a7",1,0)</f>
        <v/>
      </c>
      <c r="AW18" s="20">
        <f>IF(AO18="232",1,0)</f>
        <v/>
      </c>
      <c r="AX18" s="20">
        <f>IF(AO18="538",1,0)</f>
        <v/>
      </c>
      <c r="AY18" s="20">
        <f>IF(AO18="241",1,0)</f>
        <v/>
      </c>
      <c r="AZ18" s="20">
        <f>IF(AO18="220",1,0)</f>
        <v/>
      </c>
      <c r="BA18" s="20">
        <f>IF(AO18="OTHER",1,0)</f>
        <v/>
      </c>
      <c r="BB18" s="20">
        <f>IF(UPPER(TRIM(C18))="LM",1,0)</f>
        <v/>
      </c>
      <c r="BC18" s="20">
        <f>IF(UPPER(TRIM(C18))="PN",1,0)</f>
        <v/>
      </c>
      <c r="BD18" s="20">
        <f>IF(UPPER(TRIM(C18))="LS",1,0)</f>
        <v/>
      </c>
      <c r="BE18" s="20">
        <f>IF(UPPER(TRIM(C18))="RX",1,0)</f>
        <v/>
      </c>
      <c r="BF18" s="22">
        <f>IFERROR((Parameters!$C$6*AM18+Parameters!$C$7*MAX(AM18-(-150),0)+Parameters!$C$8*MAX(AM18-(-50),0)+Parameters!$C$9*MAX(AM18-(0),0)+Parameters!$C$10*MAX(AM18-(50),0)+Parameters!$C$11*MAX(AM18-(100),0)+Parameters!$C$12*MAX(AM18-(150),0)+Parameters!$C$13*MAX(AM18-(250),0)),0)</f>
        <v/>
      </c>
      <c r="BG18" s="22">
        <f>IFERROR((Parameters!$C$14*AA18+Parameters!$C$15*MAX(AA18-(12),0)+Parameters!$C$16*MAX(AA18-(36),0)+Parameters!$C$17*MAX(AA18-(60),0)+Parameters!$C$18*MAX(AA18-(84),0)+Parameters!$C$19*MAX(AA18-(120),0)+Parameters!$C$20*MAX(AA18-(180),0)),0)</f>
        <v/>
      </c>
      <c r="BH18" s="22">
        <f>IFERROR((Parameters!$C$21*AK18+Parameters!$C$22*MAX(AK18-(0),0)+Parameters!$C$23*MAX(AK18-(2),0)+Parameters!$C$24*MAX(AK18-(5),0)+Parameters!$C$25*MAX(AK18-(8),0)),0)</f>
        <v/>
      </c>
      <c r="BI18" s="22">
        <f>IFERROR((Parameters!$C$26*AI18+Parameters!$C$27*MAX(AI18-(-100),0)+Parameters!$C$28*MAX(AI18-(-25),0)+Parameters!$C$29*MAX(AI18-(25),0)+Parameters!$C$30*MAX(AI18-(100),0)),0)</f>
        <v/>
      </c>
      <c r="BJ18" s="22">
        <f>IFERROR((Parameters!$C$31*AN18+Parameters!$C$32*MAX(AN18-(2),0)+Parameters!$C$33*MAX(AN18-(10),0)+Parameters!$C$34*MAX(AN18-(25),0)),0)</f>
        <v/>
      </c>
      <c r="BK18" s="22">
        <f>IFERROR((Parameters!$C$35*AB18+Parameters!$C$36*MAX(AB18-(12),0)+Parameters!$C$37*MAX(AB18-(24),0)+Parameters!$C$38*MAX(AB18-(60),0)),0)</f>
        <v/>
      </c>
      <c r="BL18" s="22">
        <f>IFERROR((Parameters!$C$39*AC18+Parameters!$C$40*MAX(AC18-(6),0)+Parameters!$C$41*MAX(AC18-(12),0)+Parameters!$C$42*MAX(AC18-(24),0)),0)</f>
        <v/>
      </c>
      <c r="BM18" s="22">
        <f>IFERROR(Parameters!$C$43*(MAX(AM18,0)*MIN(MAX(AK18,0),10))/100,0)</f>
        <v/>
      </c>
      <c r="BN18" s="22">
        <f>Parameters!$C$44*AE18</f>
        <v/>
      </c>
      <c r="BO18" s="22">
        <f>Parameters!$C$45*AU18 + Parameters!$C$46*AV18 + Parameters!$C$47*AW18 + Parameters!$C$48*AX18 + Parameters!$C$49*AY18 + Parameters!$C$50*AZ18 + Parameters!$C$51*BA18</f>
        <v/>
      </c>
      <c r="BP18" s="22">
        <f>Parameters!$C$52*AQ18</f>
        <v/>
      </c>
      <c r="BQ18" s="22">
        <f>Parameters!$C$53*AR18+Parameters!$C$54*AS18+Parameters!$C$55*AT18</f>
        <v/>
      </c>
      <c r="BR18" s="22">
        <f>Parameters!$C$56*BB18+Parameters!$C$57*BC18+Parameters!$C$58*BD18+Parameters!$C$59*BE18</f>
        <v/>
      </c>
      <c r="BS18" s="23">
        <f>Parameters!$B$2</f>
        <v/>
      </c>
      <c r="BT18" s="23">
        <f>BS18+BF18 + BG18 + BH18 + BI18 + BJ18 + BK18 + BL18 + BM18 + BN18 + BO18 + BP18 + BQ18 + BR18</f>
        <v/>
      </c>
      <c r="BU18" s="24">
        <f>IF(AD18=1,0,1/(1+EXP(-BT18))*Parameters!$B$3)</f>
        <v/>
      </c>
      <c r="BV18" s="25">
        <f>(1-(1-BU18)^12)*100</f>
        <v/>
      </c>
      <c r="BW18" s="25">
        <f>IF(AD18=1,0,(1-(1-1/(1+EXP(-Parameters!$B$2)))^12)*100)</f>
        <v/>
      </c>
      <c r="BX18" s="25">
        <f>IF(AD18=1,0,BV18-(1-(1-(1/(1+EXP(-(BT18-BF18)))*Parameters!$B$3))^12)*100)</f>
        <v/>
      </c>
      <c r="BY18" s="25">
        <f>IF(AD18=1,0,BV18-(1-(1-(1/(1+EXP(-(BT18-BG18)))*Parameters!$B$3))^12)*100)</f>
        <v/>
      </c>
      <c r="BZ18" s="25">
        <f>IF(AD18=1,0,BV18-(1-(1-(1/(1+EXP(-(BT18-BH18)))*Parameters!$B$3))^12)*100)</f>
        <v/>
      </c>
      <c r="CA18" s="25">
        <f>IF(AD18=1,0,BV18-(1-(1-(1/(1+EXP(-(BT18-BI18)))*Parameters!$B$3))^12)*100)</f>
        <v/>
      </c>
      <c r="CB18" s="25">
        <f>IF(AD18=1,0,BV18-(1-(1-(1/(1+EXP(-(BT18-BJ18)))*Parameters!$B$3))^12)*100)</f>
        <v/>
      </c>
      <c r="CC18" s="25">
        <f>IF(AD18=1,0,BV18-(1-(1-(1/(1+EXP(-(BT18-BK18)))*Parameters!$B$3))^12)*100)</f>
        <v/>
      </c>
      <c r="CD18" s="25">
        <f>IF(AD18=1,0,BV18-(1-(1-(1/(1+EXP(-(BT18-BL18)))*Parameters!$B$3))^12)*100)</f>
        <v/>
      </c>
      <c r="CE18" s="25">
        <f>IF(AD18=1,0,BV18-(1-(1-(1/(1+EXP(-(BT18-BM18)))*Parameters!$B$3))^12)*100)</f>
        <v/>
      </c>
      <c r="CF18" s="25">
        <f>IF(AD18=1,0,BV18-(1-(1-(1/(1+EXP(-(BT18-BN18)))*Parameters!$B$3))^12)*100)</f>
        <v/>
      </c>
      <c r="CG18" s="25">
        <f>IF(AD18=1,0,BV18-(1-(1-(1/(1+EXP(-(BT18-BO18)))*Parameters!$B$3))^12)*100)</f>
        <v/>
      </c>
      <c r="CH18" s="25">
        <f>IF(AD18=1,0,BV18-(1-(1-(1/(1+EXP(-(BT18-BP18)))*Parameters!$B$3))^12)*100)</f>
        <v/>
      </c>
      <c r="CI18" s="25">
        <f>IF(AD18=1,0,BV18-(1-(1-(1/(1+EXP(-(BT18-BQ18)))*Parameters!$B$3))^12)*100)</f>
        <v/>
      </c>
      <c r="CJ18" s="25">
        <f>IF(AD18=1,0,BV18-(1-(1-(1/(1+EXP(-(BT18-BR18)))*Parameters!$B$3))^12)*100)</f>
        <v/>
      </c>
    </row>
    <row r="19">
      <c r="A19" s="17" t="inlineStr">
        <is>
          <t>GNR_2024_NEW</t>
        </is>
      </c>
      <c r="B19" s="17" t="inlineStr">
        <is>
          <t>3618JBEW7</t>
        </is>
      </c>
      <c r="C19" s="17" t="inlineStr">
        <is>
          <t>PN</t>
        </is>
      </c>
      <c r="D19" s="17" t="inlineStr">
        <is>
          <t>GREYSTONE FUNDING COMPANY LLC</t>
        </is>
      </c>
      <c r="E19" s="17" t="inlineStr">
        <is>
          <t>3618JBEW7_000000006122231</t>
        </is>
      </c>
      <c r="F19" s="17" t="n">
        <v>202603</v>
      </c>
      <c r="G19" s="18" t="n">
        <v>5.46</v>
      </c>
      <c r="H19" s="19" t="n">
        <v>32331260.78</v>
      </c>
      <c r="I19" s="17" t="n">
        <v>300</v>
      </c>
      <c r="J19" s="17" t="n">
        <v>20240901</v>
      </c>
      <c r="K19" s="17" t="n">
        <v>20491001</v>
      </c>
      <c r="L19" s="17" t="n">
        <v>20341101</v>
      </c>
      <c r="M19" s="17" t="n"/>
      <c r="N19" s="17" t="n">
        <v>0</v>
      </c>
      <c r="O19" s="17" t="inlineStr">
        <is>
          <t>242/223(f)</t>
        </is>
      </c>
      <c r="P19" s="17" t="n"/>
      <c r="Q19" s="17" t="n"/>
      <c r="R19" s="17" t="n"/>
      <c r="S19" s="17" t="n"/>
      <c r="T19" s="17" t="inlineStr">
        <is>
          <t>AL</t>
        </is>
      </c>
      <c r="U19" s="17" t="n">
        <v>338</v>
      </c>
      <c r="V19" s="17" t="n">
        <v>490.5</v>
      </c>
      <c r="W19" s="17" t="n">
        <v>18</v>
      </c>
      <c r="X19" s="17" t="n">
        <v>2024</v>
      </c>
      <c r="Y19" s="17" t="n">
        <v>-32</v>
      </c>
      <c r="Z19" s="17" t="n">
        <v>0</v>
      </c>
      <c r="AA19" s="20">
        <f>IF(ISNUMBER(W19),W19,IFERROR(MAX(0,(VALUE(LEFT(F19,4))-VALUE(LEFT(TEXT(J19,"00000000"),4)))*12+(VALUE(MID(F19,5,2))-VALUE(MID(TEXT(J19,"00000000"),5,2)))),""))</f>
        <v/>
      </c>
      <c r="AB19" s="20">
        <f>IFERROR((VALUE(LEFT(TEXT(K19,"00000000"),4))-VALUE(LEFT(F19,4)))*12+(VALUE(MID(TEXT(K19,"00000000"),5,2))-VALUE(MID(F19,5,2))),"")</f>
        <v/>
      </c>
      <c r="AC19" s="20">
        <f>IF(OR(L19="",NOT(ISNUMBER(L19))),0,MAX(0,MIN(60,(VALUE(LEFT(F19,4))-VALUE(LEFT(TEXT(L19,"00000000"),4)))*12+(VALUE(MID(F19,5,2))-VALUE(MID(TEXT(L19,"00000000"),5,2))))))</f>
        <v/>
      </c>
      <c r="AD19" s="20">
        <f>IF(OR(L19="",NOT(ISNUMBER(L19))),0,IF(VALUE(F19)&lt;VALUE(LEFT(TEXT(L19,"00000000"),6)),1,0))</f>
        <v/>
      </c>
      <c r="AE19" s="20">
        <f>IF(OR(M19="",NOT(ISNUMBER(M19))),0,IF(VALUE(F19)&lt;VALUE(LEFT(TEXT(M19,"00000000"),6)),1,0))</f>
        <v/>
      </c>
      <c r="AF19" s="20">
        <f>IF(AND(AD19=0,AE19=0),1,0)</f>
        <v/>
      </c>
      <c r="AG19" s="20">
        <f>IF(ISNUMBER(X19),X19,IFERROR(VALUE(LEFT(TEXT(J19,"00000000"),4)),""))</f>
        <v/>
      </c>
      <c r="AH19" s="20">
        <f>IFERROR(XLOOKUP(AG19,Vintage_Rates!$A$2:$A$1000,Vintage_Rates!$B$2:$B$1000,""),"")</f>
        <v/>
      </c>
      <c r="AI19" s="20">
        <f>IF(ISNUMBER(Y19),Y19,IFERROR((G19-AH19)*100,""))</f>
        <v/>
      </c>
      <c r="AJ19" s="20">
        <f>IF(ISNUMBER(V19),V19,IFERROR(XLOOKUP(VALUE(F19),PLC_Rates!$A$2:$A$1000,PLC_Rates!$B$2:$B$1000,""),""))</f>
        <v/>
      </c>
      <c r="AK19" s="20">
        <f>IF(ISNUMBER(Z19),Z19,IF(AE19=0,0,MAX(0,MIN(10,((VALUE(LEFT(TEXT(M19,"00000000"),4))-VALUE(LEFT(F19,4)))*12+(VALUE(MID(TEXT(M19,"00000000"),5,2))-VALUE(MID(F19,5,2))))/12))))</f>
        <v/>
      </c>
      <c r="AL19" s="20">
        <f>IFERROR(G19*100-AJ19,"")</f>
        <v/>
      </c>
      <c r="AM19" s="20">
        <f>IFERROR(G19*100-(AJ19+(1+AK19)*12.5),"")</f>
        <v/>
      </c>
      <c r="AN19" s="21">
        <f>IFERROR(MIN(H19/1000000,100),"")</f>
        <v/>
      </c>
      <c r="AO19" s="20">
        <f>IFERROR(INDEX(FHA_Lookup!$B$2:$B$11,MATCH(TRUE,ISNUMBER(SEARCH(FHA_Lookup!$A$2:$A$11,UPPER(SUBSTITUTE(O19," ","")))),0)),"OTHER")</f>
        <v/>
      </c>
      <c r="AP19" s="20">
        <f>IFERROR(INDEX(FHA_Lookup!$C$2:$C$11,MATCH(TRUE,ISNUMBER(SEARCH(FHA_Lookup!$A$2:$A$11,UPPER(SUBSTITUTE(O19," ","")))),0)),"OTHER")</f>
        <v/>
      </c>
      <c r="AQ19" s="20">
        <f>IF(AP19="NC",1,0)</f>
        <v/>
      </c>
      <c r="AR19" s="20">
        <f>IF(UPPER(TRIM(P19))="AFF",1,0)</f>
        <v/>
      </c>
      <c r="AS19" s="20">
        <f>IF(UPPER(TRIM(P19))="BAF",1,0)</f>
        <v/>
      </c>
      <c r="AT19" s="20">
        <f>IF(UPPER(TRIM(P19))="MKT",1,0)</f>
        <v/>
      </c>
      <c r="AU19" s="20">
        <f>IF(AO19="221d4",1,0)</f>
        <v/>
      </c>
      <c r="AV19" s="20">
        <f>IF(AO19="223a7",1,0)</f>
        <v/>
      </c>
      <c r="AW19" s="20">
        <f>IF(AO19="232",1,0)</f>
        <v/>
      </c>
      <c r="AX19" s="20">
        <f>IF(AO19="538",1,0)</f>
        <v/>
      </c>
      <c r="AY19" s="20">
        <f>IF(AO19="241",1,0)</f>
        <v/>
      </c>
      <c r="AZ19" s="20">
        <f>IF(AO19="220",1,0)</f>
        <v/>
      </c>
      <c r="BA19" s="20">
        <f>IF(AO19="OTHER",1,0)</f>
        <v/>
      </c>
      <c r="BB19" s="20">
        <f>IF(UPPER(TRIM(C19))="LM",1,0)</f>
        <v/>
      </c>
      <c r="BC19" s="20">
        <f>IF(UPPER(TRIM(C19))="PN",1,0)</f>
        <v/>
      </c>
      <c r="BD19" s="20">
        <f>IF(UPPER(TRIM(C19))="LS",1,0)</f>
        <v/>
      </c>
      <c r="BE19" s="20">
        <f>IF(UPPER(TRIM(C19))="RX",1,0)</f>
        <v/>
      </c>
      <c r="BF19" s="22">
        <f>IFERROR((Parameters!$C$6*AM19+Parameters!$C$7*MAX(AM19-(-150),0)+Parameters!$C$8*MAX(AM19-(-50),0)+Parameters!$C$9*MAX(AM19-(0),0)+Parameters!$C$10*MAX(AM19-(50),0)+Parameters!$C$11*MAX(AM19-(100),0)+Parameters!$C$12*MAX(AM19-(150),0)+Parameters!$C$13*MAX(AM19-(250),0)),0)</f>
        <v/>
      </c>
      <c r="BG19" s="22">
        <f>IFERROR((Parameters!$C$14*AA19+Parameters!$C$15*MAX(AA19-(12),0)+Parameters!$C$16*MAX(AA19-(36),0)+Parameters!$C$17*MAX(AA19-(60),0)+Parameters!$C$18*MAX(AA19-(84),0)+Parameters!$C$19*MAX(AA19-(120),0)+Parameters!$C$20*MAX(AA19-(180),0)),0)</f>
        <v/>
      </c>
      <c r="BH19" s="22">
        <f>IFERROR((Parameters!$C$21*AK19+Parameters!$C$22*MAX(AK19-(0),0)+Parameters!$C$23*MAX(AK19-(2),0)+Parameters!$C$24*MAX(AK19-(5),0)+Parameters!$C$25*MAX(AK19-(8),0)),0)</f>
        <v/>
      </c>
      <c r="BI19" s="22">
        <f>IFERROR((Parameters!$C$26*AI19+Parameters!$C$27*MAX(AI19-(-100),0)+Parameters!$C$28*MAX(AI19-(-25),0)+Parameters!$C$29*MAX(AI19-(25),0)+Parameters!$C$30*MAX(AI19-(100),0)),0)</f>
        <v/>
      </c>
      <c r="BJ19" s="22">
        <f>IFERROR((Parameters!$C$31*AN19+Parameters!$C$32*MAX(AN19-(2),0)+Parameters!$C$33*MAX(AN19-(10),0)+Parameters!$C$34*MAX(AN19-(25),0)),0)</f>
        <v/>
      </c>
      <c r="BK19" s="22">
        <f>IFERROR((Parameters!$C$35*AB19+Parameters!$C$36*MAX(AB19-(12),0)+Parameters!$C$37*MAX(AB19-(24),0)+Parameters!$C$38*MAX(AB19-(60),0)),0)</f>
        <v/>
      </c>
      <c r="BL19" s="22">
        <f>IFERROR((Parameters!$C$39*AC19+Parameters!$C$40*MAX(AC19-(6),0)+Parameters!$C$41*MAX(AC19-(12),0)+Parameters!$C$42*MAX(AC19-(24),0)),0)</f>
        <v/>
      </c>
      <c r="BM19" s="22">
        <f>IFERROR(Parameters!$C$43*(MAX(AM19,0)*MIN(MAX(AK19,0),10))/100,0)</f>
        <v/>
      </c>
      <c r="BN19" s="22">
        <f>Parameters!$C$44*AE19</f>
        <v/>
      </c>
      <c r="BO19" s="22">
        <f>Parameters!$C$45*AU19 + Parameters!$C$46*AV19 + Parameters!$C$47*AW19 + Parameters!$C$48*AX19 + Parameters!$C$49*AY19 + Parameters!$C$50*AZ19 + Parameters!$C$51*BA19</f>
        <v/>
      </c>
      <c r="BP19" s="22">
        <f>Parameters!$C$52*AQ19</f>
        <v/>
      </c>
      <c r="BQ19" s="22">
        <f>Parameters!$C$53*AR19+Parameters!$C$54*AS19+Parameters!$C$55*AT19</f>
        <v/>
      </c>
      <c r="BR19" s="22">
        <f>Parameters!$C$56*BB19+Parameters!$C$57*BC19+Parameters!$C$58*BD19+Parameters!$C$59*BE19</f>
        <v/>
      </c>
      <c r="BS19" s="23">
        <f>Parameters!$B$2</f>
        <v/>
      </c>
      <c r="BT19" s="23">
        <f>BS19+BF19 + BG19 + BH19 + BI19 + BJ19 + BK19 + BL19 + BM19 + BN19 + BO19 + BP19 + BQ19 + BR19</f>
        <v/>
      </c>
      <c r="BU19" s="24">
        <f>IF(AD19=1,0,1/(1+EXP(-BT19))*Parameters!$B$3)</f>
        <v/>
      </c>
      <c r="BV19" s="25">
        <f>(1-(1-BU19)^12)*100</f>
        <v/>
      </c>
      <c r="BW19" s="25">
        <f>IF(AD19=1,0,(1-(1-1/(1+EXP(-Parameters!$B$2)))^12)*100)</f>
        <v/>
      </c>
      <c r="BX19" s="25">
        <f>IF(AD19=1,0,BV19-(1-(1-(1/(1+EXP(-(BT19-BF19)))*Parameters!$B$3))^12)*100)</f>
        <v/>
      </c>
      <c r="BY19" s="25">
        <f>IF(AD19=1,0,BV19-(1-(1-(1/(1+EXP(-(BT19-BG19)))*Parameters!$B$3))^12)*100)</f>
        <v/>
      </c>
      <c r="BZ19" s="25">
        <f>IF(AD19=1,0,BV19-(1-(1-(1/(1+EXP(-(BT19-BH19)))*Parameters!$B$3))^12)*100)</f>
        <v/>
      </c>
      <c r="CA19" s="25">
        <f>IF(AD19=1,0,BV19-(1-(1-(1/(1+EXP(-(BT19-BI19)))*Parameters!$B$3))^12)*100)</f>
        <v/>
      </c>
      <c r="CB19" s="25">
        <f>IF(AD19=1,0,BV19-(1-(1-(1/(1+EXP(-(BT19-BJ19)))*Parameters!$B$3))^12)*100)</f>
        <v/>
      </c>
      <c r="CC19" s="25">
        <f>IF(AD19=1,0,BV19-(1-(1-(1/(1+EXP(-(BT19-BK19)))*Parameters!$B$3))^12)*100)</f>
        <v/>
      </c>
      <c r="CD19" s="25">
        <f>IF(AD19=1,0,BV19-(1-(1-(1/(1+EXP(-(BT19-BL19)))*Parameters!$B$3))^12)*100)</f>
        <v/>
      </c>
      <c r="CE19" s="25">
        <f>IF(AD19=1,0,BV19-(1-(1-(1/(1+EXP(-(BT19-BM19)))*Parameters!$B$3))^12)*100)</f>
        <v/>
      </c>
      <c r="CF19" s="25">
        <f>IF(AD19=1,0,BV19-(1-(1-(1/(1+EXP(-(BT19-BN19)))*Parameters!$B$3))^12)*100)</f>
        <v/>
      </c>
      <c r="CG19" s="25">
        <f>IF(AD19=1,0,BV19-(1-(1-(1/(1+EXP(-(BT19-BO19)))*Parameters!$B$3))^12)*100)</f>
        <v/>
      </c>
      <c r="CH19" s="25">
        <f>IF(AD19=1,0,BV19-(1-(1-(1/(1+EXP(-(BT19-BP19)))*Parameters!$B$3))^12)*100)</f>
        <v/>
      </c>
      <c r="CI19" s="25">
        <f>IF(AD19=1,0,BV19-(1-(1-(1/(1+EXP(-(BT19-BQ19)))*Parameters!$B$3))^12)*100)</f>
        <v/>
      </c>
      <c r="CJ19" s="25">
        <f>IF(AD19=1,0,BV19-(1-(1-(1/(1+EXP(-(BT19-BR19)))*Parameters!$B$3))^12)*100)</f>
        <v/>
      </c>
    </row>
    <row r="20">
      <c r="A20" s="17" t="inlineStr">
        <is>
          <t>GNR_2024_NEW</t>
        </is>
      </c>
      <c r="B20" s="17" t="inlineStr">
        <is>
          <t>3617FTC63</t>
        </is>
      </c>
      <c r="C20" s="17" t="inlineStr">
        <is>
          <t>PN</t>
        </is>
      </c>
      <c r="D20" s="17" t="inlineStr">
        <is>
          <t>LUMENT REAL ESTATE CAPITAL,LLC</t>
        </is>
      </c>
      <c r="E20" s="17" t="inlineStr">
        <is>
          <t>3617FTC63_000000002311705</t>
        </is>
      </c>
      <c r="F20" s="17" t="n">
        <v>202603</v>
      </c>
      <c r="G20" s="18" t="n">
        <v>5.05</v>
      </c>
      <c r="H20" s="19" t="n">
        <v>10068907.33</v>
      </c>
      <c r="I20" s="17" t="n">
        <v>420</v>
      </c>
      <c r="J20" s="17" t="n">
        <v>20230201</v>
      </c>
      <c r="K20" s="17" t="n">
        <v>20580301</v>
      </c>
      <c r="L20" s="17" t="n"/>
      <c r="M20" s="17" t="n">
        <v>20330401</v>
      </c>
      <c r="N20" s="17" t="n">
        <v>10</v>
      </c>
      <c r="O20" s="17" t="inlineStr">
        <is>
          <t>207/223(F)</t>
        </is>
      </c>
      <c r="P20" s="17" t="inlineStr">
        <is>
          <t>BAF</t>
        </is>
      </c>
      <c r="Q20" s="17" t="n"/>
      <c r="R20" s="17" t="n"/>
      <c r="S20" s="17" t="n"/>
      <c r="T20" s="17" t="inlineStr">
        <is>
          <t>MA</t>
        </is>
      </c>
      <c r="U20" s="17" t="n">
        <v>59</v>
      </c>
      <c r="V20" s="17" t="n">
        <v>490.5</v>
      </c>
      <c r="W20" s="17" t="n">
        <v>37</v>
      </c>
      <c r="X20" s="17" t="n">
        <v>2023</v>
      </c>
      <c r="Y20" s="17" t="n">
        <v>-53.5</v>
      </c>
      <c r="Z20" s="17" t="n">
        <v>8</v>
      </c>
      <c r="AA20" s="20">
        <f>IF(ISNUMBER(W20),W20,IFERROR(MAX(0,(VALUE(LEFT(F20,4))-VALUE(LEFT(TEXT(J20,"00000000"),4)))*12+(VALUE(MID(F20,5,2))-VALUE(MID(TEXT(J20,"00000000"),5,2)))),""))</f>
        <v/>
      </c>
      <c r="AB20" s="20">
        <f>IFERROR((VALUE(LEFT(TEXT(K20,"00000000"),4))-VALUE(LEFT(F20,4)))*12+(VALUE(MID(TEXT(K20,"00000000"),5,2))-VALUE(MID(F20,5,2))),"")</f>
        <v/>
      </c>
      <c r="AC20" s="20">
        <f>IF(OR(L20="",NOT(ISNUMBER(L20))),0,MAX(0,MIN(60,(VALUE(LEFT(F20,4))-VALUE(LEFT(TEXT(L20,"00000000"),4)))*12+(VALUE(MID(F20,5,2))-VALUE(MID(TEXT(L20,"00000000"),5,2))))))</f>
        <v/>
      </c>
      <c r="AD20" s="20">
        <f>IF(OR(L20="",NOT(ISNUMBER(L20))),0,IF(VALUE(F20)&lt;VALUE(LEFT(TEXT(L20,"00000000"),6)),1,0))</f>
        <v/>
      </c>
      <c r="AE20" s="20">
        <f>IF(OR(M20="",NOT(ISNUMBER(M20))),0,IF(VALUE(F20)&lt;VALUE(LEFT(TEXT(M20,"00000000"),6)),1,0))</f>
        <v/>
      </c>
      <c r="AF20" s="20">
        <f>IF(AND(AD20=0,AE20=0),1,0)</f>
        <v/>
      </c>
      <c r="AG20" s="20">
        <f>IF(ISNUMBER(X20),X20,IFERROR(VALUE(LEFT(TEXT(J20,"00000000"),4)),""))</f>
        <v/>
      </c>
      <c r="AH20" s="20">
        <f>IFERROR(XLOOKUP(AG20,Vintage_Rates!$A$2:$A$1000,Vintage_Rates!$B$2:$B$1000,""),"")</f>
        <v/>
      </c>
      <c r="AI20" s="20">
        <f>IF(ISNUMBER(Y20),Y20,IFERROR((G20-AH20)*100,""))</f>
        <v/>
      </c>
      <c r="AJ20" s="20">
        <f>IF(ISNUMBER(V20),V20,IFERROR(XLOOKUP(VALUE(F20),PLC_Rates!$A$2:$A$1000,PLC_Rates!$B$2:$B$1000,""),""))</f>
        <v/>
      </c>
      <c r="AK20" s="20">
        <f>IF(ISNUMBER(Z20),Z20,IF(AE20=0,0,MAX(0,MIN(10,((VALUE(LEFT(TEXT(M20,"00000000"),4))-VALUE(LEFT(F20,4)))*12+(VALUE(MID(TEXT(M20,"00000000"),5,2))-VALUE(MID(F20,5,2))))/12))))</f>
        <v/>
      </c>
      <c r="AL20" s="20">
        <f>IFERROR(G20*100-AJ20,"")</f>
        <v/>
      </c>
      <c r="AM20" s="20">
        <f>IFERROR(G20*100-(AJ20+(1+AK20)*12.5),"")</f>
        <v/>
      </c>
      <c r="AN20" s="21">
        <f>IFERROR(MIN(H20/1000000,100),"")</f>
        <v/>
      </c>
      <c r="AO20" s="20">
        <f>IFERROR(INDEX(FHA_Lookup!$B$2:$B$11,MATCH(TRUE,ISNUMBER(SEARCH(FHA_Lookup!$A$2:$A$11,UPPER(SUBSTITUTE(O20," ","")))),0)),"OTHER")</f>
        <v/>
      </c>
      <c r="AP20" s="20">
        <f>IFERROR(INDEX(FHA_Lookup!$C$2:$C$11,MATCH(TRUE,ISNUMBER(SEARCH(FHA_Lookup!$A$2:$A$11,UPPER(SUBSTITUTE(O20," ","")))),0)),"OTHER")</f>
        <v/>
      </c>
      <c r="AQ20" s="20">
        <f>IF(AP20="NC",1,0)</f>
        <v/>
      </c>
      <c r="AR20" s="20">
        <f>IF(UPPER(TRIM(P20))="AFF",1,0)</f>
        <v/>
      </c>
      <c r="AS20" s="20">
        <f>IF(UPPER(TRIM(P20))="BAF",1,0)</f>
        <v/>
      </c>
      <c r="AT20" s="20">
        <f>IF(UPPER(TRIM(P20))="MKT",1,0)</f>
        <v/>
      </c>
      <c r="AU20" s="20">
        <f>IF(AO20="221d4",1,0)</f>
        <v/>
      </c>
      <c r="AV20" s="20">
        <f>IF(AO20="223a7",1,0)</f>
        <v/>
      </c>
      <c r="AW20" s="20">
        <f>IF(AO20="232",1,0)</f>
        <v/>
      </c>
      <c r="AX20" s="20">
        <f>IF(AO20="538",1,0)</f>
        <v/>
      </c>
      <c r="AY20" s="20">
        <f>IF(AO20="241",1,0)</f>
        <v/>
      </c>
      <c r="AZ20" s="20">
        <f>IF(AO20="220",1,0)</f>
        <v/>
      </c>
      <c r="BA20" s="20">
        <f>IF(AO20="OTHER",1,0)</f>
        <v/>
      </c>
      <c r="BB20" s="20">
        <f>IF(UPPER(TRIM(C20))="LM",1,0)</f>
        <v/>
      </c>
      <c r="BC20" s="20">
        <f>IF(UPPER(TRIM(C20))="PN",1,0)</f>
        <v/>
      </c>
      <c r="BD20" s="20">
        <f>IF(UPPER(TRIM(C20))="LS",1,0)</f>
        <v/>
      </c>
      <c r="BE20" s="20">
        <f>IF(UPPER(TRIM(C20))="RX",1,0)</f>
        <v/>
      </c>
      <c r="BF20" s="22">
        <f>IFERROR((Parameters!$C$6*AM20+Parameters!$C$7*MAX(AM20-(-150),0)+Parameters!$C$8*MAX(AM20-(-50),0)+Parameters!$C$9*MAX(AM20-(0),0)+Parameters!$C$10*MAX(AM20-(50),0)+Parameters!$C$11*MAX(AM20-(100),0)+Parameters!$C$12*MAX(AM20-(150),0)+Parameters!$C$13*MAX(AM20-(250),0)),0)</f>
        <v/>
      </c>
      <c r="BG20" s="22">
        <f>IFERROR((Parameters!$C$14*AA20+Parameters!$C$15*MAX(AA20-(12),0)+Parameters!$C$16*MAX(AA20-(36),0)+Parameters!$C$17*MAX(AA20-(60),0)+Parameters!$C$18*MAX(AA20-(84),0)+Parameters!$C$19*MAX(AA20-(120),0)+Parameters!$C$20*MAX(AA20-(180),0)),0)</f>
        <v/>
      </c>
      <c r="BH20" s="22">
        <f>IFERROR((Parameters!$C$21*AK20+Parameters!$C$22*MAX(AK20-(0),0)+Parameters!$C$23*MAX(AK20-(2),0)+Parameters!$C$24*MAX(AK20-(5),0)+Parameters!$C$25*MAX(AK20-(8),0)),0)</f>
        <v/>
      </c>
      <c r="BI20" s="22">
        <f>IFERROR((Parameters!$C$26*AI20+Parameters!$C$27*MAX(AI20-(-100),0)+Parameters!$C$28*MAX(AI20-(-25),0)+Parameters!$C$29*MAX(AI20-(25),0)+Parameters!$C$30*MAX(AI20-(100),0)),0)</f>
        <v/>
      </c>
      <c r="BJ20" s="22">
        <f>IFERROR((Parameters!$C$31*AN20+Parameters!$C$32*MAX(AN20-(2),0)+Parameters!$C$33*MAX(AN20-(10),0)+Parameters!$C$34*MAX(AN20-(25),0)),0)</f>
        <v/>
      </c>
      <c r="BK20" s="22">
        <f>IFERROR((Parameters!$C$35*AB20+Parameters!$C$36*MAX(AB20-(12),0)+Parameters!$C$37*MAX(AB20-(24),0)+Parameters!$C$38*MAX(AB20-(60),0)),0)</f>
        <v/>
      </c>
      <c r="BL20" s="22">
        <f>IFERROR((Parameters!$C$39*AC20+Parameters!$C$40*MAX(AC20-(6),0)+Parameters!$C$41*MAX(AC20-(12),0)+Parameters!$C$42*MAX(AC20-(24),0)),0)</f>
        <v/>
      </c>
      <c r="BM20" s="22">
        <f>IFERROR(Parameters!$C$43*(MAX(AM20,0)*MIN(MAX(AK20,0),10))/100,0)</f>
        <v/>
      </c>
      <c r="BN20" s="22">
        <f>Parameters!$C$44*AE20</f>
        <v/>
      </c>
      <c r="BO20" s="22">
        <f>Parameters!$C$45*AU20 + Parameters!$C$46*AV20 + Parameters!$C$47*AW20 + Parameters!$C$48*AX20 + Parameters!$C$49*AY20 + Parameters!$C$50*AZ20 + Parameters!$C$51*BA20</f>
        <v/>
      </c>
      <c r="BP20" s="22">
        <f>Parameters!$C$52*AQ20</f>
        <v/>
      </c>
      <c r="BQ20" s="22">
        <f>Parameters!$C$53*AR20+Parameters!$C$54*AS20+Parameters!$C$55*AT20</f>
        <v/>
      </c>
      <c r="BR20" s="22">
        <f>Parameters!$C$56*BB20+Parameters!$C$57*BC20+Parameters!$C$58*BD20+Parameters!$C$59*BE20</f>
        <v/>
      </c>
      <c r="BS20" s="23">
        <f>Parameters!$B$2</f>
        <v/>
      </c>
      <c r="BT20" s="23">
        <f>BS20+BF20 + BG20 + BH20 + BI20 + BJ20 + BK20 + BL20 + BM20 + BN20 + BO20 + BP20 + BQ20 + BR20</f>
        <v/>
      </c>
      <c r="BU20" s="24">
        <f>IF(AD20=1,0,1/(1+EXP(-BT20))*Parameters!$B$3)</f>
        <v/>
      </c>
      <c r="BV20" s="25">
        <f>(1-(1-BU20)^12)*100</f>
        <v/>
      </c>
      <c r="BW20" s="25">
        <f>IF(AD20=1,0,(1-(1-1/(1+EXP(-Parameters!$B$2)))^12)*100)</f>
        <v/>
      </c>
      <c r="BX20" s="25">
        <f>IF(AD20=1,0,BV20-(1-(1-(1/(1+EXP(-(BT20-BF20)))*Parameters!$B$3))^12)*100)</f>
        <v/>
      </c>
      <c r="BY20" s="25">
        <f>IF(AD20=1,0,BV20-(1-(1-(1/(1+EXP(-(BT20-BG20)))*Parameters!$B$3))^12)*100)</f>
        <v/>
      </c>
      <c r="BZ20" s="25">
        <f>IF(AD20=1,0,BV20-(1-(1-(1/(1+EXP(-(BT20-BH20)))*Parameters!$B$3))^12)*100)</f>
        <v/>
      </c>
      <c r="CA20" s="25">
        <f>IF(AD20=1,0,BV20-(1-(1-(1/(1+EXP(-(BT20-BI20)))*Parameters!$B$3))^12)*100)</f>
        <v/>
      </c>
      <c r="CB20" s="25">
        <f>IF(AD20=1,0,BV20-(1-(1-(1/(1+EXP(-(BT20-BJ20)))*Parameters!$B$3))^12)*100)</f>
        <v/>
      </c>
      <c r="CC20" s="25">
        <f>IF(AD20=1,0,BV20-(1-(1-(1/(1+EXP(-(BT20-BK20)))*Parameters!$B$3))^12)*100)</f>
        <v/>
      </c>
      <c r="CD20" s="25">
        <f>IF(AD20=1,0,BV20-(1-(1-(1/(1+EXP(-(BT20-BL20)))*Parameters!$B$3))^12)*100)</f>
        <v/>
      </c>
      <c r="CE20" s="25">
        <f>IF(AD20=1,0,BV20-(1-(1-(1/(1+EXP(-(BT20-BM20)))*Parameters!$B$3))^12)*100)</f>
        <v/>
      </c>
      <c r="CF20" s="25">
        <f>IF(AD20=1,0,BV20-(1-(1-(1/(1+EXP(-(BT20-BN20)))*Parameters!$B$3))^12)*100)</f>
        <v/>
      </c>
      <c r="CG20" s="25">
        <f>IF(AD20=1,0,BV20-(1-(1-(1/(1+EXP(-(BT20-BO20)))*Parameters!$B$3))^12)*100)</f>
        <v/>
      </c>
      <c r="CH20" s="25">
        <f>IF(AD20=1,0,BV20-(1-(1-(1/(1+EXP(-(BT20-BP20)))*Parameters!$B$3))^12)*100)</f>
        <v/>
      </c>
      <c r="CI20" s="25">
        <f>IF(AD20=1,0,BV20-(1-(1-(1/(1+EXP(-(BT20-BQ20)))*Parameters!$B$3))^12)*100)</f>
        <v/>
      </c>
      <c r="CJ20" s="25">
        <f>IF(AD20=1,0,BV20-(1-(1-(1/(1+EXP(-(BT20-BR20)))*Parameters!$B$3))^12)*100)</f>
        <v/>
      </c>
    </row>
    <row r="21">
      <c r="A21" s="17" t="inlineStr">
        <is>
          <t>GNR_2024_NEW</t>
        </is>
      </c>
      <c r="B21" s="17" t="inlineStr">
        <is>
          <t>3618LKKV9</t>
        </is>
      </c>
      <c r="C21" s="17" t="inlineStr">
        <is>
          <t>PN</t>
        </is>
      </c>
      <c r="D21" s="17" t="inlineStr">
        <is>
          <t>BERKADIA COMMERCIAL MORTGAGE, LLC</t>
        </is>
      </c>
      <c r="E21" s="17" t="inlineStr">
        <is>
          <t>3618LKKV9_000000017122060</t>
        </is>
      </c>
      <c r="F21" s="17" t="n">
        <v>202603</v>
      </c>
      <c r="G21" s="18" t="n">
        <v>5.87</v>
      </c>
      <c r="H21" s="19" t="n">
        <v>26770474.46</v>
      </c>
      <c r="I21" s="17" t="n">
        <v>396</v>
      </c>
      <c r="J21" s="17" t="n">
        <v>20250722</v>
      </c>
      <c r="K21" s="17" t="n">
        <v>20581001</v>
      </c>
      <c r="L21" s="17" t="n"/>
      <c r="M21" s="17" t="n">
        <v>20351101</v>
      </c>
      <c r="N21" s="17" t="n">
        <v>10</v>
      </c>
      <c r="O21" s="17" t="inlineStr">
        <is>
          <t>232/223(F)</t>
        </is>
      </c>
      <c r="P21" s="17" t="n"/>
      <c r="Q21" s="17" t="n"/>
      <c r="R21" s="17" t="n"/>
      <c r="S21" s="17" t="n"/>
      <c r="T21" s="17" t="inlineStr">
        <is>
          <t>WA</t>
        </is>
      </c>
      <c r="U21" s="17" t="n">
        <v>208</v>
      </c>
      <c r="V21" s="17" t="n">
        <v>490.5</v>
      </c>
      <c r="W21" s="17" t="n">
        <v>8</v>
      </c>
      <c r="X21" s="17" t="n">
        <v>2025</v>
      </c>
      <c r="Y21" s="17" t="n">
        <v>5</v>
      </c>
      <c r="Z21" s="17" t="n">
        <v>0</v>
      </c>
      <c r="AA21" s="20">
        <f>IF(ISNUMBER(W21),W21,IFERROR(MAX(0,(VALUE(LEFT(F21,4))-VALUE(LEFT(TEXT(J21,"00000000"),4)))*12+(VALUE(MID(F21,5,2))-VALUE(MID(TEXT(J21,"00000000"),5,2)))),""))</f>
        <v/>
      </c>
      <c r="AB21" s="20">
        <f>IFERROR((VALUE(LEFT(TEXT(K21,"00000000"),4))-VALUE(LEFT(F21,4)))*12+(VALUE(MID(TEXT(K21,"00000000"),5,2))-VALUE(MID(F21,5,2))),"")</f>
        <v/>
      </c>
      <c r="AC21" s="20">
        <f>IF(OR(L21="",NOT(ISNUMBER(L21))),0,MAX(0,MIN(60,(VALUE(LEFT(F21,4))-VALUE(LEFT(TEXT(L21,"00000000"),4)))*12+(VALUE(MID(F21,5,2))-VALUE(MID(TEXT(L21,"00000000"),5,2))))))</f>
        <v/>
      </c>
      <c r="AD21" s="20">
        <f>IF(OR(L21="",NOT(ISNUMBER(L21))),0,IF(VALUE(F21)&lt;VALUE(LEFT(TEXT(L21,"00000000"),6)),1,0))</f>
        <v/>
      </c>
      <c r="AE21" s="20">
        <f>IF(OR(M21="",NOT(ISNUMBER(M21))),0,IF(VALUE(F21)&lt;VALUE(LEFT(TEXT(M21,"00000000"),6)),1,0))</f>
        <v/>
      </c>
      <c r="AF21" s="20">
        <f>IF(AND(AD21=0,AE21=0),1,0)</f>
        <v/>
      </c>
      <c r="AG21" s="20">
        <f>IF(ISNUMBER(X21),X21,IFERROR(VALUE(LEFT(TEXT(J21,"00000000"),4)),""))</f>
        <v/>
      </c>
      <c r="AH21" s="20">
        <f>IFERROR(XLOOKUP(AG21,Vintage_Rates!$A$2:$A$1000,Vintage_Rates!$B$2:$B$1000,""),"")</f>
        <v/>
      </c>
      <c r="AI21" s="20">
        <f>IF(ISNUMBER(Y21),Y21,IFERROR((G21-AH21)*100,""))</f>
        <v/>
      </c>
      <c r="AJ21" s="20">
        <f>IF(ISNUMBER(V21),V21,IFERROR(XLOOKUP(VALUE(F21),PLC_Rates!$A$2:$A$1000,PLC_Rates!$B$2:$B$1000,""),""))</f>
        <v/>
      </c>
      <c r="AK21" s="20">
        <f>IF(ISNUMBER(Z21),Z21,IF(AE21=0,0,MAX(0,MIN(10,((VALUE(LEFT(TEXT(M21,"00000000"),4))-VALUE(LEFT(F21,4)))*12+(VALUE(MID(TEXT(M21,"00000000"),5,2))-VALUE(MID(F21,5,2))))/12))))</f>
        <v/>
      </c>
      <c r="AL21" s="20">
        <f>IFERROR(G21*100-AJ21,"")</f>
        <v/>
      </c>
      <c r="AM21" s="20">
        <f>IFERROR(G21*100-(AJ21+(1+AK21)*12.5),"")</f>
        <v/>
      </c>
      <c r="AN21" s="21">
        <f>IFERROR(MIN(H21/1000000,100),"")</f>
        <v/>
      </c>
      <c r="AO21" s="20">
        <f>IFERROR(INDEX(FHA_Lookup!$B$2:$B$11,MATCH(TRUE,ISNUMBER(SEARCH(FHA_Lookup!$A$2:$A$11,UPPER(SUBSTITUTE(O21," ","")))),0)),"OTHER")</f>
        <v/>
      </c>
      <c r="AP21" s="20">
        <f>IFERROR(INDEX(FHA_Lookup!$C$2:$C$11,MATCH(TRUE,ISNUMBER(SEARCH(FHA_Lookup!$A$2:$A$11,UPPER(SUBSTITUTE(O21," ","")))),0)),"OTHER")</f>
        <v/>
      </c>
      <c r="AQ21" s="20">
        <f>IF(AP21="NC",1,0)</f>
        <v/>
      </c>
      <c r="AR21" s="20">
        <f>IF(UPPER(TRIM(P21))="AFF",1,0)</f>
        <v/>
      </c>
      <c r="AS21" s="20">
        <f>IF(UPPER(TRIM(P21))="BAF",1,0)</f>
        <v/>
      </c>
      <c r="AT21" s="20">
        <f>IF(UPPER(TRIM(P21))="MKT",1,0)</f>
        <v/>
      </c>
      <c r="AU21" s="20">
        <f>IF(AO21="221d4",1,0)</f>
        <v/>
      </c>
      <c r="AV21" s="20">
        <f>IF(AO21="223a7",1,0)</f>
        <v/>
      </c>
      <c r="AW21" s="20">
        <f>IF(AO21="232",1,0)</f>
        <v/>
      </c>
      <c r="AX21" s="20">
        <f>IF(AO21="538",1,0)</f>
        <v/>
      </c>
      <c r="AY21" s="20">
        <f>IF(AO21="241",1,0)</f>
        <v/>
      </c>
      <c r="AZ21" s="20">
        <f>IF(AO21="220",1,0)</f>
        <v/>
      </c>
      <c r="BA21" s="20">
        <f>IF(AO21="OTHER",1,0)</f>
        <v/>
      </c>
      <c r="BB21" s="20">
        <f>IF(UPPER(TRIM(C21))="LM",1,0)</f>
        <v/>
      </c>
      <c r="BC21" s="20">
        <f>IF(UPPER(TRIM(C21))="PN",1,0)</f>
        <v/>
      </c>
      <c r="BD21" s="20">
        <f>IF(UPPER(TRIM(C21))="LS",1,0)</f>
        <v/>
      </c>
      <c r="BE21" s="20">
        <f>IF(UPPER(TRIM(C21))="RX",1,0)</f>
        <v/>
      </c>
      <c r="BF21" s="22">
        <f>IFERROR((Parameters!$C$6*AM21+Parameters!$C$7*MAX(AM21-(-150),0)+Parameters!$C$8*MAX(AM21-(-50),0)+Parameters!$C$9*MAX(AM21-(0),0)+Parameters!$C$10*MAX(AM21-(50),0)+Parameters!$C$11*MAX(AM21-(100),0)+Parameters!$C$12*MAX(AM21-(150),0)+Parameters!$C$13*MAX(AM21-(250),0)),0)</f>
        <v/>
      </c>
      <c r="BG21" s="22">
        <f>IFERROR((Parameters!$C$14*AA21+Parameters!$C$15*MAX(AA21-(12),0)+Parameters!$C$16*MAX(AA21-(36),0)+Parameters!$C$17*MAX(AA21-(60),0)+Parameters!$C$18*MAX(AA21-(84),0)+Parameters!$C$19*MAX(AA21-(120),0)+Parameters!$C$20*MAX(AA21-(180),0)),0)</f>
        <v/>
      </c>
      <c r="BH21" s="22">
        <f>IFERROR((Parameters!$C$21*AK21+Parameters!$C$22*MAX(AK21-(0),0)+Parameters!$C$23*MAX(AK21-(2),0)+Parameters!$C$24*MAX(AK21-(5),0)+Parameters!$C$25*MAX(AK21-(8),0)),0)</f>
        <v/>
      </c>
      <c r="BI21" s="22">
        <f>IFERROR((Parameters!$C$26*AI21+Parameters!$C$27*MAX(AI21-(-100),0)+Parameters!$C$28*MAX(AI21-(-25),0)+Parameters!$C$29*MAX(AI21-(25),0)+Parameters!$C$30*MAX(AI21-(100),0)),0)</f>
        <v/>
      </c>
      <c r="BJ21" s="22">
        <f>IFERROR((Parameters!$C$31*AN21+Parameters!$C$32*MAX(AN21-(2),0)+Parameters!$C$33*MAX(AN21-(10),0)+Parameters!$C$34*MAX(AN21-(25),0)),0)</f>
        <v/>
      </c>
      <c r="BK21" s="22">
        <f>IFERROR((Parameters!$C$35*AB21+Parameters!$C$36*MAX(AB21-(12),0)+Parameters!$C$37*MAX(AB21-(24),0)+Parameters!$C$38*MAX(AB21-(60),0)),0)</f>
        <v/>
      </c>
      <c r="BL21" s="22">
        <f>IFERROR((Parameters!$C$39*AC21+Parameters!$C$40*MAX(AC21-(6),0)+Parameters!$C$41*MAX(AC21-(12),0)+Parameters!$C$42*MAX(AC21-(24),0)),0)</f>
        <v/>
      </c>
      <c r="BM21" s="22">
        <f>IFERROR(Parameters!$C$43*(MAX(AM21,0)*MIN(MAX(AK21,0),10))/100,0)</f>
        <v/>
      </c>
      <c r="BN21" s="22">
        <f>Parameters!$C$44*AE21</f>
        <v/>
      </c>
      <c r="BO21" s="22">
        <f>Parameters!$C$45*AU21 + Parameters!$C$46*AV21 + Parameters!$C$47*AW21 + Parameters!$C$48*AX21 + Parameters!$C$49*AY21 + Parameters!$C$50*AZ21 + Parameters!$C$51*BA21</f>
        <v/>
      </c>
      <c r="BP21" s="22">
        <f>Parameters!$C$52*AQ21</f>
        <v/>
      </c>
      <c r="BQ21" s="22">
        <f>Parameters!$C$53*AR21+Parameters!$C$54*AS21+Parameters!$C$55*AT21</f>
        <v/>
      </c>
      <c r="BR21" s="22">
        <f>Parameters!$C$56*BB21+Parameters!$C$57*BC21+Parameters!$C$58*BD21+Parameters!$C$59*BE21</f>
        <v/>
      </c>
      <c r="BS21" s="23">
        <f>Parameters!$B$2</f>
        <v/>
      </c>
      <c r="BT21" s="23">
        <f>BS21+BF21 + BG21 + BH21 + BI21 + BJ21 + BK21 + BL21 + BM21 + BN21 + BO21 + BP21 + BQ21 + BR21</f>
        <v/>
      </c>
      <c r="BU21" s="24">
        <f>IF(AD21=1,0,1/(1+EXP(-BT21))*Parameters!$B$3)</f>
        <v/>
      </c>
      <c r="BV21" s="25">
        <f>(1-(1-BU21)^12)*100</f>
        <v/>
      </c>
      <c r="BW21" s="25">
        <f>IF(AD21=1,0,(1-(1-1/(1+EXP(-Parameters!$B$2)))^12)*100)</f>
        <v/>
      </c>
      <c r="BX21" s="25">
        <f>IF(AD21=1,0,BV21-(1-(1-(1/(1+EXP(-(BT21-BF21)))*Parameters!$B$3))^12)*100)</f>
        <v/>
      </c>
      <c r="BY21" s="25">
        <f>IF(AD21=1,0,BV21-(1-(1-(1/(1+EXP(-(BT21-BG21)))*Parameters!$B$3))^12)*100)</f>
        <v/>
      </c>
      <c r="BZ21" s="25">
        <f>IF(AD21=1,0,BV21-(1-(1-(1/(1+EXP(-(BT21-BH21)))*Parameters!$B$3))^12)*100)</f>
        <v/>
      </c>
      <c r="CA21" s="25">
        <f>IF(AD21=1,0,BV21-(1-(1-(1/(1+EXP(-(BT21-BI21)))*Parameters!$B$3))^12)*100)</f>
        <v/>
      </c>
      <c r="CB21" s="25">
        <f>IF(AD21=1,0,BV21-(1-(1-(1/(1+EXP(-(BT21-BJ21)))*Parameters!$B$3))^12)*100)</f>
        <v/>
      </c>
      <c r="CC21" s="25">
        <f>IF(AD21=1,0,BV21-(1-(1-(1/(1+EXP(-(BT21-BK21)))*Parameters!$B$3))^12)*100)</f>
        <v/>
      </c>
      <c r="CD21" s="25">
        <f>IF(AD21=1,0,BV21-(1-(1-(1/(1+EXP(-(BT21-BL21)))*Parameters!$B$3))^12)*100)</f>
        <v/>
      </c>
      <c r="CE21" s="25">
        <f>IF(AD21=1,0,BV21-(1-(1-(1/(1+EXP(-(BT21-BM21)))*Parameters!$B$3))^12)*100)</f>
        <v/>
      </c>
      <c r="CF21" s="25">
        <f>IF(AD21=1,0,BV21-(1-(1-(1/(1+EXP(-(BT21-BN21)))*Parameters!$B$3))^12)*100)</f>
        <v/>
      </c>
      <c r="CG21" s="25">
        <f>IF(AD21=1,0,BV21-(1-(1-(1/(1+EXP(-(BT21-BO21)))*Parameters!$B$3))^12)*100)</f>
        <v/>
      </c>
      <c r="CH21" s="25">
        <f>IF(AD21=1,0,BV21-(1-(1-(1/(1+EXP(-(BT21-BP21)))*Parameters!$B$3))^12)*100)</f>
        <v/>
      </c>
      <c r="CI21" s="25">
        <f>IF(AD21=1,0,BV21-(1-(1-(1/(1+EXP(-(BT21-BQ21)))*Parameters!$B$3))^12)*100)</f>
        <v/>
      </c>
      <c r="CJ21" s="25">
        <f>IF(AD21=1,0,BV21-(1-(1-(1/(1+EXP(-(BT21-BR21)))*Parameters!$B$3))^12)*100)</f>
        <v/>
      </c>
    </row>
    <row r="22">
      <c r="A22" s="17" t="inlineStr">
        <is>
          <t>GNR_2024_NEW</t>
        </is>
      </c>
      <c r="B22" s="17" t="inlineStr">
        <is>
          <t>3618KU4M6</t>
        </is>
      </c>
      <c r="C22" s="17" t="inlineStr">
        <is>
          <t>PN</t>
        </is>
      </c>
      <c r="D22" s="17" t="inlineStr">
        <is>
          <t>DWIGHT CAPITAL LLC</t>
        </is>
      </c>
      <c r="E22" s="17" t="inlineStr">
        <is>
          <t>3618KU4M6_000000012111340</t>
        </is>
      </c>
      <c r="F22" s="17" t="n">
        <v>202603</v>
      </c>
      <c r="G22" s="18" t="n">
        <v>4.54</v>
      </c>
      <c r="H22" s="19" t="n">
        <v>18355141.58</v>
      </c>
      <c r="I22" s="17" t="n">
        <v>420</v>
      </c>
      <c r="J22" s="17" t="n">
        <v>20250722</v>
      </c>
      <c r="K22" s="17" t="n">
        <v>20600801</v>
      </c>
      <c r="L22" s="17" t="n"/>
      <c r="M22" s="17" t="n">
        <v>20350901</v>
      </c>
      <c r="N22" s="17" t="n">
        <v>10</v>
      </c>
      <c r="O22" s="17" t="inlineStr">
        <is>
          <t>207/223(F)</t>
        </is>
      </c>
      <c r="P22" s="17" t="n"/>
      <c r="Q22" s="17" t="n"/>
      <c r="R22" s="17" t="n"/>
      <c r="S22" s="17" t="n"/>
      <c r="T22" s="17" t="inlineStr">
        <is>
          <t>CA</t>
        </is>
      </c>
      <c r="U22" s="17" t="n">
        <v>79</v>
      </c>
      <c r="V22" s="17" t="n">
        <v>490.5</v>
      </c>
      <c r="W22" s="17" t="n">
        <v>8</v>
      </c>
      <c r="X22" s="17" t="n">
        <v>2025</v>
      </c>
      <c r="Y22" s="17" t="n">
        <v>-128</v>
      </c>
      <c r="Z22" s="17" t="n">
        <v>0</v>
      </c>
      <c r="AA22" s="20">
        <f>IF(ISNUMBER(W22),W22,IFERROR(MAX(0,(VALUE(LEFT(F22,4))-VALUE(LEFT(TEXT(J22,"00000000"),4)))*12+(VALUE(MID(F22,5,2))-VALUE(MID(TEXT(J22,"00000000"),5,2)))),""))</f>
        <v/>
      </c>
      <c r="AB22" s="20">
        <f>IFERROR((VALUE(LEFT(TEXT(K22,"00000000"),4))-VALUE(LEFT(F22,4)))*12+(VALUE(MID(TEXT(K22,"00000000"),5,2))-VALUE(MID(F22,5,2))),"")</f>
        <v/>
      </c>
      <c r="AC22" s="20">
        <f>IF(OR(L22="",NOT(ISNUMBER(L22))),0,MAX(0,MIN(60,(VALUE(LEFT(F22,4))-VALUE(LEFT(TEXT(L22,"00000000"),4)))*12+(VALUE(MID(F22,5,2))-VALUE(MID(TEXT(L22,"00000000"),5,2))))))</f>
        <v/>
      </c>
      <c r="AD22" s="20">
        <f>IF(OR(L22="",NOT(ISNUMBER(L22))),0,IF(VALUE(F22)&lt;VALUE(LEFT(TEXT(L22,"00000000"),6)),1,0))</f>
        <v/>
      </c>
      <c r="AE22" s="20">
        <f>IF(OR(M22="",NOT(ISNUMBER(M22))),0,IF(VALUE(F22)&lt;VALUE(LEFT(TEXT(M22,"00000000"),6)),1,0))</f>
        <v/>
      </c>
      <c r="AF22" s="20">
        <f>IF(AND(AD22=0,AE22=0),1,0)</f>
        <v/>
      </c>
      <c r="AG22" s="20">
        <f>IF(ISNUMBER(X22),X22,IFERROR(VALUE(LEFT(TEXT(J22,"00000000"),4)),""))</f>
        <v/>
      </c>
      <c r="AH22" s="20">
        <f>IFERROR(XLOOKUP(AG22,Vintage_Rates!$A$2:$A$1000,Vintage_Rates!$B$2:$B$1000,""),"")</f>
        <v/>
      </c>
      <c r="AI22" s="20">
        <f>IF(ISNUMBER(Y22),Y22,IFERROR((G22-AH22)*100,""))</f>
        <v/>
      </c>
      <c r="AJ22" s="20">
        <f>IF(ISNUMBER(V22),V22,IFERROR(XLOOKUP(VALUE(F22),PLC_Rates!$A$2:$A$1000,PLC_Rates!$B$2:$B$1000,""),""))</f>
        <v/>
      </c>
      <c r="AK22" s="20">
        <f>IF(ISNUMBER(Z22),Z22,IF(AE22=0,0,MAX(0,MIN(10,((VALUE(LEFT(TEXT(M22,"00000000"),4))-VALUE(LEFT(F22,4)))*12+(VALUE(MID(TEXT(M22,"00000000"),5,2))-VALUE(MID(F22,5,2))))/12))))</f>
        <v/>
      </c>
      <c r="AL22" s="20">
        <f>IFERROR(G22*100-AJ22,"")</f>
        <v/>
      </c>
      <c r="AM22" s="20">
        <f>IFERROR(G22*100-(AJ22+(1+AK22)*12.5),"")</f>
        <v/>
      </c>
      <c r="AN22" s="21">
        <f>IFERROR(MIN(H22/1000000,100),"")</f>
        <v/>
      </c>
      <c r="AO22" s="20">
        <f>IFERROR(INDEX(FHA_Lookup!$B$2:$B$11,MATCH(TRUE,ISNUMBER(SEARCH(FHA_Lookup!$A$2:$A$11,UPPER(SUBSTITUTE(O22," ","")))),0)),"OTHER")</f>
        <v/>
      </c>
      <c r="AP22" s="20">
        <f>IFERROR(INDEX(FHA_Lookup!$C$2:$C$11,MATCH(TRUE,ISNUMBER(SEARCH(FHA_Lookup!$A$2:$A$11,UPPER(SUBSTITUTE(O22," ","")))),0)),"OTHER")</f>
        <v/>
      </c>
      <c r="AQ22" s="20">
        <f>IF(AP22="NC",1,0)</f>
        <v/>
      </c>
      <c r="AR22" s="20">
        <f>IF(UPPER(TRIM(P22))="AFF",1,0)</f>
        <v/>
      </c>
      <c r="AS22" s="20">
        <f>IF(UPPER(TRIM(P22))="BAF",1,0)</f>
        <v/>
      </c>
      <c r="AT22" s="20">
        <f>IF(UPPER(TRIM(P22))="MKT",1,0)</f>
        <v/>
      </c>
      <c r="AU22" s="20">
        <f>IF(AO22="221d4",1,0)</f>
        <v/>
      </c>
      <c r="AV22" s="20">
        <f>IF(AO22="223a7",1,0)</f>
        <v/>
      </c>
      <c r="AW22" s="20">
        <f>IF(AO22="232",1,0)</f>
        <v/>
      </c>
      <c r="AX22" s="20">
        <f>IF(AO22="538",1,0)</f>
        <v/>
      </c>
      <c r="AY22" s="20">
        <f>IF(AO22="241",1,0)</f>
        <v/>
      </c>
      <c r="AZ22" s="20">
        <f>IF(AO22="220",1,0)</f>
        <v/>
      </c>
      <c r="BA22" s="20">
        <f>IF(AO22="OTHER",1,0)</f>
        <v/>
      </c>
      <c r="BB22" s="20">
        <f>IF(UPPER(TRIM(C22))="LM",1,0)</f>
        <v/>
      </c>
      <c r="BC22" s="20">
        <f>IF(UPPER(TRIM(C22))="PN",1,0)</f>
        <v/>
      </c>
      <c r="BD22" s="20">
        <f>IF(UPPER(TRIM(C22))="LS",1,0)</f>
        <v/>
      </c>
      <c r="BE22" s="20">
        <f>IF(UPPER(TRIM(C22))="RX",1,0)</f>
        <v/>
      </c>
      <c r="BF22" s="22">
        <f>IFERROR((Parameters!$C$6*AM22+Parameters!$C$7*MAX(AM22-(-150),0)+Parameters!$C$8*MAX(AM22-(-50),0)+Parameters!$C$9*MAX(AM22-(0),0)+Parameters!$C$10*MAX(AM22-(50),0)+Parameters!$C$11*MAX(AM22-(100),0)+Parameters!$C$12*MAX(AM22-(150),0)+Parameters!$C$13*MAX(AM22-(250),0)),0)</f>
        <v/>
      </c>
      <c r="BG22" s="22">
        <f>IFERROR((Parameters!$C$14*AA22+Parameters!$C$15*MAX(AA22-(12),0)+Parameters!$C$16*MAX(AA22-(36),0)+Parameters!$C$17*MAX(AA22-(60),0)+Parameters!$C$18*MAX(AA22-(84),0)+Parameters!$C$19*MAX(AA22-(120),0)+Parameters!$C$20*MAX(AA22-(180),0)),0)</f>
        <v/>
      </c>
      <c r="BH22" s="22">
        <f>IFERROR((Parameters!$C$21*AK22+Parameters!$C$22*MAX(AK22-(0),0)+Parameters!$C$23*MAX(AK22-(2),0)+Parameters!$C$24*MAX(AK22-(5),0)+Parameters!$C$25*MAX(AK22-(8),0)),0)</f>
        <v/>
      </c>
      <c r="BI22" s="22">
        <f>IFERROR((Parameters!$C$26*AI22+Parameters!$C$27*MAX(AI22-(-100),0)+Parameters!$C$28*MAX(AI22-(-25),0)+Parameters!$C$29*MAX(AI22-(25),0)+Parameters!$C$30*MAX(AI22-(100),0)),0)</f>
        <v/>
      </c>
      <c r="BJ22" s="22">
        <f>IFERROR((Parameters!$C$31*AN22+Parameters!$C$32*MAX(AN22-(2),0)+Parameters!$C$33*MAX(AN22-(10),0)+Parameters!$C$34*MAX(AN22-(25),0)),0)</f>
        <v/>
      </c>
      <c r="BK22" s="22">
        <f>IFERROR((Parameters!$C$35*AB22+Parameters!$C$36*MAX(AB22-(12),0)+Parameters!$C$37*MAX(AB22-(24),0)+Parameters!$C$38*MAX(AB22-(60),0)),0)</f>
        <v/>
      </c>
      <c r="BL22" s="22">
        <f>IFERROR((Parameters!$C$39*AC22+Parameters!$C$40*MAX(AC22-(6),0)+Parameters!$C$41*MAX(AC22-(12),0)+Parameters!$C$42*MAX(AC22-(24),0)),0)</f>
        <v/>
      </c>
      <c r="BM22" s="22">
        <f>IFERROR(Parameters!$C$43*(MAX(AM22,0)*MIN(MAX(AK22,0),10))/100,0)</f>
        <v/>
      </c>
      <c r="BN22" s="22">
        <f>Parameters!$C$44*AE22</f>
        <v/>
      </c>
      <c r="BO22" s="22">
        <f>Parameters!$C$45*AU22 + Parameters!$C$46*AV22 + Parameters!$C$47*AW22 + Parameters!$C$48*AX22 + Parameters!$C$49*AY22 + Parameters!$C$50*AZ22 + Parameters!$C$51*BA22</f>
        <v/>
      </c>
      <c r="BP22" s="22">
        <f>Parameters!$C$52*AQ22</f>
        <v/>
      </c>
      <c r="BQ22" s="22">
        <f>Parameters!$C$53*AR22+Parameters!$C$54*AS22+Parameters!$C$55*AT22</f>
        <v/>
      </c>
      <c r="BR22" s="22">
        <f>Parameters!$C$56*BB22+Parameters!$C$57*BC22+Parameters!$C$58*BD22+Parameters!$C$59*BE22</f>
        <v/>
      </c>
      <c r="BS22" s="23">
        <f>Parameters!$B$2</f>
        <v/>
      </c>
      <c r="BT22" s="23">
        <f>BS22+BF22 + BG22 + BH22 + BI22 + BJ22 + BK22 + BL22 + BM22 + BN22 + BO22 + BP22 + BQ22 + BR22</f>
        <v/>
      </c>
      <c r="BU22" s="24">
        <f>IF(AD22=1,0,1/(1+EXP(-BT22))*Parameters!$B$3)</f>
        <v/>
      </c>
      <c r="BV22" s="25">
        <f>(1-(1-BU22)^12)*100</f>
        <v/>
      </c>
      <c r="BW22" s="25">
        <f>IF(AD22=1,0,(1-(1-1/(1+EXP(-Parameters!$B$2)))^12)*100)</f>
        <v/>
      </c>
      <c r="BX22" s="25">
        <f>IF(AD22=1,0,BV22-(1-(1-(1/(1+EXP(-(BT22-BF22)))*Parameters!$B$3))^12)*100)</f>
        <v/>
      </c>
      <c r="BY22" s="25">
        <f>IF(AD22=1,0,BV22-(1-(1-(1/(1+EXP(-(BT22-BG22)))*Parameters!$B$3))^12)*100)</f>
        <v/>
      </c>
      <c r="BZ22" s="25">
        <f>IF(AD22=1,0,BV22-(1-(1-(1/(1+EXP(-(BT22-BH22)))*Parameters!$B$3))^12)*100)</f>
        <v/>
      </c>
      <c r="CA22" s="25">
        <f>IF(AD22=1,0,BV22-(1-(1-(1/(1+EXP(-(BT22-BI22)))*Parameters!$B$3))^12)*100)</f>
        <v/>
      </c>
      <c r="CB22" s="25">
        <f>IF(AD22=1,0,BV22-(1-(1-(1/(1+EXP(-(BT22-BJ22)))*Parameters!$B$3))^12)*100)</f>
        <v/>
      </c>
      <c r="CC22" s="25">
        <f>IF(AD22=1,0,BV22-(1-(1-(1/(1+EXP(-(BT22-BK22)))*Parameters!$B$3))^12)*100)</f>
        <v/>
      </c>
      <c r="CD22" s="25">
        <f>IF(AD22=1,0,BV22-(1-(1-(1/(1+EXP(-(BT22-BL22)))*Parameters!$B$3))^12)*100)</f>
        <v/>
      </c>
      <c r="CE22" s="25">
        <f>IF(AD22=1,0,BV22-(1-(1-(1/(1+EXP(-(BT22-BM22)))*Parameters!$B$3))^12)*100)</f>
        <v/>
      </c>
      <c r="CF22" s="25">
        <f>IF(AD22=1,0,BV22-(1-(1-(1/(1+EXP(-(BT22-BN22)))*Parameters!$B$3))^12)*100)</f>
        <v/>
      </c>
      <c r="CG22" s="25">
        <f>IF(AD22=1,0,BV22-(1-(1-(1/(1+EXP(-(BT22-BO22)))*Parameters!$B$3))^12)*100)</f>
        <v/>
      </c>
      <c r="CH22" s="25">
        <f>IF(AD22=1,0,BV22-(1-(1-(1/(1+EXP(-(BT22-BP22)))*Parameters!$B$3))^12)*100)</f>
        <v/>
      </c>
      <c r="CI22" s="25">
        <f>IF(AD22=1,0,BV22-(1-(1-(1/(1+EXP(-(BT22-BQ22)))*Parameters!$B$3))^12)*100)</f>
        <v/>
      </c>
      <c r="CJ22" s="25">
        <f>IF(AD22=1,0,BV22-(1-(1-(1/(1+EXP(-(BT22-BR22)))*Parameters!$B$3))^12)*100)</f>
        <v/>
      </c>
    </row>
    <row r="23">
      <c r="A23" s="17" t="inlineStr">
        <is>
          <t>GNR_2024_NEW</t>
        </is>
      </c>
      <c r="B23" s="17" t="inlineStr">
        <is>
          <t>3618G8D57</t>
        </is>
      </c>
      <c r="C23" s="17" t="inlineStr">
        <is>
          <t>PN</t>
        </is>
      </c>
      <c r="D23" s="17" t="inlineStr">
        <is>
          <t>GREYSTONE FUNDING COMPANY LLC</t>
        </is>
      </c>
      <c r="E23" s="17" t="inlineStr">
        <is>
          <t>3618G8D57_000000005211349</t>
        </is>
      </c>
      <c r="F23" s="17" t="n">
        <v>202603</v>
      </c>
      <c r="G23" s="18" t="n">
        <v>5.97</v>
      </c>
      <c r="H23" s="19" t="n">
        <v>11740374.99</v>
      </c>
      <c r="I23" s="17" t="n">
        <v>420</v>
      </c>
      <c r="J23" s="17" t="n">
        <v>20240101</v>
      </c>
      <c r="K23" s="17" t="n">
        <v>20590201</v>
      </c>
      <c r="L23" s="17" t="n"/>
      <c r="M23" s="17" t="n">
        <v>20340301</v>
      </c>
      <c r="N23" s="17" t="n">
        <v>10</v>
      </c>
      <c r="O23" s="17" t="inlineStr">
        <is>
          <t>207/223(F)</t>
        </is>
      </c>
      <c r="P23" s="17" t="inlineStr">
        <is>
          <t>MKT</t>
        </is>
      </c>
      <c r="Q23" s="17" t="n"/>
      <c r="R23" s="17" t="n"/>
      <c r="S23" s="17" t="n"/>
      <c r="T23" s="17" t="inlineStr">
        <is>
          <t>MD</t>
        </is>
      </c>
      <c r="U23" s="17" t="n">
        <v>104</v>
      </c>
      <c r="V23" s="17" t="n">
        <v>490.5</v>
      </c>
      <c r="W23" s="17" t="n">
        <v>26</v>
      </c>
      <c r="X23" s="17" t="n">
        <v>2024</v>
      </c>
      <c r="Y23" s="17" t="n">
        <v>19</v>
      </c>
      <c r="Z23" s="17" t="n">
        <v>8</v>
      </c>
      <c r="AA23" s="20">
        <f>IF(ISNUMBER(W23),W23,IFERROR(MAX(0,(VALUE(LEFT(F23,4))-VALUE(LEFT(TEXT(J23,"00000000"),4)))*12+(VALUE(MID(F23,5,2))-VALUE(MID(TEXT(J23,"00000000"),5,2)))),""))</f>
        <v/>
      </c>
      <c r="AB23" s="20">
        <f>IFERROR((VALUE(LEFT(TEXT(K23,"00000000"),4))-VALUE(LEFT(F23,4)))*12+(VALUE(MID(TEXT(K23,"00000000"),5,2))-VALUE(MID(F23,5,2))),"")</f>
        <v/>
      </c>
      <c r="AC23" s="20">
        <f>IF(OR(L23="",NOT(ISNUMBER(L23))),0,MAX(0,MIN(60,(VALUE(LEFT(F23,4))-VALUE(LEFT(TEXT(L23,"00000000"),4)))*12+(VALUE(MID(F23,5,2))-VALUE(MID(TEXT(L23,"00000000"),5,2))))))</f>
        <v/>
      </c>
      <c r="AD23" s="20">
        <f>IF(OR(L23="",NOT(ISNUMBER(L23))),0,IF(VALUE(F23)&lt;VALUE(LEFT(TEXT(L23,"00000000"),6)),1,0))</f>
        <v/>
      </c>
      <c r="AE23" s="20">
        <f>IF(OR(M23="",NOT(ISNUMBER(M23))),0,IF(VALUE(F23)&lt;VALUE(LEFT(TEXT(M23,"00000000"),6)),1,0))</f>
        <v/>
      </c>
      <c r="AF23" s="20">
        <f>IF(AND(AD23=0,AE23=0),1,0)</f>
        <v/>
      </c>
      <c r="AG23" s="20">
        <f>IF(ISNUMBER(X23),X23,IFERROR(VALUE(LEFT(TEXT(J23,"00000000"),4)),""))</f>
        <v/>
      </c>
      <c r="AH23" s="20">
        <f>IFERROR(XLOOKUP(AG23,Vintage_Rates!$A$2:$A$1000,Vintage_Rates!$B$2:$B$1000,""),"")</f>
        <v/>
      </c>
      <c r="AI23" s="20">
        <f>IF(ISNUMBER(Y23),Y23,IFERROR((G23-AH23)*100,""))</f>
        <v/>
      </c>
      <c r="AJ23" s="20">
        <f>IF(ISNUMBER(V23),V23,IFERROR(XLOOKUP(VALUE(F23),PLC_Rates!$A$2:$A$1000,PLC_Rates!$B$2:$B$1000,""),""))</f>
        <v/>
      </c>
      <c r="AK23" s="20">
        <f>IF(ISNUMBER(Z23),Z23,IF(AE23=0,0,MAX(0,MIN(10,((VALUE(LEFT(TEXT(M23,"00000000"),4))-VALUE(LEFT(F23,4)))*12+(VALUE(MID(TEXT(M23,"00000000"),5,2))-VALUE(MID(F23,5,2))))/12))))</f>
        <v/>
      </c>
      <c r="AL23" s="20">
        <f>IFERROR(G23*100-AJ23,"")</f>
        <v/>
      </c>
      <c r="AM23" s="20">
        <f>IFERROR(G23*100-(AJ23+(1+AK23)*12.5),"")</f>
        <v/>
      </c>
      <c r="AN23" s="21">
        <f>IFERROR(MIN(H23/1000000,100),"")</f>
        <v/>
      </c>
      <c r="AO23" s="20">
        <f>IFERROR(INDEX(FHA_Lookup!$B$2:$B$11,MATCH(TRUE,ISNUMBER(SEARCH(FHA_Lookup!$A$2:$A$11,UPPER(SUBSTITUTE(O23," ","")))),0)),"OTHER")</f>
        <v/>
      </c>
      <c r="AP23" s="20">
        <f>IFERROR(INDEX(FHA_Lookup!$C$2:$C$11,MATCH(TRUE,ISNUMBER(SEARCH(FHA_Lookup!$A$2:$A$11,UPPER(SUBSTITUTE(O23," ","")))),0)),"OTHER")</f>
        <v/>
      </c>
      <c r="AQ23" s="20">
        <f>IF(AP23="NC",1,0)</f>
        <v/>
      </c>
      <c r="AR23" s="20">
        <f>IF(UPPER(TRIM(P23))="AFF",1,0)</f>
        <v/>
      </c>
      <c r="AS23" s="20">
        <f>IF(UPPER(TRIM(P23))="BAF",1,0)</f>
        <v/>
      </c>
      <c r="AT23" s="20">
        <f>IF(UPPER(TRIM(P23))="MKT",1,0)</f>
        <v/>
      </c>
      <c r="AU23" s="20">
        <f>IF(AO23="221d4",1,0)</f>
        <v/>
      </c>
      <c r="AV23" s="20">
        <f>IF(AO23="223a7",1,0)</f>
        <v/>
      </c>
      <c r="AW23" s="20">
        <f>IF(AO23="232",1,0)</f>
        <v/>
      </c>
      <c r="AX23" s="20">
        <f>IF(AO23="538",1,0)</f>
        <v/>
      </c>
      <c r="AY23" s="20">
        <f>IF(AO23="241",1,0)</f>
        <v/>
      </c>
      <c r="AZ23" s="20">
        <f>IF(AO23="220",1,0)</f>
        <v/>
      </c>
      <c r="BA23" s="20">
        <f>IF(AO23="OTHER",1,0)</f>
        <v/>
      </c>
      <c r="BB23" s="20">
        <f>IF(UPPER(TRIM(C23))="LM",1,0)</f>
        <v/>
      </c>
      <c r="BC23" s="20">
        <f>IF(UPPER(TRIM(C23))="PN",1,0)</f>
        <v/>
      </c>
      <c r="BD23" s="20">
        <f>IF(UPPER(TRIM(C23))="LS",1,0)</f>
        <v/>
      </c>
      <c r="BE23" s="20">
        <f>IF(UPPER(TRIM(C23))="RX",1,0)</f>
        <v/>
      </c>
      <c r="BF23" s="22">
        <f>IFERROR((Parameters!$C$6*AM23+Parameters!$C$7*MAX(AM23-(-150),0)+Parameters!$C$8*MAX(AM23-(-50),0)+Parameters!$C$9*MAX(AM23-(0),0)+Parameters!$C$10*MAX(AM23-(50),0)+Parameters!$C$11*MAX(AM23-(100),0)+Parameters!$C$12*MAX(AM23-(150),0)+Parameters!$C$13*MAX(AM23-(250),0)),0)</f>
        <v/>
      </c>
      <c r="BG23" s="22">
        <f>IFERROR((Parameters!$C$14*AA23+Parameters!$C$15*MAX(AA23-(12),0)+Parameters!$C$16*MAX(AA23-(36),0)+Parameters!$C$17*MAX(AA23-(60),0)+Parameters!$C$18*MAX(AA23-(84),0)+Parameters!$C$19*MAX(AA23-(120),0)+Parameters!$C$20*MAX(AA23-(180),0)),0)</f>
        <v/>
      </c>
      <c r="BH23" s="22">
        <f>IFERROR((Parameters!$C$21*AK23+Parameters!$C$22*MAX(AK23-(0),0)+Parameters!$C$23*MAX(AK23-(2),0)+Parameters!$C$24*MAX(AK23-(5),0)+Parameters!$C$25*MAX(AK23-(8),0)),0)</f>
        <v/>
      </c>
      <c r="BI23" s="22">
        <f>IFERROR((Parameters!$C$26*AI23+Parameters!$C$27*MAX(AI23-(-100),0)+Parameters!$C$28*MAX(AI23-(-25),0)+Parameters!$C$29*MAX(AI23-(25),0)+Parameters!$C$30*MAX(AI23-(100),0)),0)</f>
        <v/>
      </c>
      <c r="BJ23" s="22">
        <f>IFERROR((Parameters!$C$31*AN23+Parameters!$C$32*MAX(AN23-(2),0)+Parameters!$C$33*MAX(AN23-(10),0)+Parameters!$C$34*MAX(AN23-(25),0)),0)</f>
        <v/>
      </c>
      <c r="BK23" s="22">
        <f>IFERROR((Parameters!$C$35*AB23+Parameters!$C$36*MAX(AB23-(12),0)+Parameters!$C$37*MAX(AB23-(24),0)+Parameters!$C$38*MAX(AB23-(60),0)),0)</f>
        <v/>
      </c>
      <c r="BL23" s="22">
        <f>IFERROR((Parameters!$C$39*AC23+Parameters!$C$40*MAX(AC23-(6),0)+Parameters!$C$41*MAX(AC23-(12),0)+Parameters!$C$42*MAX(AC23-(24),0)),0)</f>
        <v/>
      </c>
      <c r="BM23" s="22">
        <f>IFERROR(Parameters!$C$43*(MAX(AM23,0)*MIN(MAX(AK23,0),10))/100,0)</f>
        <v/>
      </c>
      <c r="BN23" s="22">
        <f>Parameters!$C$44*AE23</f>
        <v/>
      </c>
      <c r="BO23" s="22">
        <f>Parameters!$C$45*AU23 + Parameters!$C$46*AV23 + Parameters!$C$47*AW23 + Parameters!$C$48*AX23 + Parameters!$C$49*AY23 + Parameters!$C$50*AZ23 + Parameters!$C$51*BA23</f>
        <v/>
      </c>
      <c r="BP23" s="22">
        <f>Parameters!$C$52*AQ23</f>
        <v/>
      </c>
      <c r="BQ23" s="22">
        <f>Parameters!$C$53*AR23+Parameters!$C$54*AS23+Parameters!$C$55*AT23</f>
        <v/>
      </c>
      <c r="BR23" s="22">
        <f>Parameters!$C$56*BB23+Parameters!$C$57*BC23+Parameters!$C$58*BD23+Parameters!$C$59*BE23</f>
        <v/>
      </c>
      <c r="BS23" s="23">
        <f>Parameters!$B$2</f>
        <v/>
      </c>
      <c r="BT23" s="23">
        <f>BS23+BF23 + BG23 + BH23 + BI23 + BJ23 + BK23 + BL23 + BM23 + BN23 + BO23 + BP23 + BQ23 + BR23</f>
        <v/>
      </c>
      <c r="BU23" s="24">
        <f>IF(AD23=1,0,1/(1+EXP(-BT23))*Parameters!$B$3)</f>
        <v/>
      </c>
      <c r="BV23" s="25">
        <f>(1-(1-BU23)^12)*100</f>
        <v/>
      </c>
      <c r="BW23" s="25">
        <f>IF(AD23=1,0,(1-(1-1/(1+EXP(-Parameters!$B$2)))^12)*100)</f>
        <v/>
      </c>
      <c r="BX23" s="25">
        <f>IF(AD23=1,0,BV23-(1-(1-(1/(1+EXP(-(BT23-BF23)))*Parameters!$B$3))^12)*100)</f>
        <v/>
      </c>
      <c r="BY23" s="25">
        <f>IF(AD23=1,0,BV23-(1-(1-(1/(1+EXP(-(BT23-BG23)))*Parameters!$B$3))^12)*100)</f>
        <v/>
      </c>
      <c r="BZ23" s="25">
        <f>IF(AD23=1,0,BV23-(1-(1-(1/(1+EXP(-(BT23-BH23)))*Parameters!$B$3))^12)*100)</f>
        <v/>
      </c>
      <c r="CA23" s="25">
        <f>IF(AD23=1,0,BV23-(1-(1-(1/(1+EXP(-(BT23-BI23)))*Parameters!$B$3))^12)*100)</f>
        <v/>
      </c>
      <c r="CB23" s="25">
        <f>IF(AD23=1,0,BV23-(1-(1-(1/(1+EXP(-(BT23-BJ23)))*Parameters!$B$3))^12)*100)</f>
        <v/>
      </c>
      <c r="CC23" s="25">
        <f>IF(AD23=1,0,BV23-(1-(1-(1/(1+EXP(-(BT23-BK23)))*Parameters!$B$3))^12)*100)</f>
        <v/>
      </c>
      <c r="CD23" s="25">
        <f>IF(AD23=1,0,BV23-(1-(1-(1/(1+EXP(-(BT23-BL23)))*Parameters!$B$3))^12)*100)</f>
        <v/>
      </c>
      <c r="CE23" s="25">
        <f>IF(AD23=1,0,BV23-(1-(1-(1/(1+EXP(-(BT23-BM23)))*Parameters!$B$3))^12)*100)</f>
        <v/>
      </c>
      <c r="CF23" s="25">
        <f>IF(AD23=1,0,BV23-(1-(1-(1/(1+EXP(-(BT23-BN23)))*Parameters!$B$3))^12)*100)</f>
        <v/>
      </c>
      <c r="CG23" s="25">
        <f>IF(AD23=1,0,BV23-(1-(1-(1/(1+EXP(-(BT23-BO23)))*Parameters!$B$3))^12)*100)</f>
        <v/>
      </c>
      <c r="CH23" s="25">
        <f>IF(AD23=1,0,BV23-(1-(1-(1/(1+EXP(-(BT23-BP23)))*Parameters!$B$3))^12)*100)</f>
        <v/>
      </c>
      <c r="CI23" s="25">
        <f>IF(AD23=1,0,BV23-(1-(1-(1/(1+EXP(-(BT23-BQ23)))*Parameters!$B$3))^12)*100)</f>
        <v/>
      </c>
      <c r="CJ23" s="25">
        <f>IF(AD23=1,0,BV23-(1-(1-(1/(1+EXP(-(BT23-BR23)))*Parameters!$B$3))^12)*100)</f>
        <v/>
      </c>
    </row>
    <row r="24">
      <c r="A24" s="17" t="inlineStr">
        <is>
          <t>GNR_2024_NEW</t>
        </is>
      </c>
      <c r="B24" s="17" t="inlineStr">
        <is>
          <t>3618B24L0</t>
        </is>
      </c>
      <c r="C24" s="17" t="inlineStr">
        <is>
          <t>PN</t>
        </is>
      </c>
      <c r="D24" s="17" t="inlineStr">
        <is>
          <t>BERKADIA COMMERCIAL MORTGAGE, LLC</t>
        </is>
      </c>
      <c r="E24" s="17" t="inlineStr">
        <is>
          <t>3618B24L0_000000006622155</t>
        </is>
      </c>
      <c r="F24" s="17" t="n">
        <v>202603</v>
      </c>
      <c r="G24" s="18" t="n">
        <v>5.97</v>
      </c>
      <c r="H24" s="19" t="n">
        <v>9338255.810000001</v>
      </c>
      <c r="I24" s="17" t="n">
        <v>420</v>
      </c>
      <c r="J24" s="17" t="n">
        <v>20240729</v>
      </c>
      <c r="K24" s="17" t="n">
        <v>20590801</v>
      </c>
      <c r="L24" s="17" t="n"/>
      <c r="M24" s="17" t="n">
        <v>20340901</v>
      </c>
      <c r="N24" s="17" t="n">
        <v>10</v>
      </c>
      <c r="O24" s="17" t="inlineStr">
        <is>
          <t>232/223(F)</t>
        </is>
      </c>
      <c r="P24" s="17" t="inlineStr">
        <is>
          <t>MKT</t>
        </is>
      </c>
      <c r="Q24" s="17" t="n"/>
      <c r="R24" s="17" t="n"/>
      <c r="S24" s="17" t="n"/>
      <c r="T24" s="17" t="inlineStr">
        <is>
          <t>FL</t>
        </is>
      </c>
      <c r="U24" s="17" t="n">
        <v>62</v>
      </c>
      <c r="V24" s="17" t="n">
        <v>490.5</v>
      </c>
      <c r="W24" s="17" t="n">
        <v>20</v>
      </c>
      <c r="X24" s="17" t="n">
        <v>2024</v>
      </c>
      <c r="Y24" s="17" t="n">
        <v>19</v>
      </c>
      <c r="Z24" s="17" t="n">
        <v>10</v>
      </c>
      <c r="AA24" s="20">
        <f>IF(ISNUMBER(W24),W24,IFERROR(MAX(0,(VALUE(LEFT(F24,4))-VALUE(LEFT(TEXT(J24,"00000000"),4)))*12+(VALUE(MID(F24,5,2))-VALUE(MID(TEXT(J24,"00000000"),5,2)))),""))</f>
        <v/>
      </c>
      <c r="AB24" s="20">
        <f>IFERROR((VALUE(LEFT(TEXT(K24,"00000000"),4))-VALUE(LEFT(F24,4)))*12+(VALUE(MID(TEXT(K24,"00000000"),5,2))-VALUE(MID(F24,5,2))),"")</f>
        <v/>
      </c>
      <c r="AC24" s="20">
        <f>IF(OR(L24="",NOT(ISNUMBER(L24))),0,MAX(0,MIN(60,(VALUE(LEFT(F24,4))-VALUE(LEFT(TEXT(L24,"00000000"),4)))*12+(VALUE(MID(F24,5,2))-VALUE(MID(TEXT(L24,"00000000"),5,2))))))</f>
        <v/>
      </c>
      <c r="AD24" s="20">
        <f>IF(OR(L24="",NOT(ISNUMBER(L24))),0,IF(VALUE(F24)&lt;VALUE(LEFT(TEXT(L24,"00000000"),6)),1,0))</f>
        <v/>
      </c>
      <c r="AE24" s="20">
        <f>IF(OR(M24="",NOT(ISNUMBER(M24))),0,IF(VALUE(F24)&lt;VALUE(LEFT(TEXT(M24,"00000000"),6)),1,0))</f>
        <v/>
      </c>
      <c r="AF24" s="20">
        <f>IF(AND(AD24=0,AE24=0),1,0)</f>
        <v/>
      </c>
      <c r="AG24" s="20">
        <f>IF(ISNUMBER(X24),X24,IFERROR(VALUE(LEFT(TEXT(J24,"00000000"),4)),""))</f>
        <v/>
      </c>
      <c r="AH24" s="20">
        <f>IFERROR(XLOOKUP(AG24,Vintage_Rates!$A$2:$A$1000,Vintage_Rates!$B$2:$B$1000,""),"")</f>
        <v/>
      </c>
      <c r="AI24" s="20">
        <f>IF(ISNUMBER(Y24),Y24,IFERROR((G24-AH24)*100,""))</f>
        <v/>
      </c>
      <c r="AJ24" s="20">
        <f>IF(ISNUMBER(V24),V24,IFERROR(XLOOKUP(VALUE(F24),PLC_Rates!$A$2:$A$1000,PLC_Rates!$B$2:$B$1000,""),""))</f>
        <v/>
      </c>
      <c r="AK24" s="20">
        <f>IF(ISNUMBER(Z24),Z24,IF(AE24=0,0,MAX(0,MIN(10,((VALUE(LEFT(TEXT(M24,"00000000"),4))-VALUE(LEFT(F24,4)))*12+(VALUE(MID(TEXT(M24,"00000000"),5,2))-VALUE(MID(F24,5,2))))/12))))</f>
        <v/>
      </c>
      <c r="AL24" s="20">
        <f>IFERROR(G24*100-AJ24,"")</f>
        <v/>
      </c>
      <c r="AM24" s="20">
        <f>IFERROR(G24*100-(AJ24+(1+AK24)*12.5),"")</f>
        <v/>
      </c>
      <c r="AN24" s="21">
        <f>IFERROR(MIN(H24/1000000,100),"")</f>
        <v/>
      </c>
      <c r="AO24" s="20">
        <f>IFERROR(INDEX(FHA_Lookup!$B$2:$B$11,MATCH(TRUE,ISNUMBER(SEARCH(FHA_Lookup!$A$2:$A$11,UPPER(SUBSTITUTE(O24," ","")))),0)),"OTHER")</f>
        <v/>
      </c>
      <c r="AP24" s="20">
        <f>IFERROR(INDEX(FHA_Lookup!$C$2:$C$11,MATCH(TRUE,ISNUMBER(SEARCH(FHA_Lookup!$A$2:$A$11,UPPER(SUBSTITUTE(O24," ","")))),0)),"OTHER")</f>
        <v/>
      </c>
      <c r="AQ24" s="20">
        <f>IF(AP24="NC",1,0)</f>
        <v/>
      </c>
      <c r="AR24" s="20">
        <f>IF(UPPER(TRIM(P24))="AFF",1,0)</f>
        <v/>
      </c>
      <c r="AS24" s="20">
        <f>IF(UPPER(TRIM(P24))="BAF",1,0)</f>
        <v/>
      </c>
      <c r="AT24" s="20">
        <f>IF(UPPER(TRIM(P24))="MKT",1,0)</f>
        <v/>
      </c>
      <c r="AU24" s="20">
        <f>IF(AO24="221d4",1,0)</f>
        <v/>
      </c>
      <c r="AV24" s="20">
        <f>IF(AO24="223a7",1,0)</f>
        <v/>
      </c>
      <c r="AW24" s="20">
        <f>IF(AO24="232",1,0)</f>
        <v/>
      </c>
      <c r="AX24" s="20">
        <f>IF(AO24="538",1,0)</f>
        <v/>
      </c>
      <c r="AY24" s="20">
        <f>IF(AO24="241",1,0)</f>
        <v/>
      </c>
      <c r="AZ24" s="20">
        <f>IF(AO24="220",1,0)</f>
        <v/>
      </c>
      <c r="BA24" s="20">
        <f>IF(AO24="OTHER",1,0)</f>
        <v/>
      </c>
      <c r="BB24" s="20">
        <f>IF(UPPER(TRIM(C24))="LM",1,0)</f>
        <v/>
      </c>
      <c r="BC24" s="20">
        <f>IF(UPPER(TRIM(C24))="PN",1,0)</f>
        <v/>
      </c>
      <c r="BD24" s="20">
        <f>IF(UPPER(TRIM(C24))="LS",1,0)</f>
        <v/>
      </c>
      <c r="BE24" s="20">
        <f>IF(UPPER(TRIM(C24))="RX",1,0)</f>
        <v/>
      </c>
      <c r="BF24" s="22">
        <f>IFERROR((Parameters!$C$6*AM24+Parameters!$C$7*MAX(AM24-(-150),0)+Parameters!$C$8*MAX(AM24-(-50),0)+Parameters!$C$9*MAX(AM24-(0),0)+Parameters!$C$10*MAX(AM24-(50),0)+Parameters!$C$11*MAX(AM24-(100),0)+Parameters!$C$12*MAX(AM24-(150),0)+Parameters!$C$13*MAX(AM24-(250),0)),0)</f>
        <v/>
      </c>
      <c r="BG24" s="22">
        <f>IFERROR((Parameters!$C$14*AA24+Parameters!$C$15*MAX(AA24-(12),0)+Parameters!$C$16*MAX(AA24-(36),0)+Parameters!$C$17*MAX(AA24-(60),0)+Parameters!$C$18*MAX(AA24-(84),0)+Parameters!$C$19*MAX(AA24-(120),0)+Parameters!$C$20*MAX(AA24-(180),0)),0)</f>
        <v/>
      </c>
      <c r="BH24" s="22">
        <f>IFERROR((Parameters!$C$21*AK24+Parameters!$C$22*MAX(AK24-(0),0)+Parameters!$C$23*MAX(AK24-(2),0)+Parameters!$C$24*MAX(AK24-(5),0)+Parameters!$C$25*MAX(AK24-(8),0)),0)</f>
        <v/>
      </c>
      <c r="BI24" s="22">
        <f>IFERROR((Parameters!$C$26*AI24+Parameters!$C$27*MAX(AI24-(-100),0)+Parameters!$C$28*MAX(AI24-(-25),0)+Parameters!$C$29*MAX(AI24-(25),0)+Parameters!$C$30*MAX(AI24-(100),0)),0)</f>
        <v/>
      </c>
      <c r="BJ24" s="22">
        <f>IFERROR((Parameters!$C$31*AN24+Parameters!$C$32*MAX(AN24-(2),0)+Parameters!$C$33*MAX(AN24-(10),0)+Parameters!$C$34*MAX(AN24-(25),0)),0)</f>
        <v/>
      </c>
      <c r="BK24" s="22">
        <f>IFERROR((Parameters!$C$35*AB24+Parameters!$C$36*MAX(AB24-(12),0)+Parameters!$C$37*MAX(AB24-(24),0)+Parameters!$C$38*MAX(AB24-(60),0)),0)</f>
        <v/>
      </c>
      <c r="BL24" s="22">
        <f>IFERROR((Parameters!$C$39*AC24+Parameters!$C$40*MAX(AC24-(6),0)+Parameters!$C$41*MAX(AC24-(12),0)+Parameters!$C$42*MAX(AC24-(24),0)),0)</f>
        <v/>
      </c>
      <c r="BM24" s="22">
        <f>IFERROR(Parameters!$C$43*(MAX(AM24,0)*MIN(MAX(AK24,0),10))/100,0)</f>
        <v/>
      </c>
      <c r="BN24" s="22">
        <f>Parameters!$C$44*AE24</f>
        <v/>
      </c>
      <c r="BO24" s="22">
        <f>Parameters!$C$45*AU24 + Parameters!$C$46*AV24 + Parameters!$C$47*AW24 + Parameters!$C$48*AX24 + Parameters!$C$49*AY24 + Parameters!$C$50*AZ24 + Parameters!$C$51*BA24</f>
        <v/>
      </c>
      <c r="BP24" s="22">
        <f>Parameters!$C$52*AQ24</f>
        <v/>
      </c>
      <c r="BQ24" s="22">
        <f>Parameters!$C$53*AR24+Parameters!$C$54*AS24+Parameters!$C$55*AT24</f>
        <v/>
      </c>
      <c r="BR24" s="22">
        <f>Parameters!$C$56*BB24+Parameters!$C$57*BC24+Parameters!$C$58*BD24+Parameters!$C$59*BE24</f>
        <v/>
      </c>
      <c r="BS24" s="23">
        <f>Parameters!$B$2</f>
        <v/>
      </c>
      <c r="BT24" s="23">
        <f>BS24+BF24 + BG24 + BH24 + BI24 + BJ24 + BK24 + BL24 + BM24 + BN24 + BO24 + BP24 + BQ24 + BR24</f>
        <v/>
      </c>
      <c r="BU24" s="24">
        <f>IF(AD24=1,0,1/(1+EXP(-BT24))*Parameters!$B$3)</f>
        <v/>
      </c>
      <c r="BV24" s="25">
        <f>(1-(1-BU24)^12)*100</f>
        <v/>
      </c>
      <c r="BW24" s="25">
        <f>IF(AD24=1,0,(1-(1-1/(1+EXP(-Parameters!$B$2)))^12)*100)</f>
        <v/>
      </c>
      <c r="BX24" s="25">
        <f>IF(AD24=1,0,BV24-(1-(1-(1/(1+EXP(-(BT24-BF24)))*Parameters!$B$3))^12)*100)</f>
        <v/>
      </c>
      <c r="BY24" s="25">
        <f>IF(AD24=1,0,BV24-(1-(1-(1/(1+EXP(-(BT24-BG24)))*Parameters!$B$3))^12)*100)</f>
        <v/>
      </c>
      <c r="BZ24" s="25">
        <f>IF(AD24=1,0,BV24-(1-(1-(1/(1+EXP(-(BT24-BH24)))*Parameters!$B$3))^12)*100)</f>
        <v/>
      </c>
      <c r="CA24" s="25">
        <f>IF(AD24=1,0,BV24-(1-(1-(1/(1+EXP(-(BT24-BI24)))*Parameters!$B$3))^12)*100)</f>
        <v/>
      </c>
      <c r="CB24" s="25">
        <f>IF(AD24=1,0,BV24-(1-(1-(1/(1+EXP(-(BT24-BJ24)))*Parameters!$B$3))^12)*100)</f>
        <v/>
      </c>
      <c r="CC24" s="25">
        <f>IF(AD24=1,0,BV24-(1-(1-(1/(1+EXP(-(BT24-BK24)))*Parameters!$B$3))^12)*100)</f>
        <v/>
      </c>
      <c r="CD24" s="25">
        <f>IF(AD24=1,0,BV24-(1-(1-(1/(1+EXP(-(BT24-BL24)))*Parameters!$B$3))^12)*100)</f>
        <v/>
      </c>
      <c r="CE24" s="25">
        <f>IF(AD24=1,0,BV24-(1-(1-(1/(1+EXP(-(BT24-BM24)))*Parameters!$B$3))^12)*100)</f>
        <v/>
      </c>
      <c r="CF24" s="25">
        <f>IF(AD24=1,0,BV24-(1-(1-(1/(1+EXP(-(BT24-BN24)))*Parameters!$B$3))^12)*100)</f>
        <v/>
      </c>
      <c r="CG24" s="25">
        <f>IF(AD24=1,0,BV24-(1-(1-(1/(1+EXP(-(BT24-BO24)))*Parameters!$B$3))^12)*100)</f>
        <v/>
      </c>
      <c r="CH24" s="25">
        <f>IF(AD24=1,0,BV24-(1-(1-(1/(1+EXP(-(BT24-BP24)))*Parameters!$B$3))^12)*100)</f>
        <v/>
      </c>
      <c r="CI24" s="25">
        <f>IF(AD24=1,0,BV24-(1-(1-(1/(1+EXP(-(BT24-BQ24)))*Parameters!$B$3))^12)*100)</f>
        <v/>
      </c>
      <c r="CJ24" s="25">
        <f>IF(AD24=1,0,BV24-(1-(1-(1/(1+EXP(-(BT24-BR24)))*Parameters!$B$3))^12)*100)</f>
        <v/>
      </c>
    </row>
    <row r="25">
      <c r="A25" s="17" t="inlineStr">
        <is>
          <t>GNR_2024_NEW</t>
        </is>
      </c>
      <c r="B25" s="17" t="inlineStr">
        <is>
          <t>3617FTER5</t>
        </is>
      </c>
      <c r="C25" s="17" t="inlineStr">
        <is>
          <t>PN</t>
        </is>
      </c>
      <c r="D25" s="17" t="inlineStr">
        <is>
          <t>KEYBANK NATIONAL ASSOCIATION</t>
        </is>
      </c>
      <c r="E25" s="17" t="inlineStr">
        <is>
          <t>3617FTER5_000000007322353</t>
        </is>
      </c>
      <c r="F25" s="17" t="n">
        <v>202603</v>
      </c>
      <c r="G25" s="18" t="n">
        <v>5.49</v>
      </c>
      <c r="H25" s="19" t="n">
        <v>13529927.85</v>
      </c>
      <c r="I25" s="17" t="n">
        <v>420</v>
      </c>
      <c r="J25" s="17" t="n">
        <v>20230501</v>
      </c>
      <c r="K25" s="17" t="n">
        <v>20580601</v>
      </c>
      <c r="L25" s="17" t="n"/>
      <c r="M25" s="17" t="n">
        <v>20330630</v>
      </c>
      <c r="N25" s="17" t="n">
        <v>10</v>
      </c>
      <c r="O25" s="17" t="inlineStr">
        <is>
          <t>232/223(F)</t>
        </is>
      </c>
      <c r="P25" s="17" t="inlineStr">
        <is>
          <t>MKT</t>
        </is>
      </c>
      <c r="Q25" s="17" t="n"/>
      <c r="R25" s="17" t="n"/>
      <c r="S25" s="17" t="n"/>
      <c r="T25" s="17" t="inlineStr">
        <is>
          <t>IN</t>
        </is>
      </c>
      <c r="U25" s="17" t="n">
        <v>51</v>
      </c>
      <c r="V25" s="17" t="n">
        <v>490.5</v>
      </c>
      <c r="W25" s="17" t="n">
        <v>34</v>
      </c>
      <c r="X25" s="17" t="n">
        <v>2023</v>
      </c>
      <c r="Y25" s="17" t="n">
        <v>-9.5</v>
      </c>
      <c r="Z25" s="17" t="n">
        <v>8</v>
      </c>
      <c r="AA25" s="20">
        <f>IF(ISNUMBER(W25),W25,IFERROR(MAX(0,(VALUE(LEFT(F25,4))-VALUE(LEFT(TEXT(J25,"00000000"),4)))*12+(VALUE(MID(F25,5,2))-VALUE(MID(TEXT(J25,"00000000"),5,2)))),""))</f>
        <v/>
      </c>
      <c r="AB25" s="20">
        <f>IFERROR((VALUE(LEFT(TEXT(K25,"00000000"),4))-VALUE(LEFT(F25,4)))*12+(VALUE(MID(TEXT(K25,"00000000"),5,2))-VALUE(MID(F25,5,2))),"")</f>
        <v/>
      </c>
      <c r="AC25" s="20">
        <f>IF(OR(L25="",NOT(ISNUMBER(L25))),0,MAX(0,MIN(60,(VALUE(LEFT(F25,4))-VALUE(LEFT(TEXT(L25,"00000000"),4)))*12+(VALUE(MID(F25,5,2))-VALUE(MID(TEXT(L25,"00000000"),5,2))))))</f>
        <v/>
      </c>
      <c r="AD25" s="20">
        <f>IF(OR(L25="",NOT(ISNUMBER(L25))),0,IF(VALUE(F25)&lt;VALUE(LEFT(TEXT(L25,"00000000"),6)),1,0))</f>
        <v/>
      </c>
      <c r="AE25" s="20">
        <f>IF(OR(M25="",NOT(ISNUMBER(M25))),0,IF(VALUE(F25)&lt;VALUE(LEFT(TEXT(M25,"00000000"),6)),1,0))</f>
        <v/>
      </c>
      <c r="AF25" s="20">
        <f>IF(AND(AD25=0,AE25=0),1,0)</f>
        <v/>
      </c>
      <c r="AG25" s="20">
        <f>IF(ISNUMBER(X25),X25,IFERROR(VALUE(LEFT(TEXT(J25,"00000000"),4)),""))</f>
        <v/>
      </c>
      <c r="AH25" s="20">
        <f>IFERROR(XLOOKUP(AG25,Vintage_Rates!$A$2:$A$1000,Vintage_Rates!$B$2:$B$1000,""),"")</f>
        <v/>
      </c>
      <c r="AI25" s="20">
        <f>IF(ISNUMBER(Y25),Y25,IFERROR((G25-AH25)*100,""))</f>
        <v/>
      </c>
      <c r="AJ25" s="20">
        <f>IF(ISNUMBER(V25),V25,IFERROR(XLOOKUP(VALUE(F25),PLC_Rates!$A$2:$A$1000,PLC_Rates!$B$2:$B$1000,""),""))</f>
        <v/>
      </c>
      <c r="AK25" s="20">
        <f>IF(ISNUMBER(Z25),Z25,IF(AE25=0,0,MAX(0,MIN(10,((VALUE(LEFT(TEXT(M25,"00000000"),4))-VALUE(LEFT(F25,4)))*12+(VALUE(MID(TEXT(M25,"00000000"),5,2))-VALUE(MID(F25,5,2))))/12))))</f>
        <v/>
      </c>
      <c r="AL25" s="20">
        <f>IFERROR(G25*100-AJ25,"")</f>
        <v/>
      </c>
      <c r="AM25" s="20">
        <f>IFERROR(G25*100-(AJ25+(1+AK25)*12.5),"")</f>
        <v/>
      </c>
      <c r="AN25" s="21">
        <f>IFERROR(MIN(H25/1000000,100),"")</f>
        <v/>
      </c>
      <c r="AO25" s="20">
        <f>IFERROR(INDEX(FHA_Lookup!$B$2:$B$11,MATCH(TRUE,ISNUMBER(SEARCH(FHA_Lookup!$A$2:$A$11,UPPER(SUBSTITUTE(O25," ","")))),0)),"OTHER")</f>
        <v/>
      </c>
      <c r="AP25" s="20">
        <f>IFERROR(INDEX(FHA_Lookup!$C$2:$C$11,MATCH(TRUE,ISNUMBER(SEARCH(FHA_Lookup!$A$2:$A$11,UPPER(SUBSTITUTE(O25," ","")))),0)),"OTHER")</f>
        <v/>
      </c>
      <c r="AQ25" s="20">
        <f>IF(AP25="NC",1,0)</f>
        <v/>
      </c>
      <c r="AR25" s="20">
        <f>IF(UPPER(TRIM(P25))="AFF",1,0)</f>
        <v/>
      </c>
      <c r="AS25" s="20">
        <f>IF(UPPER(TRIM(P25))="BAF",1,0)</f>
        <v/>
      </c>
      <c r="AT25" s="20">
        <f>IF(UPPER(TRIM(P25))="MKT",1,0)</f>
        <v/>
      </c>
      <c r="AU25" s="20">
        <f>IF(AO25="221d4",1,0)</f>
        <v/>
      </c>
      <c r="AV25" s="20">
        <f>IF(AO25="223a7",1,0)</f>
        <v/>
      </c>
      <c r="AW25" s="20">
        <f>IF(AO25="232",1,0)</f>
        <v/>
      </c>
      <c r="AX25" s="20">
        <f>IF(AO25="538",1,0)</f>
        <v/>
      </c>
      <c r="AY25" s="20">
        <f>IF(AO25="241",1,0)</f>
        <v/>
      </c>
      <c r="AZ25" s="20">
        <f>IF(AO25="220",1,0)</f>
        <v/>
      </c>
      <c r="BA25" s="20">
        <f>IF(AO25="OTHER",1,0)</f>
        <v/>
      </c>
      <c r="BB25" s="20">
        <f>IF(UPPER(TRIM(C25))="LM",1,0)</f>
        <v/>
      </c>
      <c r="BC25" s="20">
        <f>IF(UPPER(TRIM(C25))="PN",1,0)</f>
        <v/>
      </c>
      <c r="BD25" s="20">
        <f>IF(UPPER(TRIM(C25))="LS",1,0)</f>
        <v/>
      </c>
      <c r="BE25" s="20">
        <f>IF(UPPER(TRIM(C25))="RX",1,0)</f>
        <v/>
      </c>
      <c r="BF25" s="22">
        <f>IFERROR((Parameters!$C$6*AM25+Parameters!$C$7*MAX(AM25-(-150),0)+Parameters!$C$8*MAX(AM25-(-50),0)+Parameters!$C$9*MAX(AM25-(0),0)+Parameters!$C$10*MAX(AM25-(50),0)+Parameters!$C$11*MAX(AM25-(100),0)+Parameters!$C$12*MAX(AM25-(150),0)+Parameters!$C$13*MAX(AM25-(250),0)),0)</f>
        <v/>
      </c>
      <c r="BG25" s="22">
        <f>IFERROR((Parameters!$C$14*AA25+Parameters!$C$15*MAX(AA25-(12),0)+Parameters!$C$16*MAX(AA25-(36),0)+Parameters!$C$17*MAX(AA25-(60),0)+Parameters!$C$18*MAX(AA25-(84),0)+Parameters!$C$19*MAX(AA25-(120),0)+Parameters!$C$20*MAX(AA25-(180),0)),0)</f>
        <v/>
      </c>
      <c r="BH25" s="22">
        <f>IFERROR((Parameters!$C$21*AK25+Parameters!$C$22*MAX(AK25-(0),0)+Parameters!$C$23*MAX(AK25-(2),0)+Parameters!$C$24*MAX(AK25-(5),0)+Parameters!$C$25*MAX(AK25-(8),0)),0)</f>
        <v/>
      </c>
      <c r="BI25" s="22">
        <f>IFERROR((Parameters!$C$26*AI25+Parameters!$C$27*MAX(AI25-(-100),0)+Parameters!$C$28*MAX(AI25-(-25),0)+Parameters!$C$29*MAX(AI25-(25),0)+Parameters!$C$30*MAX(AI25-(100),0)),0)</f>
        <v/>
      </c>
      <c r="BJ25" s="22">
        <f>IFERROR((Parameters!$C$31*AN25+Parameters!$C$32*MAX(AN25-(2),0)+Parameters!$C$33*MAX(AN25-(10),0)+Parameters!$C$34*MAX(AN25-(25),0)),0)</f>
        <v/>
      </c>
      <c r="BK25" s="22">
        <f>IFERROR((Parameters!$C$35*AB25+Parameters!$C$36*MAX(AB25-(12),0)+Parameters!$C$37*MAX(AB25-(24),0)+Parameters!$C$38*MAX(AB25-(60),0)),0)</f>
        <v/>
      </c>
      <c r="BL25" s="22">
        <f>IFERROR((Parameters!$C$39*AC25+Parameters!$C$40*MAX(AC25-(6),0)+Parameters!$C$41*MAX(AC25-(12),0)+Parameters!$C$42*MAX(AC25-(24),0)),0)</f>
        <v/>
      </c>
      <c r="BM25" s="22">
        <f>IFERROR(Parameters!$C$43*(MAX(AM25,0)*MIN(MAX(AK25,0),10))/100,0)</f>
        <v/>
      </c>
      <c r="BN25" s="22">
        <f>Parameters!$C$44*AE25</f>
        <v/>
      </c>
      <c r="BO25" s="22">
        <f>Parameters!$C$45*AU25 + Parameters!$C$46*AV25 + Parameters!$C$47*AW25 + Parameters!$C$48*AX25 + Parameters!$C$49*AY25 + Parameters!$C$50*AZ25 + Parameters!$C$51*BA25</f>
        <v/>
      </c>
      <c r="BP25" s="22">
        <f>Parameters!$C$52*AQ25</f>
        <v/>
      </c>
      <c r="BQ25" s="22">
        <f>Parameters!$C$53*AR25+Parameters!$C$54*AS25+Parameters!$C$55*AT25</f>
        <v/>
      </c>
      <c r="BR25" s="22">
        <f>Parameters!$C$56*BB25+Parameters!$C$57*BC25+Parameters!$C$58*BD25+Parameters!$C$59*BE25</f>
        <v/>
      </c>
      <c r="BS25" s="23">
        <f>Parameters!$B$2</f>
        <v/>
      </c>
      <c r="BT25" s="23">
        <f>BS25+BF25 + BG25 + BH25 + BI25 + BJ25 + BK25 + BL25 + BM25 + BN25 + BO25 + BP25 + BQ25 + BR25</f>
        <v/>
      </c>
      <c r="BU25" s="24">
        <f>IF(AD25=1,0,1/(1+EXP(-BT25))*Parameters!$B$3)</f>
        <v/>
      </c>
      <c r="BV25" s="25">
        <f>(1-(1-BU25)^12)*100</f>
        <v/>
      </c>
      <c r="BW25" s="25">
        <f>IF(AD25=1,0,(1-(1-1/(1+EXP(-Parameters!$B$2)))^12)*100)</f>
        <v/>
      </c>
      <c r="BX25" s="25">
        <f>IF(AD25=1,0,BV25-(1-(1-(1/(1+EXP(-(BT25-BF25)))*Parameters!$B$3))^12)*100)</f>
        <v/>
      </c>
      <c r="BY25" s="25">
        <f>IF(AD25=1,0,BV25-(1-(1-(1/(1+EXP(-(BT25-BG25)))*Parameters!$B$3))^12)*100)</f>
        <v/>
      </c>
      <c r="BZ25" s="25">
        <f>IF(AD25=1,0,BV25-(1-(1-(1/(1+EXP(-(BT25-BH25)))*Parameters!$B$3))^12)*100)</f>
        <v/>
      </c>
      <c r="CA25" s="25">
        <f>IF(AD25=1,0,BV25-(1-(1-(1/(1+EXP(-(BT25-BI25)))*Parameters!$B$3))^12)*100)</f>
        <v/>
      </c>
      <c r="CB25" s="25">
        <f>IF(AD25=1,0,BV25-(1-(1-(1/(1+EXP(-(BT25-BJ25)))*Parameters!$B$3))^12)*100)</f>
        <v/>
      </c>
      <c r="CC25" s="25">
        <f>IF(AD25=1,0,BV25-(1-(1-(1/(1+EXP(-(BT25-BK25)))*Parameters!$B$3))^12)*100)</f>
        <v/>
      </c>
      <c r="CD25" s="25">
        <f>IF(AD25=1,0,BV25-(1-(1-(1/(1+EXP(-(BT25-BL25)))*Parameters!$B$3))^12)*100)</f>
        <v/>
      </c>
      <c r="CE25" s="25">
        <f>IF(AD25=1,0,BV25-(1-(1-(1/(1+EXP(-(BT25-BM25)))*Parameters!$B$3))^12)*100)</f>
        <v/>
      </c>
      <c r="CF25" s="25">
        <f>IF(AD25=1,0,BV25-(1-(1-(1/(1+EXP(-(BT25-BN25)))*Parameters!$B$3))^12)*100)</f>
        <v/>
      </c>
      <c r="CG25" s="25">
        <f>IF(AD25=1,0,BV25-(1-(1-(1/(1+EXP(-(BT25-BO25)))*Parameters!$B$3))^12)*100)</f>
        <v/>
      </c>
      <c r="CH25" s="25">
        <f>IF(AD25=1,0,BV25-(1-(1-(1/(1+EXP(-(BT25-BP25)))*Parameters!$B$3))^12)*100)</f>
        <v/>
      </c>
      <c r="CI25" s="25">
        <f>IF(AD25=1,0,BV25-(1-(1-(1/(1+EXP(-(BT25-BQ25)))*Parameters!$B$3))^12)*100)</f>
        <v/>
      </c>
      <c r="CJ25" s="25">
        <f>IF(AD25=1,0,BV25-(1-(1-(1/(1+EXP(-(BT25-BR25)))*Parameters!$B$3))^12)*100)</f>
        <v/>
      </c>
    </row>
    <row r="26">
      <c r="A26" s="17" t="inlineStr">
        <is>
          <t>GNR_2024_NEW</t>
        </is>
      </c>
      <c r="B26" s="17" t="inlineStr">
        <is>
          <t>3618KU4F1</t>
        </is>
      </c>
      <c r="C26" s="17" t="inlineStr">
        <is>
          <t>PN</t>
        </is>
      </c>
      <c r="D26" s="17" t="inlineStr">
        <is>
          <t>DWIGHT CAPITAL LLC</t>
        </is>
      </c>
      <c r="E26" s="17" t="inlineStr">
        <is>
          <t>3618KU4F1_000000008322130</t>
        </is>
      </c>
      <c r="F26" s="17" t="n">
        <v>202603</v>
      </c>
      <c r="G26" s="18" t="n">
        <v>6.28</v>
      </c>
      <c r="H26" s="19" t="n">
        <v>13040677.97</v>
      </c>
      <c r="I26" s="17" t="n">
        <v>420</v>
      </c>
      <c r="J26" s="17" t="n">
        <v>20250501</v>
      </c>
      <c r="K26" s="17" t="n">
        <v>20600601</v>
      </c>
      <c r="L26" s="17" t="n"/>
      <c r="M26" s="17" t="n">
        <v>20350701</v>
      </c>
      <c r="N26" s="17" t="n">
        <v>10</v>
      </c>
      <c r="O26" s="17" t="inlineStr">
        <is>
          <t>232/223(F)</t>
        </is>
      </c>
      <c r="P26" s="17" t="n"/>
      <c r="Q26" s="17" t="n"/>
      <c r="R26" s="17" t="n"/>
      <c r="S26" s="17" t="n"/>
      <c r="T26" s="17" t="inlineStr">
        <is>
          <t>KY</t>
        </is>
      </c>
      <c r="U26" s="17" t="n">
        <v>117</v>
      </c>
      <c r="V26" s="17" t="n">
        <v>490.5</v>
      </c>
      <c r="W26" s="17" t="n">
        <v>10</v>
      </c>
      <c r="X26" s="17" t="n">
        <v>2025</v>
      </c>
      <c r="Y26" s="17" t="n">
        <v>46</v>
      </c>
      <c r="Z26" s="17" t="n">
        <v>0</v>
      </c>
      <c r="AA26" s="20">
        <f>IF(ISNUMBER(W26),W26,IFERROR(MAX(0,(VALUE(LEFT(F26,4))-VALUE(LEFT(TEXT(J26,"00000000"),4)))*12+(VALUE(MID(F26,5,2))-VALUE(MID(TEXT(J26,"00000000"),5,2)))),""))</f>
        <v/>
      </c>
      <c r="AB26" s="20">
        <f>IFERROR((VALUE(LEFT(TEXT(K26,"00000000"),4))-VALUE(LEFT(F26,4)))*12+(VALUE(MID(TEXT(K26,"00000000"),5,2))-VALUE(MID(F26,5,2))),"")</f>
        <v/>
      </c>
      <c r="AC26" s="20">
        <f>IF(OR(L26="",NOT(ISNUMBER(L26))),0,MAX(0,MIN(60,(VALUE(LEFT(F26,4))-VALUE(LEFT(TEXT(L26,"00000000"),4)))*12+(VALUE(MID(F26,5,2))-VALUE(MID(TEXT(L26,"00000000"),5,2))))))</f>
        <v/>
      </c>
      <c r="AD26" s="20">
        <f>IF(OR(L26="",NOT(ISNUMBER(L26))),0,IF(VALUE(F26)&lt;VALUE(LEFT(TEXT(L26,"00000000"),6)),1,0))</f>
        <v/>
      </c>
      <c r="AE26" s="20">
        <f>IF(OR(M26="",NOT(ISNUMBER(M26))),0,IF(VALUE(F26)&lt;VALUE(LEFT(TEXT(M26,"00000000"),6)),1,0))</f>
        <v/>
      </c>
      <c r="AF26" s="20">
        <f>IF(AND(AD26=0,AE26=0),1,0)</f>
        <v/>
      </c>
      <c r="AG26" s="20">
        <f>IF(ISNUMBER(X26),X26,IFERROR(VALUE(LEFT(TEXT(J26,"00000000"),4)),""))</f>
        <v/>
      </c>
      <c r="AH26" s="20">
        <f>IFERROR(XLOOKUP(AG26,Vintage_Rates!$A$2:$A$1000,Vintage_Rates!$B$2:$B$1000,""),"")</f>
        <v/>
      </c>
      <c r="AI26" s="20">
        <f>IF(ISNUMBER(Y26),Y26,IFERROR((G26-AH26)*100,""))</f>
        <v/>
      </c>
      <c r="AJ26" s="20">
        <f>IF(ISNUMBER(V26),V26,IFERROR(XLOOKUP(VALUE(F26),PLC_Rates!$A$2:$A$1000,PLC_Rates!$B$2:$B$1000,""),""))</f>
        <v/>
      </c>
      <c r="AK26" s="20">
        <f>IF(ISNUMBER(Z26),Z26,IF(AE26=0,0,MAX(0,MIN(10,((VALUE(LEFT(TEXT(M26,"00000000"),4))-VALUE(LEFT(F26,4)))*12+(VALUE(MID(TEXT(M26,"00000000"),5,2))-VALUE(MID(F26,5,2))))/12))))</f>
        <v/>
      </c>
      <c r="AL26" s="20">
        <f>IFERROR(G26*100-AJ26,"")</f>
        <v/>
      </c>
      <c r="AM26" s="20">
        <f>IFERROR(G26*100-(AJ26+(1+AK26)*12.5),"")</f>
        <v/>
      </c>
      <c r="AN26" s="21">
        <f>IFERROR(MIN(H26/1000000,100),"")</f>
        <v/>
      </c>
      <c r="AO26" s="20">
        <f>IFERROR(INDEX(FHA_Lookup!$B$2:$B$11,MATCH(TRUE,ISNUMBER(SEARCH(FHA_Lookup!$A$2:$A$11,UPPER(SUBSTITUTE(O26," ","")))),0)),"OTHER")</f>
        <v/>
      </c>
      <c r="AP26" s="20">
        <f>IFERROR(INDEX(FHA_Lookup!$C$2:$C$11,MATCH(TRUE,ISNUMBER(SEARCH(FHA_Lookup!$A$2:$A$11,UPPER(SUBSTITUTE(O26," ","")))),0)),"OTHER")</f>
        <v/>
      </c>
      <c r="AQ26" s="20">
        <f>IF(AP26="NC",1,0)</f>
        <v/>
      </c>
      <c r="AR26" s="20">
        <f>IF(UPPER(TRIM(P26))="AFF",1,0)</f>
        <v/>
      </c>
      <c r="AS26" s="20">
        <f>IF(UPPER(TRIM(P26))="BAF",1,0)</f>
        <v/>
      </c>
      <c r="AT26" s="20">
        <f>IF(UPPER(TRIM(P26))="MKT",1,0)</f>
        <v/>
      </c>
      <c r="AU26" s="20">
        <f>IF(AO26="221d4",1,0)</f>
        <v/>
      </c>
      <c r="AV26" s="20">
        <f>IF(AO26="223a7",1,0)</f>
        <v/>
      </c>
      <c r="AW26" s="20">
        <f>IF(AO26="232",1,0)</f>
        <v/>
      </c>
      <c r="AX26" s="20">
        <f>IF(AO26="538",1,0)</f>
        <v/>
      </c>
      <c r="AY26" s="20">
        <f>IF(AO26="241",1,0)</f>
        <v/>
      </c>
      <c r="AZ26" s="20">
        <f>IF(AO26="220",1,0)</f>
        <v/>
      </c>
      <c r="BA26" s="20">
        <f>IF(AO26="OTHER",1,0)</f>
        <v/>
      </c>
      <c r="BB26" s="20">
        <f>IF(UPPER(TRIM(C26))="LM",1,0)</f>
        <v/>
      </c>
      <c r="BC26" s="20">
        <f>IF(UPPER(TRIM(C26))="PN",1,0)</f>
        <v/>
      </c>
      <c r="BD26" s="20">
        <f>IF(UPPER(TRIM(C26))="LS",1,0)</f>
        <v/>
      </c>
      <c r="BE26" s="20">
        <f>IF(UPPER(TRIM(C26))="RX",1,0)</f>
        <v/>
      </c>
      <c r="BF26" s="22">
        <f>IFERROR((Parameters!$C$6*AM26+Parameters!$C$7*MAX(AM26-(-150),0)+Parameters!$C$8*MAX(AM26-(-50),0)+Parameters!$C$9*MAX(AM26-(0),0)+Parameters!$C$10*MAX(AM26-(50),0)+Parameters!$C$11*MAX(AM26-(100),0)+Parameters!$C$12*MAX(AM26-(150),0)+Parameters!$C$13*MAX(AM26-(250),0)),0)</f>
        <v/>
      </c>
      <c r="BG26" s="22">
        <f>IFERROR((Parameters!$C$14*AA26+Parameters!$C$15*MAX(AA26-(12),0)+Parameters!$C$16*MAX(AA26-(36),0)+Parameters!$C$17*MAX(AA26-(60),0)+Parameters!$C$18*MAX(AA26-(84),0)+Parameters!$C$19*MAX(AA26-(120),0)+Parameters!$C$20*MAX(AA26-(180),0)),0)</f>
        <v/>
      </c>
      <c r="BH26" s="22">
        <f>IFERROR((Parameters!$C$21*AK26+Parameters!$C$22*MAX(AK26-(0),0)+Parameters!$C$23*MAX(AK26-(2),0)+Parameters!$C$24*MAX(AK26-(5),0)+Parameters!$C$25*MAX(AK26-(8),0)),0)</f>
        <v/>
      </c>
      <c r="BI26" s="22">
        <f>IFERROR((Parameters!$C$26*AI26+Parameters!$C$27*MAX(AI26-(-100),0)+Parameters!$C$28*MAX(AI26-(-25),0)+Parameters!$C$29*MAX(AI26-(25),0)+Parameters!$C$30*MAX(AI26-(100),0)),0)</f>
        <v/>
      </c>
      <c r="BJ26" s="22">
        <f>IFERROR((Parameters!$C$31*AN26+Parameters!$C$32*MAX(AN26-(2),0)+Parameters!$C$33*MAX(AN26-(10),0)+Parameters!$C$34*MAX(AN26-(25),0)),0)</f>
        <v/>
      </c>
      <c r="BK26" s="22">
        <f>IFERROR((Parameters!$C$35*AB26+Parameters!$C$36*MAX(AB26-(12),0)+Parameters!$C$37*MAX(AB26-(24),0)+Parameters!$C$38*MAX(AB26-(60),0)),0)</f>
        <v/>
      </c>
      <c r="BL26" s="22">
        <f>IFERROR((Parameters!$C$39*AC26+Parameters!$C$40*MAX(AC26-(6),0)+Parameters!$C$41*MAX(AC26-(12),0)+Parameters!$C$42*MAX(AC26-(24),0)),0)</f>
        <v/>
      </c>
      <c r="BM26" s="22">
        <f>IFERROR(Parameters!$C$43*(MAX(AM26,0)*MIN(MAX(AK26,0),10))/100,0)</f>
        <v/>
      </c>
      <c r="BN26" s="22">
        <f>Parameters!$C$44*AE26</f>
        <v/>
      </c>
      <c r="BO26" s="22">
        <f>Parameters!$C$45*AU26 + Parameters!$C$46*AV26 + Parameters!$C$47*AW26 + Parameters!$C$48*AX26 + Parameters!$C$49*AY26 + Parameters!$C$50*AZ26 + Parameters!$C$51*BA26</f>
        <v/>
      </c>
      <c r="BP26" s="22">
        <f>Parameters!$C$52*AQ26</f>
        <v/>
      </c>
      <c r="BQ26" s="22">
        <f>Parameters!$C$53*AR26+Parameters!$C$54*AS26+Parameters!$C$55*AT26</f>
        <v/>
      </c>
      <c r="BR26" s="22">
        <f>Parameters!$C$56*BB26+Parameters!$C$57*BC26+Parameters!$C$58*BD26+Parameters!$C$59*BE26</f>
        <v/>
      </c>
      <c r="BS26" s="23">
        <f>Parameters!$B$2</f>
        <v/>
      </c>
      <c r="BT26" s="23">
        <f>BS26+BF26 + BG26 + BH26 + BI26 + BJ26 + BK26 + BL26 + BM26 + BN26 + BO26 + BP26 + BQ26 + BR26</f>
        <v/>
      </c>
      <c r="BU26" s="24">
        <f>IF(AD26=1,0,1/(1+EXP(-BT26))*Parameters!$B$3)</f>
        <v/>
      </c>
      <c r="BV26" s="25">
        <f>(1-(1-BU26)^12)*100</f>
        <v/>
      </c>
      <c r="BW26" s="25">
        <f>IF(AD26=1,0,(1-(1-1/(1+EXP(-Parameters!$B$2)))^12)*100)</f>
        <v/>
      </c>
      <c r="BX26" s="25">
        <f>IF(AD26=1,0,BV26-(1-(1-(1/(1+EXP(-(BT26-BF26)))*Parameters!$B$3))^12)*100)</f>
        <v/>
      </c>
      <c r="BY26" s="25">
        <f>IF(AD26=1,0,BV26-(1-(1-(1/(1+EXP(-(BT26-BG26)))*Parameters!$B$3))^12)*100)</f>
        <v/>
      </c>
      <c r="BZ26" s="25">
        <f>IF(AD26=1,0,BV26-(1-(1-(1/(1+EXP(-(BT26-BH26)))*Parameters!$B$3))^12)*100)</f>
        <v/>
      </c>
      <c r="CA26" s="25">
        <f>IF(AD26=1,0,BV26-(1-(1-(1/(1+EXP(-(BT26-BI26)))*Parameters!$B$3))^12)*100)</f>
        <v/>
      </c>
      <c r="CB26" s="25">
        <f>IF(AD26=1,0,BV26-(1-(1-(1/(1+EXP(-(BT26-BJ26)))*Parameters!$B$3))^12)*100)</f>
        <v/>
      </c>
      <c r="CC26" s="25">
        <f>IF(AD26=1,0,BV26-(1-(1-(1/(1+EXP(-(BT26-BK26)))*Parameters!$B$3))^12)*100)</f>
        <v/>
      </c>
      <c r="CD26" s="25">
        <f>IF(AD26=1,0,BV26-(1-(1-(1/(1+EXP(-(BT26-BL26)))*Parameters!$B$3))^12)*100)</f>
        <v/>
      </c>
      <c r="CE26" s="25">
        <f>IF(AD26=1,0,BV26-(1-(1-(1/(1+EXP(-(BT26-BM26)))*Parameters!$B$3))^12)*100)</f>
        <v/>
      </c>
      <c r="CF26" s="25">
        <f>IF(AD26=1,0,BV26-(1-(1-(1/(1+EXP(-(BT26-BN26)))*Parameters!$B$3))^12)*100)</f>
        <v/>
      </c>
      <c r="CG26" s="25">
        <f>IF(AD26=1,0,BV26-(1-(1-(1/(1+EXP(-(BT26-BO26)))*Parameters!$B$3))^12)*100)</f>
        <v/>
      </c>
      <c r="CH26" s="25">
        <f>IF(AD26=1,0,BV26-(1-(1-(1/(1+EXP(-(BT26-BP26)))*Parameters!$B$3))^12)*100)</f>
        <v/>
      </c>
      <c r="CI26" s="25">
        <f>IF(AD26=1,0,BV26-(1-(1-(1/(1+EXP(-(BT26-BQ26)))*Parameters!$B$3))^12)*100)</f>
        <v/>
      </c>
      <c r="CJ26" s="25">
        <f>IF(AD26=1,0,BV26-(1-(1-(1/(1+EXP(-(BT26-BR26)))*Parameters!$B$3))^12)*100)</f>
        <v/>
      </c>
    </row>
    <row r="27">
      <c r="A27" s="17" t="inlineStr">
        <is>
          <t>GNR_2024_NEW</t>
        </is>
      </c>
      <c r="B27" s="17" t="inlineStr">
        <is>
          <t>3617FTDU9</t>
        </is>
      </c>
      <c r="C27" s="17" t="inlineStr">
        <is>
          <t>PN</t>
        </is>
      </c>
      <c r="D27" s="17" t="inlineStr">
        <is>
          <t>LUMENT REAL ESTATE CAPITAL,LLC</t>
        </is>
      </c>
      <c r="E27" s="17" t="inlineStr">
        <is>
          <t>3617FTDU9_000000012911131</t>
        </is>
      </c>
      <c r="F27" s="17" t="n">
        <v>202603</v>
      </c>
      <c r="G27" s="18" t="n">
        <v>4.8</v>
      </c>
      <c r="H27" s="19" t="n">
        <v>18335699.19</v>
      </c>
      <c r="I27" s="17" t="n">
        <v>420</v>
      </c>
      <c r="J27" s="17" t="n">
        <v>20230401</v>
      </c>
      <c r="K27" s="17" t="n">
        <v>20580501</v>
      </c>
      <c r="L27" s="17" t="n"/>
      <c r="M27" s="17" t="n">
        <v>20330601</v>
      </c>
      <c r="N27" s="17" t="n">
        <v>10</v>
      </c>
      <c r="O27" s="17" t="inlineStr">
        <is>
          <t>207/223(F)</t>
        </is>
      </c>
      <c r="P27" s="17" t="inlineStr">
        <is>
          <t>MKT</t>
        </is>
      </c>
      <c r="Q27" s="17" t="n"/>
      <c r="R27" s="17" t="n"/>
      <c r="S27" s="17" t="n"/>
      <c r="T27" s="17" t="inlineStr">
        <is>
          <t>CA</t>
        </is>
      </c>
      <c r="U27" s="17" t="n">
        <v>172</v>
      </c>
      <c r="V27" s="17" t="n">
        <v>490.5</v>
      </c>
      <c r="W27" s="17" t="n">
        <v>35</v>
      </c>
      <c r="X27" s="17" t="n">
        <v>2023</v>
      </c>
      <c r="Y27" s="17" t="n">
        <v>-78.5</v>
      </c>
      <c r="Z27" s="17" t="n">
        <v>8</v>
      </c>
      <c r="AA27" s="20">
        <f>IF(ISNUMBER(W27),W27,IFERROR(MAX(0,(VALUE(LEFT(F27,4))-VALUE(LEFT(TEXT(J27,"00000000"),4)))*12+(VALUE(MID(F27,5,2))-VALUE(MID(TEXT(J27,"00000000"),5,2)))),""))</f>
        <v/>
      </c>
      <c r="AB27" s="20">
        <f>IFERROR((VALUE(LEFT(TEXT(K27,"00000000"),4))-VALUE(LEFT(F27,4)))*12+(VALUE(MID(TEXT(K27,"00000000"),5,2))-VALUE(MID(F27,5,2))),"")</f>
        <v/>
      </c>
      <c r="AC27" s="20">
        <f>IF(OR(L27="",NOT(ISNUMBER(L27))),0,MAX(0,MIN(60,(VALUE(LEFT(F27,4))-VALUE(LEFT(TEXT(L27,"00000000"),4)))*12+(VALUE(MID(F27,5,2))-VALUE(MID(TEXT(L27,"00000000"),5,2))))))</f>
        <v/>
      </c>
      <c r="AD27" s="20">
        <f>IF(OR(L27="",NOT(ISNUMBER(L27))),0,IF(VALUE(F27)&lt;VALUE(LEFT(TEXT(L27,"00000000"),6)),1,0))</f>
        <v/>
      </c>
      <c r="AE27" s="20">
        <f>IF(OR(M27="",NOT(ISNUMBER(M27))),0,IF(VALUE(F27)&lt;VALUE(LEFT(TEXT(M27,"00000000"),6)),1,0))</f>
        <v/>
      </c>
      <c r="AF27" s="20">
        <f>IF(AND(AD27=0,AE27=0),1,0)</f>
        <v/>
      </c>
      <c r="AG27" s="20">
        <f>IF(ISNUMBER(X27),X27,IFERROR(VALUE(LEFT(TEXT(J27,"00000000"),4)),""))</f>
        <v/>
      </c>
      <c r="AH27" s="20">
        <f>IFERROR(XLOOKUP(AG27,Vintage_Rates!$A$2:$A$1000,Vintage_Rates!$B$2:$B$1000,""),"")</f>
        <v/>
      </c>
      <c r="AI27" s="20">
        <f>IF(ISNUMBER(Y27),Y27,IFERROR((G27-AH27)*100,""))</f>
        <v/>
      </c>
      <c r="AJ27" s="20">
        <f>IF(ISNUMBER(V27),V27,IFERROR(XLOOKUP(VALUE(F27),PLC_Rates!$A$2:$A$1000,PLC_Rates!$B$2:$B$1000,""),""))</f>
        <v/>
      </c>
      <c r="AK27" s="20">
        <f>IF(ISNUMBER(Z27),Z27,IF(AE27=0,0,MAX(0,MIN(10,((VALUE(LEFT(TEXT(M27,"00000000"),4))-VALUE(LEFT(F27,4)))*12+(VALUE(MID(TEXT(M27,"00000000"),5,2))-VALUE(MID(F27,5,2))))/12))))</f>
        <v/>
      </c>
      <c r="AL27" s="20">
        <f>IFERROR(G27*100-AJ27,"")</f>
        <v/>
      </c>
      <c r="AM27" s="20">
        <f>IFERROR(G27*100-(AJ27+(1+AK27)*12.5),"")</f>
        <v/>
      </c>
      <c r="AN27" s="21">
        <f>IFERROR(MIN(H27/1000000,100),"")</f>
        <v/>
      </c>
      <c r="AO27" s="20">
        <f>IFERROR(INDEX(FHA_Lookup!$B$2:$B$11,MATCH(TRUE,ISNUMBER(SEARCH(FHA_Lookup!$A$2:$A$11,UPPER(SUBSTITUTE(O27," ","")))),0)),"OTHER")</f>
        <v/>
      </c>
      <c r="AP27" s="20">
        <f>IFERROR(INDEX(FHA_Lookup!$C$2:$C$11,MATCH(TRUE,ISNUMBER(SEARCH(FHA_Lookup!$A$2:$A$11,UPPER(SUBSTITUTE(O27," ","")))),0)),"OTHER")</f>
        <v/>
      </c>
      <c r="AQ27" s="20">
        <f>IF(AP27="NC",1,0)</f>
        <v/>
      </c>
      <c r="AR27" s="20">
        <f>IF(UPPER(TRIM(P27))="AFF",1,0)</f>
        <v/>
      </c>
      <c r="AS27" s="20">
        <f>IF(UPPER(TRIM(P27))="BAF",1,0)</f>
        <v/>
      </c>
      <c r="AT27" s="20">
        <f>IF(UPPER(TRIM(P27))="MKT",1,0)</f>
        <v/>
      </c>
      <c r="AU27" s="20">
        <f>IF(AO27="221d4",1,0)</f>
        <v/>
      </c>
      <c r="AV27" s="20">
        <f>IF(AO27="223a7",1,0)</f>
        <v/>
      </c>
      <c r="AW27" s="20">
        <f>IF(AO27="232",1,0)</f>
        <v/>
      </c>
      <c r="AX27" s="20">
        <f>IF(AO27="538",1,0)</f>
        <v/>
      </c>
      <c r="AY27" s="20">
        <f>IF(AO27="241",1,0)</f>
        <v/>
      </c>
      <c r="AZ27" s="20">
        <f>IF(AO27="220",1,0)</f>
        <v/>
      </c>
      <c r="BA27" s="20">
        <f>IF(AO27="OTHER",1,0)</f>
        <v/>
      </c>
      <c r="BB27" s="20">
        <f>IF(UPPER(TRIM(C27))="LM",1,0)</f>
        <v/>
      </c>
      <c r="BC27" s="20">
        <f>IF(UPPER(TRIM(C27))="PN",1,0)</f>
        <v/>
      </c>
      <c r="BD27" s="20">
        <f>IF(UPPER(TRIM(C27))="LS",1,0)</f>
        <v/>
      </c>
      <c r="BE27" s="20">
        <f>IF(UPPER(TRIM(C27))="RX",1,0)</f>
        <v/>
      </c>
      <c r="BF27" s="22">
        <f>IFERROR((Parameters!$C$6*AM27+Parameters!$C$7*MAX(AM27-(-150),0)+Parameters!$C$8*MAX(AM27-(-50),0)+Parameters!$C$9*MAX(AM27-(0),0)+Parameters!$C$10*MAX(AM27-(50),0)+Parameters!$C$11*MAX(AM27-(100),0)+Parameters!$C$12*MAX(AM27-(150),0)+Parameters!$C$13*MAX(AM27-(250),0)),0)</f>
        <v/>
      </c>
      <c r="BG27" s="22">
        <f>IFERROR((Parameters!$C$14*AA27+Parameters!$C$15*MAX(AA27-(12),0)+Parameters!$C$16*MAX(AA27-(36),0)+Parameters!$C$17*MAX(AA27-(60),0)+Parameters!$C$18*MAX(AA27-(84),0)+Parameters!$C$19*MAX(AA27-(120),0)+Parameters!$C$20*MAX(AA27-(180),0)),0)</f>
        <v/>
      </c>
      <c r="BH27" s="22">
        <f>IFERROR((Parameters!$C$21*AK27+Parameters!$C$22*MAX(AK27-(0),0)+Parameters!$C$23*MAX(AK27-(2),0)+Parameters!$C$24*MAX(AK27-(5),0)+Parameters!$C$25*MAX(AK27-(8),0)),0)</f>
        <v/>
      </c>
      <c r="BI27" s="22">
        <f>IFERROR((Parameters!$C$26*AI27+Parameters!$C$27*MAX(AI27-(-100),0)+Parameters!$C$28*MAX(AI27-(-25),0)+Parameters!$C$29*MAX(AI27-(25),0)+Parameters!$C$30*MAX(AI27-(100),0)),0)</f>
        <v/>
      </c>
      <c r="BJ27" s="22">
        <f>IFERROR((Parameters!$C$31*AN27+Parameters!$C$32*MAX(AN27-(2),0)+Parameters!$C$33*MAX(AN27-(10),0)+Parameters!$C$34*MAX(AN27-(25),0)),0)</f>
        <v/>
      </c>
      <c r="BK27" s="22">
        <f>IFERROR((Parameters!$C$35*AB27+Parameters!$C$36*MAX(AB27-(12),0)+Parameters!$C$37*MAX(AB27-(24),0)+Parameters!$C$38*MAX(AB27-(60),0)),0)</f>
        <v/>
      </c>
      <c r="BL27" s="22">
        <f>IFERROR((Parameters!$C$39*AC27+Parameters!$C$40*MAX(AC27-(6),0)+Parameters!$C$41*MAX(AC27-(12),0)+Parameters!$C$42*MAX(AC27-(24),0)),0)</f>
        <v/>
      </c>
      <c r="BM27" s="22">
        <f>IFERROR(Parameters!$C$43*(MAX(AM27,0)*MIN(MAX(AK27,0),10))/100,0)</f>
        <v/>
      </c>
      <c r="BN27" s="22">
        <f>Parameters!$C$44*AE27</f>
        <v/>
      </c>
      <c r="BO27" s="22">
        <f>Parameters!$C$45*AU27 + Parameters!$C$46*AV27 + Parameters!$C$47*AW27 + Parameters!$C$48*AX27 + Parameters!$C$49*AY27 + Parameters!$C$50*AZ27 + Parameters!$C$51*BA27</f>
        <v/>
      </c>
      <c r="BP27" s="22">
        <f>Parameters!$C$52*AQ27</f>
        <v/>
      </c>
      <c r="BQ27" s="22">
        <f>Parameters!$C$53*AR27+Parameters!$C$54*AS27+Parameters!$C$55*AT27</f>
        <v/>
      </c>
      <c r="BR27" s="22">
        <f>Parameters!$C$56*BB27+Parameters!$C$57*BC27+Parameters!$C$58*BD27+Parameters!$C$59*BE27</f>
        <v/>
      </c>
      <c r="BS27" s="23">
        <f>Parameters!$B$2</f>
        <v/>
      </c>
      <c r="BT27" s="23">
        <f>BS27+BF27 + BG27 + BH27 + BI27 + BJ27 + BK27 + BL27 + BM27 + BN27 + BO27 + BP27 + BQ27 + BR27</f>
        <v/>
      </c>
      <c r="BU27" s="24">
        <f>IF(AD27=1,0,1/(1+EXP(-BT27))*Parameters!$B$3)</f>
        <v/>
      </c>
      <c r="BV27" s="25">
        <f>(1-(1-BU27)^12)*100</f>
        <v/>
      </c>
      <c r="BW27" s="25">
        <f>IF(AD27=1,0,(1-(1-1/(1+EXP(-Parameters!$B$2)))^12)*100)</f>
        <v/>
      </c>
      <c r="BX27" s="25">
        <f>IF(AD27=1,0,BV27-(1-(1-(1/(1+EXP(-(BT27-BF27)))*Parameters!$B$3))^12)*100)</f>
        <v/>
      </c>
      <c r="BY27" s="25">
        <f>IF(AD27=1,0,BV27-(1-(1-(1/(1+EXP(-(BT27-BG27)))*Parameters!$B$3))^12)*100)</f>
        <v/>
      </c>
      <c r="BZ27" s="25">
        <f>IF(AD27=1,0,BV27-(1-(1-(1/(1+EXP(-(BT27-BH27)))*Parameters!$B$3))^12)*100)</f>
        <v/>
      </c>
      <c r="CA27" s="25">
        <f>IF(AD27=1,0,BV27-(1-(1-(1/(1+EXP(-(BT27-BI27)))*Parameters!$B$3))^12)*100)</f>
        <v/>
      </c>
      <c r="CB27" s="25">
        <f>IF(AD27=1,0,BV27-(1-(1-(1/(1+EXP(-(BT27-BJ27)))*Parameters!$B$3))^12)*100)</f>
        <v/>
      </c>
      <c r="CC27" s="25">
        <f>IF(AD27=1,0,BV27-(1-(1-(1/(1+EXP(-(BT27-BK27)))*Parameters!$B$3))^12)*100)</f>
        <v/>
      </c>
      <c r="CD27" s="25">
        <f>IF(AD27=1,0,BV27-(1-(1-(1/(1+EXP(-(BT27-BL27)))*Parameters!$B$3))^12)*100)</f>
        <v/>
      </c>
      <c r="CE27" s="25">
        <f>IF(AD27=1,0,BV27-(1-(1-(1/(1+EXP(-(BT27-BM27)))*Parameters!$B$3))^12)*100)</f>
        <v/>
      </c>
      <c r="CF27" s="25">
        <f>IF(AD27=1,0,BV27-(1-(1-(1/(1+EXP(-(BT27-BN27)))*Parameters!$B$3))^12)*100)</f>
        <v/>
      </c>
      <c r="CG27" s="25">
        <f>IF(AD27=1,0,BV27-(1-(1-(1/(1+EXP(-(BT27-BO27)))*Parameters!$B$3))^12)*100)</f>
        <v/>
      </c>
      <c r="CH27" s="25">
        <f>IF(AD27=1,0,BV27-(1-(1-(1/(1+EXP(-(BT27-BP27)))*Parameters!$B$3))^12)*100)</f>
        <v/>
      </c>
      <c r="CI27" s="25">
        <f>IF(AD27=1,0,BV27-(1-(1-(1/(1+EXP(-(BT27-BQ27)))*Parameters!$B$3))^12)*100)</f>
        <v/>
      </c>
      <c r="CJ27" s="25">
        <f>IF(AD27=1,0,BV27-(1-(1-(1/(1+EXP(-(BT27-BR27)))*Parameters!$B$3))^12)*100)</f>
        <v/>
      </c>
    </row>
    <row r="28">
      <c r="A28" s="17" t="inlineStr">
        <is>
          <t>GNR_2024_NEW</t>
        </is>
      </c>
      <c r="B28" s="17" t="inlineStr">
        <is>
          <t>3618JUCH0</t>
        </is>
      </c>
      <c r="C28" s="17" t="inlineStr">
        <is>
          <t>PN</t>
        </is>
      </c>
      <c r="D28" s="17" t="inlineStr">
        <is>
          <t>MERCHANTS CAPITAL CORP.</t>
        </is>
      </c>
      <c r="E28" s="17" t="inlineStr">
        <is>
          <t>3618JUCH0_000000005422114</t>
        </is>
      </c>
      <c r="F28" s="17" t="n">
        <v>202603</v>
      </c>
      <c r="G28" s="18" t="n">
        <v>5.23</v>
      </c>
      <c r="H28" s="19" t="n">
        <v>20808290.61</v>
      </c>
      <c r="I28" s="17" t="n">
        <v>420</v>
      </c>
      <c r="J28" s="17" t="n">
        <v>20241001</v>
      </c>
      <c r="K28" s="17" t="n">
        <v>20591101</v>
      </c>
      <c r="L28" s="17" t="n"/>
      <c r="M28" s="17" t="n">
        <v>20341201</v>
      </c>
      <c r="N28" s="17" t="n">
        <v>10</v>
      </c>
      <c r="O28" s="17" t="inlineStr">
        <is>
          <t>232/223(F)</t>
        </is>
      </c>
      <c r="P28" s="17" t="inlineStr">
        <is>
          <t>MKT</t>
        </is>
      </c>
      <c r="Q28" s="17" t="n"/>
      <c r="R28" s="17" t="n"/>
      <c r="S28" s="17" t="n"/>
      <c r="T28" s="17" t="inlineStr">
        <is>
          <t>SC</t>
        </is>
      </c>
      <c r="U28" s="17" t="n">
        <v>68</v>
      </c>
      <c r="V28" s="17" t="n">
        <v>490.5</v>
      </c>
      <c r="W28" s="17" t="n">
        <v>17</v>
      </c>
      <c r="X28" s="17" t="n">
        <v>2024</v>
      </c>
      <c r="Y28" s="17" t="n">
        <v>-55</v>
      </c>
      <c r="Z28" s="17" t="n">
        <v>9</v>
      </c>
      <c r="AA28" s="20">
        <f>IF(ISNUMBER(W28),W28,IFERROR(MAX(0,(VALUE(LEFT(F28,4))-VALUE(LEFT(TEXT(J28,"00000000"),4)))*12+(VALUE(MID(F28,5,2))-VALUE(MID(TEXT(J28,"00000000"),5,2)))),""))</f>
        <v/>
      </c>
      <c r="AB28" s="20">
        <f>IFERROR((VALUE(LEFT(TEXT(K28,"00000000"),4))-VALUE(LEFT(F28,4)))*12+(VALUE(MID(TEXT(K28,"00000000"),5,2))-VALUE(MID(F28,5,2))),"")</f>
        <v/>
      </c>
      <c r="AC28" s="20">
        <f>IF(OR(L28="",NOT(ISNUMBER(L28))),0,MAX(0,MIN(60,(VALUE(LEFT(F28,4))-VALUE(LEFT(TEXT(L28,"00000000"),4)))*12+(VALUE(MID(F28,5,2))-VALUE(MID(TEXT(L28,"00000000"),5,2))))))</f>
        <v/>
      </c>
      <c r="AD28" s="20">
        <f>IF(OR(L28="",NOT(ISNUMBER(L28))),0,IF(VALUE(F28)&lt;VALUE(LEFT(TEXT(L28,"00000000"),6)),1,0))</f>
        <v/>
      </c>
      <c r="AE28" s="20">
        <f>IF(OR(M28="",NOT(ISNUMBER(M28))),0,IF(VALUE(F28)&lt;VALUE(LEFT(TEXT(M28,"00000000"),6)),1,0))</f>
        <v/>
      </c>
      <c r="AF28" s="20">
        <f>IF(AND(AD28=0,AE28=0),1,0)</f>
        <v/>
      </c>
      <c r="AG28" s="20">
        <f>IF(ISNUMBER(X28),X28,IFERROR(VALUE(LEFT(TEXT(J28,"00000000"),4)),""))</f>
        <v/>
      </c>
      <c r="AH28" s="20">
        <f>IFERROR(XLOOKUP(AG28,Vintage_Rates!$A$2:$A$1000,Vintage_Rates!$B$2:$B$1000,""),"")</f>
        <v/>
      </c>
      <c r="AI28" s="20">
        <f>IF(ISNUMBER(Y28),Y28,IFERROR((G28-AH28)*100,""))</f>
        <v/>
      </c>
      <c r="AJ28" s="20">
        <f>IF(ISNUMBER(V28),V28,IFERROR(XLOOKUP(VALUE(F28),PLC_Rates!$A$2:$A$1000,PLC_Rates!$B$2:$B$1000,""),""))</f>
        <v/>
      </c>
      <c r="AK28" s="20">
        <f>IF(ISNUMBER(Z28),Z28,IF(AE28=0,0,MAX(0,MIN(10,((VALUE(LEFT(TEXT(M28,"00000000"),4))-VALUE(LEFT(F28,4)))*12+(VALUE(MID(TEXT(M28,"00000000"),5,2))-VALUE(MID(F28,5,2))))/12))))</f>
        <v/>
      </c>
      <c r="AL28" s="20">
        <f>IFERROR(G28*100-AJ28,"")</f>
        <v/>
      </c>
      <c r="AM28" s="20">
        <f>IFERROR(G28*100-(AJ28+(1+AK28)*12.5),"")</f>
        <v/>
      </c>
      <c r="AN28" s="21">
        <f>IFERROR(MIN(H28/1000000,100),"")</f>
        <v/>
      </c>
      <c r="AO28" s="20">
        <f>IFERROR(INDEX(FHA_Lookup!$B$2:$B$11,MATCH(TRUE,ISNUMBER(SEARCH(FHA_Lookup!$A$2:$A$11,UPPER(SUBSTITUTE(O28," ","")))),0)),"OTHER")</f>
        <v/>
      </c>
      <c r="AP28" s="20">
        <f>IFERROR(INDEX(FHA_Lookup!$C$2:$C$11,MATCH(TRUE,ISNUMBER(SEARCH(FHA_Lookup!$A$2:$A$11,UPPER(SUBSTITUTE(O28," ","")))),0)),"OTHER")</f>
        <v/>
      </c>
      <c r="AQ28" s="20">
        <f>IF(AP28="NC",1,0)</f>
        <v/>
      </c>
      <c r="AR28" s="20">
        <f>IF(UPPER(TRIM(P28))="AFF",1,0)</f>
        <v/>
      </c>
      <c r="AS28" s="20">
        <f>IF(UPPER(TRIM(P28))="BAF",1,0)</f>
        <v/>
      </c>
      <c r="AT28" s="20">
        <f>IF(UPPER(TRIM(P28))="MKT",1,0)</f>
        <v/>
      </c>
      <c r="AU28" s="20">
        <f>IF(AO28="221d4",1,0)</f>
        <v/>
      </c>
      <c r="AV28" s="20">
        <f>IF(AO28="223a7",1,0)</f>
        <v/>
      </c>
      <c r="AW28" s="20">
        <f>IF(AO28="232",1,0)</f>
        <v/>
      </c>
      <c r="AX28" s="20">
        <f>IF(AO28="538",1,0)</f>
        <v/>
      </c>
      <c r="AY28" s="20">
        <f>IF(AO28="241",1,0)</f>
        <v/>
      </c>
      <c r="AZ28" s="20">
        <f>IF(AO28="220",1,0)</f>
        <v/>
      </c>
      <c r="BA28" s="20">
        <f>IF(AO28="OTHER",1,0)</f>
        <v/>
      </c>
      <c r="BB28" s="20">
        <f>IF(UPPER(TRIM(C28))="LM",1,0)</f>
        <v/>
      </c>
      <c r="BC28" s="20">
        <f>IF(UPPER(TRIM(C28))="PN",1,0)</f>
        <v/>
      </c>
      <c r="BD28" s="20">
        <f>IF(UPPER(TRIM(C28))="LS",1,0)</f>
        <v/>
      </c>
      <c r="BE28" s="20">
        <f>IF(UPPER(TRIM(C28))="RX",1,0)</f>
        <v/>
      </c>
      <c r="BF28" s="22">
        <f>IFERROR((Parameters!$C$6*AM28+Parameters!$C$7*MAX(AM28-(-150),0)+Parameters!$C$8*MAX(AM28-(-50),0)+Parameters!$C$9*MAX(AM28-(0),0)+Parameters!$C$10*MAX(AM28-(50),0)+Parameters!$C$11*MAX(AM28-(100),0)+Parameters!$C$12*MAX(AM28-(150),0)+Parameters!$C$13*MAX(AM28-(250),0)),0)</f>
        <v/>
      </c>
      <c r="BG28" s="22">
        <f>IFERROR((Parameters!$C$14*AA28+Parameters!$C$15*MAX(AA28-(12),0)+Parameters!$C$16*MAX(AA28-(36),0)+Parameters!$C$17*MAX(AA28-(60),0)+Parameters!$C$18*MAX(AA28-(84),0)+Parameters!$C$19*MAX(AA28-(120),0)+Parameters!$C$20*MAX(AA28-(180),0)),0)</f>
        <v/>
      </c>
      <c r="BH28" s="22">
        <f>IFERROR((Parameters!$C$21*AK28+Parameters!$C$22*MAX(AK28-(0),0)+Parameters!$C$23*MAX(AK28-(2),0)+Parameters!$C$24*MAX(AK28-(5),0)+Parameters!$C$25*MAX(AK28-(8),0)),0)</f>
        <v/>
      </c>
      <c r="BI28" s="22">
        <f>IFERROR((Parameters!$C$26*AI28+Parameters!$C$27*MAX(AI28-(-100),0)+Parameters!$C$28*MAX(AI28-(-25),0)+Parameters!$C$29*MAX(AI28-(25),0)+Parameters!$C$30*MAX(AI28-(100),0)),0)</f>
        <v/>
      </c>
      <c r="BJ28" s="22">
        <f>IFERROR((Parameters!$C$31*AN28+Parameters!$C$32*MAX(AN28-(2),0)+Parameters!$C$33*MAX(AN28-(10),0)+Parameters!$C$34*MAX(AN28-(25),0)),0)</f>
        <v/>
      </c>
      <c r="BK28" s="22">
        <f>IFERROR((Parameters!$C$35*AB28+Parameters!$C$36*MAX(AB28-(12),0)+Parameters!$C$37*MAX(AB28-(24),0)+Parameters!$C$38*MAX(AB28-(60),0)),0)</f>
        <v/>
      </c>
      <c r="BL28" s="22">
        <f>IFERROR((Parameters!$C$39*AC28+Parameters!$C$40*MAX(AC28-(6),0)+Parameters!$C$41*MAX(AC28-(12),0)+Parameters!$C$42*MAX(AC28-(24),0)),0)</f>
        <v/>
      </c>
      <c r="BM28" s="22">
        <f>IFERROR(Parameters!$C$43*(MAX(AM28,0)*MIN(MAX(AK28,0),10))/100,0)</f>
        <v/>
      </c>
      <c r="BN28" s="22">
        <f>Parameters!$C$44*AE28</f>
        <v/>
      </c>
      <c r="BO28" s="22">
        <f>Parameters!$C$45*AU28 + Parameters!$C$46*AV28 + Parameters!$C$47*AW28 + Parameters!$C$48*AX28 + Parameters!$C$49*AY28 + Parameters!$C$50*AZ28 + Parameters!$C$51*BA28</f>
        <v/>
      </c>
      <c r="BP28" s="22">
        <f>Parameters!$C$52*AQ28</f>
        <v/>
      </c>
      <c r="BQ28" s="22">
        <f>Parameters!$C$53*AR28+Parameters!$C$54*AS28+Parameters!$C$55*AT28</f>
        <v/>
      </c>
      <c r="BR28" s="22">
        <f>Parameters!$C$56*BB28+Parameters!$C$57*BC28+Parameters!$C$58*BD28+Parameters!$C$59*BE28</f>
        <v/>
      </c>
      <c r="BS28" s="23">
        <f>Parameters!$B$2</f>
        <v/>
      </c>
      <c r="BT28" s="23">
        <f>BS28+BF28 + BG28 + BH28 + BI28 + BJ28 + BK28 + BL28 + BM28 + BN28 + BO28 + BP28 + BQ28 + BR28</f>
        <v/>
      </c>
      <c r="BU28" s="24">
        <f>IF(AD28=1,0,1/(1+EXP(-BT28))*Parameters!$B$3)</f>
        <v/>
      </c>
      <c r="BV28" s="25">
        <f>(1-(1-BU28)^12)*100</f>
        <v/>
      </c>
      <c r="BW28" s="25">
        <f>IF(AD28=1,0,(1-(1-1/(1+EXP(-Parameters!$B$2)))^12)*100)</f>
        <v/>
      </c>
      <c r="BX28" s="25">
        <f>IF(AD28=1,0,BV28-(1-(1-(1/(1+EXP(-(BT28-BF28)))*Parameters!$B$3))^12)*100)</f>
        <v/>
      </c>
      <c r="BY28" s="25">
        <f>IF(AD28=1,0,BV28-(1-(1-(1/(1+EXP(-(BT28-BG28)))*Parameters!$B$3))^12)*100)</f>
        <v/>
      </c>
      <c r="BZ28" s="25">
        <f>IF(AD28=1,0,BV28-(1-(1-(1/(1+EXP(-(BT28-BH28)))*Parameters!$B$3))^12)*100)</f>
        <v/>
      </c>
      <c r="CA28" s="25">
        <f>IF(AD28=1,0,BV28-(1-(1-(1/(1+EXP(-(BT28-BI28)))*Parameters!$B$3))^12)*100)</f>
        <v/>
      </c>
      <c r="CB28" s="25">
        <f>IF(AD28=1,0,BV28-(1-(1-(1/(1+EXP(-(BT28-BJ28)))*Parameters!$B$3))^12)*100)</f>
        <v/>
      </c>
      <c r="CC28" s="25">
        <f>IF(AD28=1,0,BV28-(1-(1-(1/(1+EXP(-(BT28-BK28)))*Parameters!$B$3))^12)*100)</f>
        <v/>
      </c>
      <c r="CD28" s="25">
        <f>IF(AD28=1,0,BV28-(1-(1-(1/(1+EXP(-(BT28-BL28)))*Parameters!$B$3))^12)*100)</f>
        <v/>
      </c>
      <c r="CE28" s="25">
        <f>IF(AD28=1,0,BV28-(1-(1-(1/(1+EXP(-(BT28-BM28)))*Parameters!$B$3))^12)*100)</f>
        <v/>
      </c>
      <c r="CF28" s="25">
        <f>IF(AD28=1,0,BV28-(1-(1-(1/(1+EXP(-(BT28-BN28)))*Parameters!$B$3))^12)*100)</f>
        <v/>
      </c>
      <c r="CG28" s="25">
        <f>IF(AD28=1,0,BV28-(1-(1-(1/(1+EXP(-(BT28-BO28)))*Parameters!$B$3))^12)*100)</f>
        <v/>
      </c>
      <c r="CH28" s="25">
        <f>IF(AD28=1,0,BV28-(1-(1-(1/(1+EXP(-(BT28-BP28)))*Parameters!$B$3))^12)*100)</f>
        <v/>
      </c>
      <c r="CI28" s="25">
        <f>IF(AD28=1,0,BV28-(1-(1-(1/(1+EXP(-(BT28-BQ28)))*Parameters!$B$3))^12)*100)</f>
        <v/>
      </c>
      <c r="CJ28" s="25">
        <f>IF(AD28=1,0,BV28-(1-(1-(1/(1+EXP(-(BT28-BR28)))*Parameters!$B$3))^12)*100)</f>
        <v/>
      </c>
    </row>
    <row r="29">
      <c r="A29" s="17" t="inlineStr">
        <is>
          <t>GNR_2024_NEW</t>
        </is>
      </c>
      <c r="B29" s="17" t="inlineStr">
        <is>
          <t>3618BP4H8</t>
        </is>
      </c>
      <c r="C29" s="17" t="inlineStr">
        <is>
          <t>PN</t>
        </is>
      </c>
      <c r="D29" s="17" t="inlineStr">
        <is>
          <t>VIUM CAPITAL MORTGAGE, LLC.</t>
        </is>
      </c>
      <c r="E29" s="17" t="inlineStr">
        <is>
          <t>3618BP4H8_000000007322354</t>
        </is>
      </c>
      <c r="F29" s="17" t="n">
        <v>202603</v>
      </c>
      <c r="G29" s="18" t="n">
        <v>5.62</v>
      </c>
      <c r="H29" s="19" t="n">
        <v>9949068.119999999</v>
      </c>
      <c r="I29" s="17" t="n">
        <v>420</v>
      </c>
      <c r="J29" s="17" t="n">
        <v>20230801</v>
      </c>
      <c r="K29" s="17" t="n">
        <v>20580901</v>
      </c>
      <c r="L29" s="17" t="n"/>
      <c r="M29" s="17" t="n">
        <v>20331001</v>
      </c>
      <c r="N29" s="17" t="n">
        <v>10</v>
      </c>
      <c r="O29" s="17" t="inlineStr">
        <is>
          <t>232/223(F)</t>
        </is>
      </c>
      <c r="P29" s="17" t="inlineStr">
        <is>
          <t>MKT</t>
        </is>
      </c>
      <c r="Q29" s="17" t="n"/>
      <c r="R29" s="17" t="n"/>
      <c r="S29" s="17" t="n"/>
      <c r="T29" s="17" t="inlineStr">
        <is>
          <t>IN</t>
        </is>
      </c>
      <c r="U29" s="17" t="n">
        <v>76</v>
      </c>
      <c r="V29" s="17" t="n">
        <v>490.5</v>
      </c>
      <c r="W29" s="17" t="n">
        <v>31</v>
      </c>
      <c r="X29" s="17" t="n">
        <v>2023</v>
      </c>
      <c r="Y29" s="17" t="n">
        <v>3.5</v>
      </c>
      <c r="Z29" s="17" t="n">
        <v>8</v>
      </c>
      <c r="AA29" s="20">
        <f>IF(ISNUMBER(W29),W29,IFERROR(MAX(0,(VALUE(LEFT(F29,4))-VALUE(LEFT(TEXT(J29,"00000000"),4)))*12+(VALUE(MID(F29,5,2))-VALUE(MID(TEXT(J29,"00000000"),5,2)))),""))</f>
        <v/>
      </c>
      <c r="AB29" s="20">
        <f>IFERROR((VALUE(LEFT(TEXT(K29,"00000000"),4))-VALUE(LEFT(F29,4)))*12+(VALUE(MID(TEXT(K29,"00000000"),5,2))-VALUE(MID(F29,5,2))),"")</f>
        <v/>
      </c>
      <c r="AC29" s="20">
        <f>IF(OR(L29="",NOT(ISNUMBER(L29))),0,MAX(0,MIN(60,(VALUE(LEFT(F29,4))-VALUE(LEFT(TEXT(L29,"00000000"),4)))*12+(VALUE(MID(F29,5,2))-VALUE(MID(TEXT(L29,"00000000"),5,2))))))</f>
        <v/>
      </c>
      <c r="AD29" s="20">
        <f>IF(OR(L29="",NOT(ISNUMBER(L29))),0,IF(VALUE(F29)&lt;VALUE(LEFT(TEXT(L29,"00000000"),6)),1,0))</f>
        <v/>
      </c>
      <c r="AE29" s="20">
        <f>IF(OR(M29="",NOT(ISNUMBER(M29))),0,IF(VALUE(F29)&lt;VALUE(LEFT(TEXT(M29,"00000000"),6)),1,0))</f>
        <v/>
      </c>
      <c r="AF29" s="20">
        <f>IF(AND(AD29=0,AE29=0),1,0)</f>
        <v/>
      </c>
      <c r="AG29" s="20">
        <f>IF(ISNUMBER(X29),X29,IFERROR(VALUE(LEFT(TEXT(J29,"00000000"),4)),""))</f>
        <v/>
      </c>
      <c r="AH29" s="20">
        <f>IFERROR(XLOOKUP(AG29,Vintage_Rates!$A$2:$A$1000,Vintage_Rates!$B$2:$B$1000,""),"")</f>
        <v/>
      </c>
      <c r="AI29" s="20">
        <f>IF(ISNUMBER(Y29),Y29,IFERROR((G29-AH29)*100,""))</f>
        <v/>
      </c>
      <c r="AJ29" s="20">
        <f>IF(ISNUMBER(V29),V29,IFERROR(XLOOKUP(VALUE(F29),PLC_Rates!$A$2:$A$1000,PLC_Rates!$B$2:$B$1000,""),""))</f>
        <v/>
      </c>
      <c r="AK29" s="20">
        <f>IF(ISNUMBER(Z29),Z29,IF(AE29=0,0,MAX(0,MIN(10,((VALUE(LEFT(TEXT(M29,"00000000"),4))-VALUE(LEFT(F29,4)))*12+(VALUE(MID(TEXT(M29,"00000000"),5,2))-VALUE(MID(F29,5,2))))/12))))</f>
        <v/>
      </c>
      <c r="AL29" s="20">
        <f>IFERROR(G29*100-AJ29,"")</f>
        <v/>
      </c>
      <c r="AM29" s="20">
        <f>IFERROR(G29*100-(AJ29+(1+AK29)*12.5),"")</f>
        <v/>
      </c>
      <c r="AN29" s="21">
        <f>IFERROR(MIN(H29/1000000,100),"")</f>
        <v/>
      </c>
      <c r="AO29" s="20">
        <f>IFERROR(INDEX(FHA_Lookup!$B$2:$B$11,MATCH(TRUE,ISNUMBER(SEARCH(FHA_Lookup!$A$2:$A$11,UPPER(SUBSTITUTE(O29," ","")))),0)),"OTHER")</f>
        <v/>
      </c>
      <c r="AP29" s="20">
        <f>IFERROR(INDEX(FHA_Lookup!$C$2:$C$11,MATCH(TRUE,ISNUMBER(SEARCH(FHA_Lookup!$A$2:$A$11,UPPER(SUBSTITUTE(O29," ","")))),0)),"OTHER")</f>
        <v/>
      </c>
      <c r="AQ29" s="20">
        <f>IF(AP29="NC",1,0)</f>
        <v/>
      </c>
      <c r="AR29" s="20">
        <f>IF(UPPER(TRIM(P29))="AFF",1,0)</f>
        <v/>
      </c>
      <c r="AS29" s="20">
        <f>IF(UPPER(TRIM(P29))="BAF",1,0)</f>
        <v/>
      </c>
      <c r="AT29" s="20">
        <f>IF(UPPER(TRIM(P29))="MKT",1,0)</f>
        <v/>
      </c>
      <c r="AU29" s="20">
        <f>IF(AO29="221d4",1,0)</f>
        <v/>
      </c>
      <c r="AV29" s="20">
        <f>IF(AO29="223a7",1,0)</f>
        <v/>
      </c>
      <c r="AW29" s="20">
        <f>IF(AO29="232",1,0)</f>
        <v/>
      </c>
      <c r="AX29" s="20">
        <f>IF(AO29="538",1,0)</f>
        <v/>
      </c>
      <c r="AY29" s="20">
        <f>IF(AO29="241",1,0)</f>
        <v/>
      </c>
      <c r="AZ29" s="20">
        <f>IF(AO29="220",1,0)</f>
        <v/>
      </c>
      <c r="BA29" s="20">
        <f>IF(AO29="OTHER",1,0)</f>
        <v/>
      </c>
      <c r="BB29" s="20">
        <f>IF(UPPER(TRIM(C29))="LM",1,0)</f>
        <v/>
      </c>
      <c r="BC29" s="20">
        <f>IF(UPPER(TRIM(C29))="PN",1,0)</f>
        <v/>
      </c>
      <c r="BD29" s="20">
        <f>IF(UPPER(TRIM(C29))="LS",1,0)</f>
        <v/>
      </c>
      <c r="BE29" s="20">
        <f>IF(UPPER(TRIM(C29))="RX",1,0)</f>
        <v/>
      </c>
      <c r="BF29" s="22">
        <f>IFERROR((Parameters!$C$6*AM29+Parameters!$C$7*MAX(AM29-(-150),0)+Parameters!$C$8*MAX(AM29-(-50),0)+Parameters!$C$9*MAX(AM29-(0),0)+Parameters!$C$10*MAX(AM29-(50),0)+Parameters!$C$11*MAX(AM29-(100),0)+Parameters!$C$12*MAX(AM29-(150),0)+Parameters!$C$13*MAX(AM29-(250),0)),0)</f>
        <v/>
      </c>
      <c r="BG29" s="22">
        <f>IFERROR((Parameters!$C$14*AA29+Parameters!$C$15*MAX(AA29-(12),0)+Parameters!$C$16*MAX(AA29-(36),0)+Parameters!$C$17*MAX(AA29-(60),0)+Parameters!$C$18*MAX(AA29-(84),0)+Parameters!$C$19*MAX(AA29-(120),0)+Parameters!$C$20*MAX(AA29-(180),0)),0)</f>
        <v/>
      </c>
      <c r="BH29" s="22">
        <f>IFERROR((Parameters!$C$21*AK29+Parameters!$C$22*MAX(AK29-(0),0)+Parameters!$C$23*MAX(AK29-(2),0)+Parameters!$C$24*MAX(AK29-(5),0)+Parameters!$C$25*MAX(AK29-(8),0)),0)</f>
        <v/>
      </c>
      <c r="BI29" s="22">
        <f>IFERROR((Parameters!$C$26*AI29+Parameters!$C$27*MAX(AI29-(-100),0)+Parameters!$C$28*MAX(AI29-(-25),0)+Parameters!$C$29*MAX(AI29-(25),0)+Parameters!$C$30*MAX(AI29-(100),0)),0)</f>
        <v/>
      </c>
      <c r="BJ29" s="22">
        <f>IFERROR((Parameters!$C$31*AN29+Parameters!$C$32*MAX(AN29-(2),0)+Parameters!$C$33*MAX(AN29-(10),0)+Parameters!$C$34*MAX(AN29-(25),0)),0)</f>
        <v/>
      </c>
      <c r="BK29" s="22">
        <f>IFERROR((Parameters!$C$35*AB29+Parameters!$C$36*MAX(AB29-(12),0)+Parameters!$C$37*MAX(AB29-(24),0)+Parameters!$C$38*MAX(AB29-(60),0)),0)</f>
        <v/>
      </c>
      <c r="BL29" s="22">
        <f>IFERROR((Parameters!$C$39*AC29+Parameters!$C$40*MAX(AC29-(6),0)+Parameters!$C$41*MAX(AC29-(12),0)+Parameters!$C$42*MAX(AC29-(24),0)),0)</f>
        <v/>
      </c>
      <c r="BM29" s="22">
        <f>IFERROR(Parameters!$C$43*(MAX(AM29,0)*MIN(MAX(AK29,0),10))/100,0)</f>
        <v/>
      </c>
      <c r="BN29" s="22">
        <f>Parameters!$C$44*AE29</f>
        <v/>
      </c>
      <c r="BO29" s="22">
        <f>Parameters!$C$45*AU29 + Parameters!$C$46*AV29 + Parameters!$C$47*AW29 + Parameters!$C$48*AX29 + Parameters!$C$49*AY29 + Parameters!$C$50*AZ29 + Parameters!$C$51*BA29</f>
        <v/>
      </c>
      <c r="BP29" s="22">
        <f>Parameters!$C$52*AQ29</f>
        <v/>
      </c>
      <c r="BQ29" s="22">
        <f>Parameters!$C$53*AR29+Parameters!$C$54*AS29+Parameters!$C$55*AT29</f>
        <v/>
      </c>
      <c r="BR29" s="22">
        <f>Parameters!$C$56*BB29+Parameters!$C$57*BC29+Parameters!$C$58*BD29+Parameters!$C$59*BE29</f>
        <v/>
      </c>
      <c r="BS29" s="23">
        <f>Parameters!$B$2</f>
        <v/>
      </c>
      <c r="BT29" s="23">
        <f>BS29+BF29 + BG29 + BH29 + BI29 + BJ29 + BK29 + BL29 + BM29 + BN29 + BO29 + BP29 + BQ29 + BR29</f>
        <v/>
      </c>
      <c r="BU29" s="24">
        <f>IF(AD29=1,0,1/(1+EXP(-BT29))*Parameters!$B$3)</f>
        <v/>
      </c>
      <c r="BV29" s="25">
        <f>(1-(1-BU29)^12)*100</f>
        <v/>
      </c>
      <c r="BW29" s="25">
        <f>IF(AD29=1,0,(1-(1-1/(1+EXP(-Parameters!$B$2)))^12)*100)</f>
        <v/>
      </c>
      <c r="BX29" s="25">
        <f>IF(AD29=1,0,BV29-(1-(1-(1/(1+EXP(-(BT29-BF29)))*Parameters!$B$3))^12)*100)</f>
        <v/>
      </c>
      <c r="BY29" s="25">
        <f>IF(AD29=1,0,BV29-(1-(1-(1/(1+EXP(-(BT29-BG29)))*Parameters!$B$3))^12)*100)</f>
        <v/>
      </c>
      <c r="BZ29" s="25">
        <f>IF(AD29=1,0,BV29-(1-(1-(1/(1+EXP(-(BT29-BH29)))*Parameters!$B$3))^12)*100)</f>
        <v/>
      </c>
      <c r="CA29" s="25">
        <f>IF(AD29=1,0,BV29-(1-(1-(1/(1+EXP(-(BT29-BI29)))*Parameters!$B$3))^12)*100)</f>
        <v/>
      </c>
      <c r="CB29" s="25">
        <f>IF(AD29=1,0,BV29-(1-(1-(1/(1+EXP(-(BT29-BJ29)))*Parameters!$B$3))^12)*100)</f>
        <v/>
      </c>
      <c r="CC29" s="25">
        <f>IF(AD29=1,0,BV29-(1-(1-(1/(1+EXP(-(BT29-BK29)))*Parameters!$B$3))^12)*100)</f>
        <v/>
      </c>
      <c r="CD29" s="25">
        <f>IF(AD29=1,0,BV29-(1-(1-(1/(1+EXP(-(BT29-BL29)))*Parameters!$B$3))^12)*100)</f>
        <v/>
      </c>
      <c r="CE29" s="25">
        <f>IF(AD29=1,0,BV29-(1-(1-(1/(1+EXP(-(BT29-BM29)))*Parameters!$B$3))^12)*100)</f>
        <v/>
      </c>
      <c r="CF29" s="25">
        <f>IF(AD29=1,0,BV29-(1-(1-(1/(1+EXP(-(BT29-BN29)))*Parameters!$B$3))^12)*100)</f>
        <v/>
      </c>
      <c r="CG29" s="25">
        <f>IF(AD29=1,0,BV29-(1-(1-(1/(1+EXP(-(BT29-BO29)))*Parameters!$B$3))^12)*100)</f>
        <v/>
      </c>
      <c r="CH29" s="25">
        <f>IF(AD29=1,0,BV29-(1-(1-(1/(1+EXP(-(BT29-BP29)))*Parameters!$B$3))^12)*100)</f>
        <v/>
      </c>
      <c r="CI29" s="25">
        <f>IF(AD29=1,0,BV29-(1-(1-(1/(1+EXP(-(BT29-BQ29)))*Parameters!$B$3))^12)*100)</f>
        <v/>
      </c>
      <c r="CJ29" s="25">
        <f>IF(AD29=1,0,BV29-(1-(1-(1/(1+EXP(-(BT29-BR29)))*Parameters!$B$3))^12)*100)</f>
        <v/>
      </c>
    </row>
    <row r="30">
      <c r="A30" s="17" t="inlineStr">
        <is>
          <t>GNR_2024_NEW</t>
        </is>
      </c>
      <c r="B30" s="17" t="inlineStr">
        <is>
          <t>3618ACYR3</t>
        </is>
      </c>
      <c r="C30" s="17" t="inlineStr">
        <is>
          <t>PN</t>
        </is>
      </c>
      <c r="D30" s="17" t="inlineStr">
        <is>
          <t>ARBOR AGENCY LENDING, LLC</t>
        </is>
      </c>
      <c r="E30" s="17" t="inlineStr">
        <is>
          <t>3618ACYR3_000000005411276</t>
        </is>
      </c>
      <c r="F30" s="17" t="n">
        <v>202603</v>
      </c>
      <c r="G30" s="18" t="n">
        <v>5.5</v>
      </c>
      <c r="H30" s="19" t="n">
        <v>22135628.72</v>
      </c>
      <c r="I30" s="17" t="n">
        <v>421</v>
      </c>
      <c r="J30" s="17" t="n">
        <v>20251001</v>
      </c>
      <c r="K30" s="17" t="n">
        <v>20601101</v>
      </c>
      <c r="L30" s="17" t="n"/>
      <c r="M30" s="17" t="n">
        <v>20351201</v>
      </c>
      <c r="N30" s="17" t="n">
        <v>10</v>
      </c>
      <c r="O30" s="17" t="inlineStr">
        <is>
          <t>207/223(F)</t>
        </is>
      </c>
      <c r="P30" s="17" t="n"/>
      <c r="Q30" s="17" t="n"/>
      <c r="R30" s="17" t="n"/>
      <c r="S30" s="17" t="n"/>
      <c r="T30" s="17" t="inlineStr">
        <is>
          <t>SC</t>
        </is>
      </c>
      <c r="U30" s="17" t="n">
        <v>160</v>
      </c>
      <c r="V30" s="17" t="n">
        <v>490.5</v>
      </c>
      <c r="W30" s="17" t="n">
        <v>5</v>
      </c>
      <c r="X30" s="17" t="n">
        <v>2025</v>
      </c>
      <c r="Y30" s="17" t="n">
        <v>-32</v>
      </c>
      <c r="Z30" s="17" t="n">
        <v>10</v>
      </c>
      <c r="AA30" s="20">
        <f>IF(ISNUMBER(W30),W30,IFERROR(MAX(0,(VALUE(LEFT(F30,4))-VALUE(LEFT(TEXT(J30,"00000000"),4)))*12+(VALUE(MID(F30,5,2))-VALUE(MID(TEXT(J30,"00000000"),5,2)))),""))</f>
        <v/>
      </c>
      <c r="AB30" s="20">
        <f>IFERROR((VALUE(LEFT(TEXT(K30,"00000000"),4))-VALUE(LEFT(F30,4)))*12+(VALUE(MID(TEXT(K30,"00000000"),5,2))-VALUE(MID(F30,5,2))),"")</f>
        <v/>
      </c>
      <c r="AC30" s="20">
        <f>IF(OR(L30="",NOT(ISNUMBER(L30))),0,MAX(0,MIN(60,(VALUE(LEFT(F30,4))-VALUE(LEFT(TEXT(L30,"00000000"),4)))*12+(VALUE(MID(F30,5,2))-VALUE(MID(TEXT(L30,"00000000"),5,2))))))</f>
        <v/>
      </c>
      <c r="AD30" s="20">
        <f>IF(OR(L30="",NOT(ISNUMBER(L30))),0,IF(VALUE(F30)&lt;VALUE(LEFT(TEXT(L30,"00000000"),6)),1,0))</f>
        <v/>
      </c>
      <c r="AE30" s="20">
        <f>IF(OR(M30="",NOT(ISNUMBER(M30))),0,IF(VALUE(F30)&lt;VALUE(LEFT(TEXT(M30,"00000000"),6)),1,0))</f>
        <v/>
      </c>
      <c r="AF30" s="20">
        <f>IF(AND(AD30=0,AE30=0),1,0)</f>
        <v/>
      </c>
      <c r="AG30" s="20">
        <f>IF(ISNUMBER(X30),X30,IFERROR(VALUE(LEFT(TEXT(J30,"00000000"),4)),""))</f>
        <v/>
      </c>
      <c r="AH30" s="20">
        <f>IFERROR(XLOOKUP(AG30,Vintage_Rates!$A$2:$A$1000,Vintage_Rates!$B$2:$B$1000,""),"")</f>
        <v/>
      </c>
      <c r="AI30" s="20">
        <f>IF(ISNUMBER(Y30),Y30,IFERROR((G30-AH30)*100,""))</f>
        <v/>
      </c>
      <c r="AJ30" s="20">
        <f>IF(ISNUMBER(V30),V30,IFERROR(XLOOKUP(VALUE(F30),PLC_Rates!$A$2:$A$1000,PLC_Rates!$B$2:$B$1000,""),""))</f>
        <v/>
      </c>
      <c r="AK30" s="20">
        <f>IF(ISNUMBER(Z30),Z30,IF(AE30=0,0,MAX(0,MIN(10,((VALUE(LEFT(TEXT(M30,"00000000"),4))-VALUE(LEFT(F30,4)))*12+(VALUE(MID(TEXT(M30,"00000000"),5,2))-VALUE(MID(F30,5,2))))/12))))</f>
        <v/>
      </c>
      <c r="AL30" s="20">
        <f>IFERROR(G30*100-AJ30,"")</f>
        <v/>
      </c>
      <c r="AM30" s="20">
        <f>IFERROR(G30*100-(AJ30+(1+AK30)*12.5),"")</f>
        <v/>
      </c>
      <c r="AN30" s="21">
        <f>IFERROR(MIN(H30/1000000,100),"")</f>
        <v/>
      </c>
      <c r="AO30" s="20">
        <f>IFERROR(INDEX(FHA_Lookup!$B$2:$B$11,MATCH(TRUE,ISNUMBER(SEARCH(FHA_Lookup!$A$2:$A$11,UPPER(SUBSTITUTE(O30," ","")))),0)),"OTHER")</f>
        <v/>
      </c>
      <c r="AP30" s="20">
        <f>IFERROR(INDEX(FHA_Lookup!$C$2:$C$11,MATCH(TRUE,ISNUMBER(SEARCH(FHA_Lookup!$A$2:$A$11,UPPER(SUBSTITUTE(O30," ","")))),0)),"OTHER")</f>
        <v/>
      </c>
      <c r="AQ30" s="20">
        <f>IF(AP30="NC",1,0)</f>
        <v/>
      </c>
      <c r="AR30" s="20">
        <f>IF(UPPER(TRIM(P30))="AFF",1,0)</f>
        <v/>
      </c>
      <c r="AS30" s="20">
        <f>IF(UPPER(TRIM(P30))="BAF",1,0)</f>
        <v/>
      </c>
      <c r="AT30" s="20">
        <f>IF(UPPER(TRIM(P30))="MKT",1,0)</f>
        <v/>
      </c>
      <c r="AU30" s="20">
        <f>IF(AO30="221d4",1,0)</f>
        <v/>
      </c>
      <c r="AV30" s="20">
        <f>IF(AO30="223a7",1,0)</f>
        <v/>
      </c>
      <c r="AW30" s="20">
        <f>IF(AO30="232",1,0)</f>
        <v/>
      </c>
      <c r="AX30" s="20">
        <f>IF(AO30="538",1,0)</f>
        <v/>
      </c>
      <c r="AY30" s="20">
        <f>IF(AO30="241",1,0)</f>
        <v/>
      </c>
      <c r="AZ30" s="20">
        <f>IF(AO30="220",1,0)</f>
        <v/>
      </c>
      <c r="BA30" s="20">
        <f>IF(AO30="OTHER",1,0)</f>
        <v/>
      </c>
      <c r="BB30" s="20">
        <f>IF(UPPER(TRIM(C30))="LM",1,0)</f>
        <v/>
      </c>
      <c r="BC30" s="20">
        <f>IF(UPPER(TRIM(C30))="PN",1,0)</f>
        <v/>
      </c>
      <c r="BD30" s="20">
        <f>IF(UPPER(TRIM(C30))="LS",1,0)</f>
        <v/>
      </c>
      <c r="BE30" s="20">
        <f>IF(UPPER(TRIM(C30))="RX",1,0)</f>
        <v/>
      </c>
      <c r="BF30" s="22">
        <f>IFERROR((Parameters!$C$6*AM30+Parameters!$C$7*MAX(AM30-(-150),0)+Parameters!$C$8*MAX(AM30-(-50),0)+Parameters!$C$9*MAX(AM30-(0),0)+Parameters!$C$10*MAX(AM30-(50),0)+Parameters!$C$11*MAX(AM30-(100),0)+Parameters!$C$12*MAX(AM30-(150),0)+Parameters!$C$13*MAX(AM30-(250),0)),0)</f>
        <v/>
      </c>
      <c r="BG30" s="22">
        <f>IFERROR((Parameters!$C$14*AA30+Parameters!$C$15*MAX(AA30-(12),0)+Parameters!$C$16*MAX(AA30-(36),0)+Parameters!$C$17*MAX(AA30-(60),0)+Parameters!$C$18*MAX(AA30-(84),0)+Parameters!$C$19*MAX(AA30-(120),0)+Parameters!$C$20*MAX(AA30-(180),0)),0)</f>
        <v/>
      </c>
      <c r="BH30" s="22">
        <f>IFERROR((Parameters!$C$21*AK30+Parameters!$C$22*MAX(AK30-(0),0)+Parameters!$C$23*MAX(AK30-(2),0)+Parameters!$C$24*MAX(AK30-(5),0)+Parameters!$C$25*MAX(AK30-(8),0)),0)</f>
        <v/>
      </c>
      <c r="BI30" s="22">
        <f>IFERROR((Parameters!$C$26*AI30+Parameters!$C$27*MAX(AI30-(-100),0)+Parameters!$C$28*MAX(AI30-(-25),0)+Parameters!$C$29*MAX(AI30-(25),0)+Parameters!$C$30*MAX(AI30-(100),0)),0)</f>
        <v/>
      </c>
      <c r="BJ30" s="22">
        <f>IFERROR((Parameters!$C$31*AN30+Parameters!$C$32*MAX(AN30-(2),0)+Parameters!$C$33*MAX(AN30-(10),0)+Parameters!$C$34*MAX(AN30-(25),0)),0)</f>
        <v/>
      </c>
      <c r="BK30" s="22">
        <f>IFERROR((Parameters!$C$35*AB30+Parameters!$C$36*MAX(AB30-(12),0)+Parameters!$C$37*MAX(AB30-(24),0)+Parameters!$C$38*MAX(AB30-(60),0)),0)</f>
        <v/>
      </c>
      <c r="BL30" s="22">
        <f>IFERROR((Parameters!$C$39*AC30+Parameters!$C$40*MAX(AC30-(6),0)+Parameters!$C$41*MAX(AC30-(12),0)+Parameters!$C$42*MAX(AC30-(24),0)),0)</f>
        <v/>
      </c>
      <c r="BM30" s="22">
        <f>IFERROR(Parameters!$C$43*(MAX(AM30,0)*MIN(MAX(AK30,0),10))/100,0)</f>
        <v/>
      </c>
      <c r="BN30" s="22">
        <f>Parameters!$C$44*AE30</f>
        <v/>
      </c>
      <c r="BO30" s="22">
        <f>Parameters!$C$45*AU30 + Parameters!$C$46*AV30 + Parameters!$C$47*AW30 + Parameters!$C$48*AX30 + Parameters!$C$49*AY30 + Parameters!$C$50*AZ30 + Parameters!$C$51*BA30</f>
        <v/>
      </c>
      <c r="BP30" s="22">
        <f>Parameters!$C$52*AQ30</f>
        <v/>
      </c>
      <c r="BQ30" s="22">
        <f>Parameters!$C$53*AR30+Parameters!$C$54*AS30+Parameters!$C$55*AT30</f>
        <v/>
      </c>
      <c r="BR30" s="22">
        <f>Parameters!$C$56*BB30+Parameters!$C$57*BC30+Parameters!$C$58*BD30+Parameters!$C$59*BE30</f>
        <v/>
      </c>
      <c r="BS30" s="23">
        <f>Parameters!$B$2</f>
        <v/>
      </c>
      <c r="BT30" s="23">
        <f>BS30+BF30 + BG30 + BH30 + BI30 + BJ30 + BK30 + BL30 + BM30 + BN30 + BO30 + BP30 + BQ30 + BR30</f>
        <v/>
      </c>
      <c r="BU30" s="24">
        <f>IF(AD30=1,0,1/(1+EXP(-BT30))*Parameters!$B$3)</f>
        <v/>
      </c>
      <c r="BV30" s="25">
        <f>(1-(1-BU30)^12)*100</f>
        <v/>
      </c>
      <c r="BW30" s="25">
        <f>IF(AD30=1,0,(1-(1-1/(1+EXP(-Parameters!$B$2)))^12)*100)</f>
        <v/>
      </c>
      <c r="BX30" s="25">
        <f>IF(AD30=1,0,BV30-(1-(1-(1/(1+EXP(-(BT30-BF30)))*Parameters!$B$3))^12)*100)</f>
        <v/>
      </c>
      <c r="BY30" s="25">
        <f>IF(AD30=1,0,BV30-(1-(1-(1/(1+EXP(-(BT30-BG30)))*Parameters!$B$3))^12)*100)</f>
        <v/>
      </c>
      <c r="BZ30" s="25">
        <f>IF(AD30=1,0,BV30-(1-(1-(1/(1+EXP(-(BT30-BH30)))*Parameters!$B$3))^12)*100)</f>
        <v/>
      </c>
      <c r="CA30" s="25">
        <f>IF(AD30=1,0,BV30-(1-(1-(1/(1+EXP(-(BT30-BI30)))*Parameters!$B$3))^12)*100)</f>
        <v/>
      </c>
      <c r="CB30" s="25">
        <f>IF(AD30=1,0,BV30-(1-(1-(1/(1+EXP(-(BT30-BJ30)))*Parameters!$B$3))^12)*100)</f>
        <v/>
      </c>
      <c r="CC30" s="25">
        <f>IF(AD30=1,0,BV30-(1-(1-(1/(1+EXP(-(BT30-BK30)))*Parameters!$B$3))^12)*100)</f>
        <v/>
      </c>
      <c r="CD30" s="25">
        <f>IF(AD30=1,0,BV30-(1-(1-(1/(1+EXP(-(BT30-BL30)))*Parameters!$B$3))^12)*100)</f>
        <v/>
      </c>
      <c r="CE30" s="25">
        <f>IF(AD30=1,0,BV30-(1-(1-(1/(1+EXP(-(BT30-BM30)))*Parameters!$B$3))^12)*100)</f>
        <v/>
      </c>
      <c r="CF30" s="25">
        <f>IF(AD30=1,0,BV30-(1-(1-(1/(1+EXP(-(BT30-BN30)))*Parameters!$B$3))^12)*100)</f>
        <v/>
      </c>
      <c r="CG30" s="25">
        <f>IF(AD30=1,0,BV30-(1-(1-(1/(1+EXP(-(BT30-BO30)))*Parameters!$B$3))^12)*100)</f>
        <v/>
      </c>
      <c r="CH30" s="25">
        <f>IF(AD30=1,0,BV30-(1-(1-(1/(1+EXP(-(BT30-BP30)))*Parameters!$B$3))^12)*100)</f>
        <v/>
      </c>
      <c r="CI30" s="25">
        <f>IF(AD30=1,0,BV30-(1-(1-(1/(1+EXP(-(BT30-BQ30)))*Parameters!$B$3))^12)*100)</f>
        <v/>
      </c>
      <c r="CJ30" s="25">
        <f>IF(AD30=1,0,BV30-(1-(1-(1/(1+EXP(-(BT30-BR30)))*Parameters!$B$3))^12)*100)</f>
        <v/>
      </c>
    </row>
    <row r="31">
      <c r="A31" s="17" t="inlineStr">
        <is>
          <t>GNR_2024_NEW</t>
        </is>
      </c>
      <c r="B31" s="17" t="inlineStr">
        <is>
          <t>3618ASNZ2</t>
        </is>
      </c>
      <c r="C31" s="17" t="inlineStr">
        <is>
          <t>PN</t>
        </is>
      </c>
      <c r="D31" s="17" t="inlineStr">
        <is>
          <t>ROSE COMMUNITY CAPITAL, LLC</t>
        </is>
      </c>
      <c r="E31" s="17" t="inlineStr">
        <is>
          <t>3618ASNZ2_000000012235767</t>
        </is>
      </c>
      <c r="F31" s="17" t="n">
        <v>202603</v>
      </c>
      <c r="G31" s="18" t="n">
        <v>5.89</v>
      </c>
      <c r="H31" s="19" t="n">
        <v>6768706.68</v>
      </c>
      <c r="I31" s="17" t="n">
        <v>494</v>
      </c>
      <c r="J31" s="17" t="n">
        <v>20240401</v>
      </c>
      <c r="K31" s="17" t="n">
        <v>20650601</v>
      </c>
      <c r="L31" s="17" t="n">
        <v>20250701</v>
      </c>
      <c r="M31" s="17" t="n">
        <v>20350701</v>
      </c>
      <c r="N31" s="17" t="n">
        <v>10</v>
      </c>
      <c r="O31" s="17" t="inlineStr">
        <is>
          <t>221(d)(4)</t>
        </is>
      </c>
      <c r="P31" s="17" t="inlineStr">
        <is>
          <t>BAF</t>
        </is>
      </c>
      <c r="Q31" s="17" t="n"/>
      <c r="R31" s="17" t="n"/>
      <c r="S31" s="17" t="n"/>
      <c r="T31" s="17" t="inlineStr">
        <is>
          <t>CA</t>
        </is>
      </c>
      <c r="U31" s="17" t="n">
        <v>40</v>
      </c>
      <c r="V31" s="17" t="n">
        <v>490.5</v>
      </c>
      <c r="W31" s="17" t="n">
        <v>23</v>
      </c>
      <c r="X31" s="17" t="n">
        <v>2024</v>
      </c>
      <c r="Y31" s="17" t="n">
        <v>11</v>
      </c>
      <c r="Z31" s="17" t="n">
        <v>10</v>
      </c>
      <c r="AA31" s="20">
        <f>IF(ISNUMBER(W31),W31,IFERROR(MAX(0,(VALUE(LEFT(F31,4))-VALUE(LEFT(TEXT(J31,"00000000"),4)))*12+(VALUE(MID(F31,5,2))-VALUE(MID(TEXT(J31,"00000000"),5,2)))),""))</f>
        <v/>
      </c>
      <c r="AB31" s="20">
        <f>IFERROR((VALUE(LEFT(TEXT(K31,"00000000"),4))-VALUE(LEFT(F31,4)))*12+(VALUE(MID(TEXT(K31,"00000000"),5,2))-VALUE(MID(F31,5,2))),"")</f>
        <v/>
      </c>
      <c r="AC31" s="20">
        <f>IF(OR(L31="",NOT(ISNUMBER(L31))),0,MAX(0,MIN(60,(VALUE(LEFT(F31,4))-VALUE(LEFT(TEXT(L31,"00000000"),4)))*12+(VALUE(MID(F31,5,2))-VALUE(MID(TEXT(L31,"00000000"),5,2))))))</f>
        <v/>
      </c>
      <c r="AD31" s="20">
        <f>IF(OR(L31="",NOT(ISNUMBER(L31))),0,IF(VALUE(F31)&lt;VALUE(LEFT(TEXT(L31,"00000000"),6)),1,0))</f>
        <v/>
      </c>
      <c r="AE31" s="20">
        <f>IF(OR(M31="",NOT(ISNUMBER(M31))),0,IF(VALUE(F31)&lt;VALUE(LEFT(TEXT(M31,"00000000"),6)),1,0))</f>
        <v/>
      </c>
      <c r="AF31" s="20">
        <f>IF(AND(AD31=0,AE31=0),1,0)</f>
        <v/>
      </c>
      <c r="AG31" s="20">
        <f>IF(ISNUMBER(X31),X31,IFERROR(VALUE(LEFT(TEXT(J31,"00000000"),4)),""))</f>
        <v/>
      </c>
      <c r="AH31" s="20">
        <f>IFERROR(XLOOKUP(AG31,Vintage_Rates!$A$2:$A$1000,Vintage_Rates!$B$2:$B$1000,""),"")</f>
        <v/>
      </c>
      <c r="AI31" s="20">
        <f>IF(ISNUMBER(Y31),Y31,IFERROR((G31-AH31)*100,""))</f>
        <v/>
      </c>
      <c r="AJ31" s="20">
        <f>IF(ISNUMBER(V31),V31,IFERROR(XLOOKUP(VALUE(F31),PLC_Rates!$A$2:$A$1000,PLC_Rates!$B$2:$B$1000,""),""))</f>
        <v/>
      </c>
      <c r="AK31" s="20">
        <f>IF(ISNUMBER(Z31),Z31,IF(AE31=0,0,MAX(0,MIN(10,((VALUE(LEFT(TEXT(M31,"00000000"),4))-VALUE(LEFT(F31,4)))*12+(VALUE(MID(TEXT(M31,"00000000"),5,2))-VALUE(MID(F31,5,2))))/12))))</f>
        <v/>
      </c>
      <c r="AL31" s="20">
        <f>IFERROR(G31*100-AJ31,"")</f>
        <v/>
      </c>
      <c r="AM31" s="20">
        <f>IFERROR(G31*100-(AJ31+(1+AK31)*12.5),"")</f>
        <v/>
      </c>
      <c r="AN31" s="21">
        <f>IFERROR(MIN(H31/1000000,100),"")</f>
        <v/>
      </c>
      <c r="AO31" s="20">
        <f>IFERROR(INDEX(FHA_Lookup!$B$2:$B$11,MATCH(TRUE,ISNUMBER(SEARCH(FHA_Lookup!$A$2:$A$11,UPPER(SUBSTITUTE(O31," ","")))),0)),"OTHER")</f>
        <v/>
      </c>
      <c r="AP31" s="20">
        <f>IFERROR(INDEX(FHA_Lookup!$C$2:$C$11,MATCH(TRUE,ISNUMBER(SEARCH(FHA_Lookup!$A$2:$A$11,UPPER(SUBSTITUTE(O31," ","")))),0)),"OTHER")</f>
        <v/>
      </c>
      <c r="AQ31" s="20">
        <f>IF(AP31="NC",1,0)</f>
        <v/>
      </c>
      <c r="AR31" s="20">
        <f>IF(UPPER(TRIM(P31))="AFF",1,0)</f>
        <v/>
      </c>
      <c r="AS31" s="20">
        <f>IF(UPPER(TRIM(P31))="BAF",1,0)</f>
        <v/>
      </c>
      <c r="AT31" s="20">
        <f>IF(UPPER(TRIM(P31))="MKT",1,0)</f>
        <v/>
      </c>
      <c r="AU31" s="20">
        <f>IF(AO31="221d4",1,0)</f>
        <v/>
      </c>
      <c r="AV31" s="20">
        <f>IF(AO31="223a7",1,0)</f>
        <v/>
      </c>
      <c r="AW31" s="20">
        <f>IF(AO31="232",1,0)</f>
        <v/>
      </c>
      <c r="AX31" s="20">
        <f>IF(AO31="538",1,0)</f>
        <v/>
      </c>
      <c r="AY31" s="20">
        <f>IF(AO31="241",1,0)</f>
        <v/>
      </c>
      <c r="AZ31" s="20">
        <f>IF(AO31="220",1,0)</f>
        <v/>
      </c>
      <c r="BA31" s="20">
        <f>IF(AO31="OTHER",1,0)</f>
        <v/>
      </c>
      <c r="BB31" s="20">
        <f>IF(UPPER(TRIM(C31))="LM",1,0)</f>
        <v/>
      </c>
      <c r="BC31" s="20">
        <f>IF(UPPER(TRIM(C31))="PN",1,0)</f>
        <v/>
      </c>
      <c r="BD31" s="20">
        <f>IF(UPPER(TRIM(C31))="LS",1,0)</f>
        <v/>
      </c>
      <c r="BE31" s="20">
        <f>IF(UPPER(TRIM(C31))="RX",1,0)</f>
        <v/>
      </c>
      <c r="BF31" s="22">
        <f>IFERROR((Parameters!$C$6*AM31+Parameters!$C$7*MAX(AM31-(-150),0)+Parameters!$C$8*MAX(AM31-(-50),0)+Parameters!$C$9*MAX(AM31-(0),0)+Parameters!$C$10*MAX(AM31-(50),0)+Parameters!$C$11*MAX(AM31-(100),0)+Parameters!$C$12*MAX(AM31-(150),0)+Parameters!$C$13*MAX(AM31-(250),0)),0)</f>
        <v/>
      </c>
      <c r="BG31" s="22">
        <f>IFERROR((Parameters!$C$14*AA31+Parameters!$C$15*MAX(AA31-(12),0)+Parameters!$C$16*MAX(AA31-(36),0)+Parameters!$C$17*MAX(AA31-(60),0)+Parameters!$C$18*MAX(AA31-(84),0)+Parameters!$C$19*MAX(AA31-(120),0)+Parameters!$C$20*MAX(AA31-(180),0)),0)</f>
        <v/>
      </c>
      <c r="BH31" s="22">
        <f>IFERROR((Parameters!$C$21*AK31+Parameters!$C$22*MAX(AK31-(0),0)+Parameters!$C$23*MAX(AK31-(2),0)+Parameters!$C$24*MAX(AK31-(5),0)+Parameters!$C$25*MAX(AK31-(8),0)),0)</f>
        <v/>
      </c>
      <c r="BI31" s="22">
        <f>IFERROR((Parameters!$C$26*AI31+Parameters!$C$27*MAX(AI31-(-100),0)+Parameters!$C$28*MAX(AI31-(-25),0)+Parameters!$C$29*MAX(AI31-(25),0)+Parameters!$C$30*MAX(AI31-(100),0)),0)</f>
        <v/>
      </c>
      <c r="BJ31" s="22">
        <f>IFERROR((Parameters!$C$31*AN31+Parameters!$C$32*MAX(AN31-(2),0)+Parameters!$C$33*MAX(AN31-(10),0)+Parameters!$C$34*MAX(AN31-(25),0)),0)</f>
        <v/>
      </c>
      <c r="BK31" s="22">
        <f>IFERROR((Parameters!$C$35*AB31+Parameters!$C$36*MAX(AB31-(12),0)+Parameters!$C$37*MAX(AB31-(24),0)+Parameters!$C$38*MAX(AB31-(60),0)),0)</f>
        <v/>
      </c>
      <c r="BL31" s="22">
        <f>IFERROR((Parameters!$C$39*AC31+Parameters!$C$40*MAX(AC31-(6),0)+Parameters!$C$41*MAX(AC31-(12),0)+Parameters!$C$42*MAX(AC31-(24),0)),0)</f>
        <v/>
      </c>
      <c r="BM31" s="22">
        <f>IFERROR(Parameters!$C$43*(MAX(AM31,0)*MIN(MAX(AK31,0),10))/100,0)</f>
        <v/>
      </c>
      <c r="BN31" s="22">
        <f>Parameters!$C$44*AE31</f>
        <v/>
      </c>
      <c r="BO31" s="22">
        <f>Parameters!$C$45*AU31 + Parameters!$C$46*AV31 + Parameters!$C$47*AW31 + Parameters!$C$48*AX31 + Parameters!$C$49*AY31 + Parameters!$C$50*AZ31 + Parameters!$C$51*BA31</f>
        <v/>
      </c>
      <c r="BP31" s="22">
        <f>Parameters!$C$52*AQ31</f>
        <v/>
      </c>
      <c r="BQ31" s="22">
        <f>Parameters!$C$53*AR31+Parameters!$C$54*AS31+Parameters!$C$55*AT31</f>
        <v/>
      </c>
      <c r="BR31" s="22">
        <f>Parameters!$C$56*BB31+Parameters!$C$57*BC31+Parameters!$C$58*BD31+Parameters!$C$59*BE31</f>
        <v/>
      </c>
      <c r="BS31" s="23">
        <f>Parameters!$B$2</f>
        <v/>
      </c>
      <c r="BT31" s="23">
        <f>BS31+BF31 + BG31 + BH31 + BI31 + BJ31 + BK31 + BL31 + BM31 + BN31 + BO31 + BP31 + BQ31 + BR31</f>
        <v/>
      </c>
      <c r="BU31" s="24">
        <f>IF(AD31=1,0,1/(1+EXP(-BT31))*Parameters!$B$3)</f>
        <v/>
      </c>
      <c r="BV31" s="25">
        <f>(1-(1-BU31)^12)*100</f>
        <v/>
      </c>
      <c r="BW31" s="25">
        <f>IF(AD31=1,0,(1-(1-1/(1+EXP(-Parameters!$B$2)))^12)*100)</f>
        <v/>
      </c>
      <c r="BX31" s="25">
        <f>IF(AD31=1,0,BV31-(1-(1-(1/(1+EXP(-(BT31-BF31)))*Parameters!$B$3))^12)*100)</f>
        <v/>
      </c>
      <c r="BY31" s="25">
        <f>IF(AD31=1,0,BV31-(1-(1-(1/(1+EXP(-(BT31-BG31)))*Parameters!$B$3))^12)*100)</f>
        <v/>
      </c>
      <c r="BZ31" s="25">
        <f>IF(AD31=1,0,BV31-(1-(1-(1/(1+EXP(-(BT31-BH31)))*Parameters!$B$3))^12)*100)</f>
        <v/>
      </c>
      <c r="CA31" s="25">
        <f>IF(AD31=1,0,BV31-(1-(1-(1/(1+EXP(-(BT31-BI31)))*Parameters!$B$3))^12)*100)</f>
        <v/>
      </c>
      <c r="CB31" s="25">
        <f>IF(AD31=1,0,BV31-(1-(1-(1/(1+EXP(-(BT31-BJ31)))*Parameters!$B$3))^12)*100)</f>
        <v/>
      </c>
      <c r="CC31" s="25">
        <f>IF(AD31=1,0,BV31-(1-(1-(1/(1+EXP(-(BT31-BK31)))*Parameters!$B$3))^12)*100)</f>
        <v/>
      </c>
      <c r="CD31" s="25">
        <f>IF(AD31=1,0,BV31-(1-(1-(1/(1+EXP(-(BT31-BL31)))*Parameters!$B$3))^12)*100)</f>
        <v/>
      </c>
      <c r="CE31" s="25">
        <f>IF(AD31=1,0,BV31-(1-(1-(1/(1+EXP(-(BT31-BM31)))*Parameters!$B$3))^12)*100)</f>
        <v/>
      </c>
      <c r="CF31" s="25">
        <f>IF(AD31=1,0,BV31-(1-(1-(1/(1+EXP(-(BT31-BN31)))*Parameters!$B$3))^12)*100)</f>
        <v/>
      </c>
      <c r="CG31" s="25">
        <f>IF(AD31=1,0,BV31-(1-(1-(1/(1+EXP(-(BT31-BO31)))*Parameters!$B$3))^12)*100)</f>
        <v/>
      </c>
      <c r="CH31" s="25">
        <f>IF(AD31=1,0,BV31-(1-(1-(1/(1+EXP(-(BT31-BP31)))*Parameters!$B$3))^12)*100)</f>
        <v/>
      </c>
      <c r="CI31" s="25">
        <f>IF(AD31=1,0,BV31-(1-(1-(1/(1+EXP(-(BT31-BQ31)))*Parameters!$B$3))^12)*100)</f>
        <v/>
      </c>
      <c r="CJ31" s="25">
        <f>IF(AD31=1,0,BV31-(1-(1-(1/(1+EXP(-(BT31-BR31)))*Parameters!$B$3))^12)*100)</f>
        <v/>
      </c>
    </row>
    <row r="32">
      <c r="A32" s="17" t="inlineStr">
        <is>
          <t>GNR_2024_NEW</t>
        </is>
      </c>
      <c r="B32" s="17" t="inlineStr">
        <is>
          <t>3618A2B41</t>
        </is>
      </c>
      <c r="C32" s="17" t="inlineStr">
        <is>
          <t>PN</t>
        </is>
      </c>
      <c r="D32" s="17" t="inlineStr">
        <is>
          <t>FIRST AMERICAN CAPITAL GROUP CORPORATION</t>
        </is>
      </c>
      <c r="E32" s="17" t="inlineStr">
        <is>
          <t>3618A2B41_000000008122066</t>
        </is>
      </c>
      <c r="F32" s="17" t="n">
        <v>202603</v>
      </c>
      <c r="G32" s="18" t="n">
        <v>6.09</v>
      </c>
      <c r="H32" s="19" t="n">
        <v>16753678.05</v>
      </c>
      <c r="I32" s="17" t="n">
        <v>419</v>
      </c>
      <c r="J32" s="17" t="n">
        <v>20250114</v>
      </c>
      <c r="K32" s="17" t="n">
        <v>20600701</v>
      </c>
      <c r="L32" s="17" t="n"/>
      <c r="M32" s="17" t="n">
        <v>20350801</v>
      </c>
      <c r="N32" s="17" t="n">
        <v>10</v>
      </c>
      <c r="O32" s="17" t="inlineStr">
        <is>
          <t>232/223(f)</t>
        </is>
      </c>
      <c r="P32" s="17" t="n"/>
      <c r="Q32" s="17" t="n"/>
      <c r="R32" s="17" t="n"/>
      <c r="S32" s="17" t="n"/>
      <c r="T32" s="17" t="inlineStr">
        <is>
          <t>TN</t>
        </is>
      </c>
      <c r="U32" s="17" t="n">
        <v>128</v>
      </c>
      <c r="V32" s="17" t="n">
        <v>490.5</v>
      </c>
      <c r="W32" s="17" t="n">
        <v>14</v>
      </c>
      <c r="X32" s="17" t="n">
        <v>2025</v>
      </c>
      <c r="Y32" s="17" t="n">
        <v>27</v>
      </c>
      <c r="Z32" s="17" t="n">
        <v>10</v>
      </c>
      <c r="AA32" s="20">
        <f>IF(ISNUMBER(W32),W32,IFERROR(MAX(0,(VALUE(LEFT(F32,4))-VALUE(LEFT(TEXT(J32,"00000000"),4)))*12+(VALUE(MID(F32,5,2))-VALUE(MID(TEXT(J32,"00000000"),5,2)))),""))</f>
        <v/>
      </c>
      <c r="AB32" s="20">
        <f>IFERROR((VALUE(LEFT(TEXT(K32,"00000000"),4))-VALUE(LEFT(F32,4)))*12+(VALUE(MID(TEXT(K32,"00000000"),5,2))-VALUE(MID(F32,5,2))),"")</f>
        <v/>
      </c>
      <c r="AC32" s="20">
        <f>IF(OR(L32="",NOT(ISNUMBER(L32))),0,MAX(0,MIN(60,(VALUE(LEFT(F32,4))-VALUE(LEFT(TEXT(L32,"00000000"),4)))*12+(VALUE(MID(F32,5,2))-VALUE(MID(TEXT(L32,"00000000"),5,2))))))</f>
        <v/>
      </c>
      <c r="AD32" s="20">
        <f>IF(OR(L32="",NOT(ISNUMBER(L32))),0,IF(VALUE(F32)&lt;VALUE(LEFT(TEXT(L32,"00000000"),6)),1,0))</f>
        <v/>
      </c>
      <c r="AE32" s="20">
        <f>IF(OR(M32="",NOT(ISNUMBER(M32))),0,IF(VALUE(F32)&lt;VALUE(LEFT(TEXT(M32,"00000000"),6)),1,0))</f>
        <v/>
      </c>
      <c r="AF32" s="20">
        <f>IF(AND(AD32=0,AE32=0),1,0)</f>
        <v/>
      </c>
      <c r="AG32" s="20">
        <f>IF(ISNUMBER(X32),X32,IFERROR(VALUE(LEFT(TEXT(J32,"00000000"),4)),""))</f>
        <v/>
      </c>
      <c r="AH32" s="20">
        <f>IFERROR(XLOOKUP(AG32,Vintage_Rates!$A$2:$A$1000,Vintage_Rates!$B$2:$B$1000,""),"")</f>
        <v/>
      </c>
      <c r="AI32" s="20">
        <f>IF(ISNUMBER(Y32),Y32,IFERROR((G32-AH32)*100,""))</f>
        <v/>
      </c>
      <c r="AJ32" s="20">
        <f>IF(ISNUMBER(V32),V32,IFERROR(XLOOKUP(VALUE(F32),PLC_Rates!$A$2:$A$1000,PLC_Rates!$B$2:$B$1000,""),""))</f>
        <v/>
      </c>
      <c r="AK32" s="20">
        <f>IF(ISNUMBER(Z32),Z32,IF(AE32=0,0,MAX(0,MIN(10,((VALUE(LEFT(TEXT(M32,"00000000"),4))-VALUE(LEFT(F32,4)))*12+(VALUE(MID(TEXT(M32,"00000000"),5,2))-VALUE(MID(F32,5,2))))/12))))</f>
        <v/>
      </c>
      <c r="AL32" s="20">
        <f>IFERROR(G32*100-AJ32,"")</f>
        <v/>
      </c>
      <c r="AM32" s="20">
        <f>IFERROR(G32*100-(AJ32+(1+AK32)*12.5),"")</f>
        <v/>
      </c>
      <c r="AN32" s="21">
        <f>IFERROR(MIN(H32/1000000,100),"")</f>
        <v/>
      </c>
      <c r="AO32" s="20">
        <f>IFERROR(INDEX(FHA_Lookup!$B$2:$B$11,MATCH(TRUE,ISNUMBER(SEARCH(FHA_Lookup!$A$2:$A$11,UPPER(SUBSTITUTE(O32," ","")))),0)),"OTHER")</f>
        <v/>
      </c>
      <c r="AP32" s="20">
        <f>IFERROR(INDEX(FHA_Lookup!$C$2:$C$11,MATCH(TRUE,ISNUMBER(SEARCH(FHA_Lookup!$A$2:$A$11,UPPER(SUBSTITUTE(O32," ","")))),0)),"OTHER")</f>
        <v/>
      </c>
      <c r="AQ32" s="20">
        <f>IF(AP32="NC",1,0)</f>
        <v/>
      </c>
      <c r="AR32" s="20">
        <f>IF(UPPER(TRIM(P32))="AFF",1,0)</f>
        <v/>
      </c>
      <c r="AS32" s="20">
        <f>IF(UPPER(TRIM(P32))="BAF",1,0)</f>
        <v/>
      </c>
      <c r="AT32" s="20">
        <f>IF(UPPER(TRIM(P32))="MKT",1,0)</f>
        <v/>
      </c>
      <c r="AU32" s="20">
        <f>IF(AO32="221d4",1,0)</f>
        <v/>
      </c>
      <c r="AV32" s="20">
        <f>IF(AO32="223a7",1,0)</f>
        <v/>
      </c>
      <c r="AW32" s="20">
        <f>IF(AO32="232",1,0)</f>
        <v/>
      </c>
      <c r="AX32" s="20">
        <f>IF(AO32="538",1,0)</f>
        <v/>
      </c>
      <c r="AY32" s="20">
        <f>IF(AO32="241",1,0)</f>
        <v/>
      </c>
      <c r="AZ32" s="20">
        <f>IF(AO32="220",1,0)</f>
        <v/>
      </c>
      <c r="BA32" s="20">
        <f>IF(AO32="OTHER",1,0)</f>
        <v/>
      </c>
      <c r="BB32" s="20">
        <f>IF(UPPER(TRIM(C32))="LM",1,0)</f>
        <v/>
      </c>
      <c r="BC32" s="20">
        <f>IF(UPPER(TRIM(C32))="PN",1,0)</f>
        <v/>
      </c>
      <c r="BD32" s="20">
        <f>IF(UPPER(TRIM(C32))="LS",1,0)</f>
        <v/>
      </c>
      <c r="BE32" s="20">
        <f>IF(UPPER(TRIM(C32))="RX",1,0)</f>
        <v/>
      </c>
      <c r="BF32" s="22">
        <f>IFERROR((Parameters!$C$6*AM32+Parameters!$C$7*MAX(AM32-(-150),0)+Parameters!$C$8*MAX(AM32-(-50),0)+Parameters!$C$9*MAX(AM32-(0),0)+Parameters!$C$10*MAX(AM32-(50),0)+Parameters!$C$11*MAX(AM32-(100),0)+Parameters!$C$12*MAX(AM32-(150),0)+Parameters!$C$13*MAX(AM32-(250),0)),0)</f>
        <v/>
      </c>
      <c r="BG32" s="22">
        <f>IFERROR((Parameters!$C$14*AA32+Parameters!$C$15*MAX(AA32-(12),0)+Parameters!$C$16*MAX(AA32-(36),0)+Parameters!$C$17*MAX(AA32-(60),0)+Parameters!$C$18*MAX(AA32-(84),0)+Parameters!$C$19*MAX(AA32-(120),0)+Parameters!$C$20*MAX(AA32-(180),0)),0)</f>
        <v/>
      </c>
      <c r="BH32" s="22">
        <f>IFERROR((Parameters!$C$21*AK32+Parameters!$C$22*MAX(AK32-(0),0)+Parameters!$C$23*MAX(AK32-(2),0)+Parameters!$C$24*MAX(AK32-(5),0)+Parameters!$C$25*MAX(AK32-(8),0)),0)</f>
        <v/>
      </c>
      <c r="BI32" s="22">
        <f>IFERROR((Parameters!$C$26*AI32+Parameters!$C$27*MAX(AI32-(-100),0)+Parameters!$C$28*MAX(AI32-(-25),0)+Parameters!$C$29*MAX(AI32-(25),0)+Parameters!$C$30*MAX(AI32-(100),0)),0)</f>
        <v/>
      </c>
      <c r="BJ32" s="22">
        <f>IFERROR((Parameters!$C$31*AN32+Parameters!$C$32*MAX(AN32-(2),0)+Parameters!$C$33*MAX(AN32-(10),0)+Parameters!$C$34*MAX(AN32-(25),0)),0)</f>
        <v/>
      </c>
      <c r="BK32" s="22">
        <f>IFERROR((Parameters!$C$35*AB32+Parameters!$C$36*MAX(AB32-(12),0)+Parameters!$C$37*MAX(AB32-(24),0)+Parameters!$C$38*MAX(AB32-(60),0)),0)</f>
        <v/>
      </c>
      <c r="BL32" s="22">
        <f>IFERROR((Parameters!$C$39*AC32+Parameters!$C$40*MAX(AC32-(6),0)+Parameters!$C$41*MAX(AC32-(12),0)+Parameters!$C$42*MAX(AC32-(24),0)),0)</f>
        <v/>
      </c>
      <c r="BM32" s="22">
        <f>IFERROR(Parameters!$C$43*(MAX(AM32,0)*MIN(MAX(AK32,0),10))/100,0)</f>
        <v/>
      </c>
      <c r="BN32" s="22">
        <f>Parameters!$C$44*AE32</f>
        <v/>
      </c>
      <c r="BO32" s="22">
        <f>Parameters!$C$45*AU32 + Parameters!$C$46*AV32 + Parameters!$C$47*AW32 + Parameters!$C$48*AX32 + Parameters!$C$49*AY32 + Parameters!$C$50*AZ32 + Parameters!$C$51*BA32</f>
        <v/>
      </c>
      <c r="BP32" s="22">
        <f>Parameters!$C$52*AQ32</f>
        <v/>
      </c>
      <c r="BQ32" s="22">
        <f>Parameters!$C$53*AR32+Parameters!$C$54*AS32+Parameters!$C$55*AT32</f>
        <v/>
      </c>
      <c r="BR32" s="22">
        <f>Parameters!$C$56*BB32+Parameters!$C$57*BC32+Parameters!$C$58*BD32+Parameters!$C$59*BE32</f>
        <v/>
      </c>
      <c r="BS32" s="23">
        <f>Parameters!$B$2</f>
        <v/>
      </c>
      <c r="BT32" s="23">
        <f>BS32+BF32 + BG32 + BH32 + BI32 + BJ32 + BK32 + BL32 + BM32 + BN32 + BO32 + BP32 + BQ32 + BR32</f>
        <v/>
      </c>
      <c r="BU32" s="24">
        <f>IF(AD32=1,0,1/(1+EXP(-BT32))*Parameters!$B$3)</f>
        <v/>
      </c>
      <c r="BV32" s="25">
        <f>(1-(1-BU32)^12)*100</f>
        <v/>
      </c>
      <c r="BW32" s="25">
        <f>IF(AD32=1,0,(1-(1-1/(1+EXP(-Parameters!$B$2)))^12)*100)</f>
        <v/>
      </c>
      <c r="BX32" s="25">
        <f>IF(AD32=1,0,BV32-(1-(1-(1/(1+EXP(-(BT32-BF32)))*Parameters!$B$3))^12)*100)</f>
        <v/>
      </c>
      <c r="BY32" s="25">
        <f>IF(AD32=1,0,BV32-(1-(1-(1/(1+EXP(-(BT32-BG32)))*Parameters!$B$3))^12)*100)</f>
        <v/>
      </c>
      <c r="BZ32" s="25">
        <f>IF(AD32=1,0,BV32-(1-(1-(1/(1+EXP(-(BT32-BH32)))*Parameters!$B$3))^12)*100)</f>
        <v/>
      </c>
      <c r="CA32" s="25">
        <f>IF(AD32=1,0,BV32-(1-(1-(1/(1+EXP(-(BT32-BI32)))*Parameters!$B$3))^12)*100)</f>
        <v/>
      </c>
      <c r="CB32" s="25">
        <f>IF(AD32=1,0,BV32-(1-(1-(1/(1+EXP(-(BT32-BJ32)))*Parameters!$B$3))^12)*100)</f>
        <v/>
      </c>
      <c r="CC32" s="25">
        <f>IF(AD32=1,0,BV32-(1-(1-(1/(1+EXP(-(BT32-BK32)))*Parameters!$B$3))^12)*100)</f>
        <v/>
      </c>
      <c r="CD32" s="25">
        <f>IF(AD32=1,0,BV32-(1-(1-(1/(1+EXP(-(BT32-BL32)))*Parameters!$B$3))^12)*100)</f>
        <v/>
      </c>
      <c r="CE32" s="25">
        <f>IF(AD32=1,0,BV32-(1-(1-(1/(1+EXP(-(BT32-BM32)))*Parameters!$B$3))^12)*100)</f>
        <v/>
      </c>
      <c r="CF32" s="25">
        <f>IF(AD32=1,0,BV32-(1-(1-(1/(1+EXP(-(BT32-BN32)))*Parameters!$B$3))^12)*100)</f>
        <v/>
      </c>
      <c r="CG32" s="25">
        <f>IF(AD32=1,0,BV32-(1-(1-(1/(1+EXP(-(BT32-BO32)))*Parameters!$B$3))^12)*100)</f>
        <v/>
      </c>
      <c r="CH32" s="25">
        <f>IF(AD32=1,0,BV32-(1-(1-(1/(1+EXP(-(BT32-BP32)))*Parameters!$B$3))^12)*100)</f>
        <v/>
      </c>
      <c r="CI32" s="25">
        <f>IF(AD32=1,0,BV32-(1-(1-(1/(1+EXP(-(BT32-BQ32)))*Parameters!$B$3))^12)*100)</f>
        <v/>
      </c>
      <c r="CJ32" s="25">
        <f>IF(AD32=1,0,BV32-(1-(1-(1/(1+EXP(-(BT32-BR32)))*Parameters!$B$3))^12)*100)</f>
        <v/>
      </c>
    </row>
    <row r="33">
      <c r="A33" s="17" t="inlineStr">
        <is>
          <t>GNR_2024_NEW</t>
        </is>
      </c>
      <c r="B33" s="17" t="inlineStr">
        <is>
          <t>3618JCGR4</t>
        </is>
      </c>
      <c r="C33" s="17" t="inlineStr">
        <is>
          <t>PN</t>
        </is>
      </c>
      <c r="D33" s="17" t="inlineStr">
        <is>
          <t>CENTENNIAL MORTGAGE, INC</t>
        </is>
      </c>
      <c r="E33" s="17" t="inlineStr">
        <is>
          <t>3618JCGR4_000000004211452</t>
        </is>
      </c>
      <c r="F33" s="17" t="n">
        <v>202603</v>
      </c>
      <c r="G33" s="18" t="n">
        <v>5.64</v>
      </c>
      <c r="H33" s="19" t="n">
        <v>5768690.88</v>
      </c>
      <c r="I33" s="17" t="n">
        <v>420</v>
      </c>
      <c r="J33" s="17" t="n">
        <v>20250403</v>
      </c>
      <c r="K33" s="17" t="n">
        <v>20600601</v>
      </c>
      <c r="L33" s="17" t="n"/>
      <c r="M33" s="17" t="n">
        <v>20350701</v>
      </c>
      <c r="N33" s="17" t="n">
        <v>10</v>
      </c>
      <c r="O33" s="17" t="inlineStr">
        <is>
          <t>207/223(F)</t>
        </is>
      </c>
      <c r="P33" s="17" t="n"/>
      <c r="Q33" s="17" t="n"/>
      <c r="R33" s="17" t="n"/>
      <c r="S33" s="17" t="n"/>
      <c r="T33" s="17" t="inlineStr">
        <is>
          <t>OH</t>
        </is>
      </c>
      <c r="U33" s="17" t="n">
        <v>79</v>
      </c>
      <c r="V33" s="17" t="n">
        <v>490.5</v>
      </c>
      <c r="W33" s="17" t="n">
        <v>11</v>
      </c>
      <c r="X33" s="17" t="n">
        <v>2025</v>
      </c>
      <c r="Y33" s="17" t="n">
        <v>-18</v>
      </c>
      <c r="Z33" s="17" t="n">
        <v>10</v>
      </c>
      <c r="AA33" s="20">
        <f>IF(ISNUMBER(W33),W33,IFERROR(MAX(0,(VALUE(LEFT(F33,4))-VALUE(LEFT(TEXT(J33,"00000000"),4)))*12+(VALUE(MID(F33,5,2))-VALUE(MID(TEXT(J33,"00000000"),5,2)))),""))</f>
        <v/>
      </c>
      <c r="AB33" s="20">
        <f>IFERROR((VALUE(LEFT(TEXT(K33,"00000000"),4))-VALUE(LEFT(F33,4)))*12+(VALUE(MID(TEXT(K33,"00000000"),5,2))-VALUE(MID(F33,5,2))),"")</f>
        <v/>
      </c>
      <c r="AC33" s="20">
        <f>IF(OR(L33="",NOT(ISNUMBER(L33))),0,MAX(0,MIN(60,(VALUE(LEFT(F33,4))-VALUE(LEFT(TEXT(L33,"00000000"),4)))*12+(VALUE(MID(F33,5,2))-VALUE(MID(TEXT(L33,"00000000"),5,2))))))</f>
        <v/>
      </c>
      <c r="AD33" s="20">
        <f>IF(OR(L33="",NOT(ISNUMBER(L33))),0,IF(VALUE(F33)&lt;VALUE(LEFT(TEXT(L33,"00000000"),6)),1,0))</f>
        <v/>
      </c>
      <c r="AE33" s="20">
        <f>IF(OR(M33="",NOT(ISNUMBER(M33))),0,IF(VALUE(F33)&lt;VALUE(LEFT(TEXT(M33,"00000000"),6)),1,0))</f>
        <v/>
      </c>
      <c r="AF33" s="20">
        <f>IF(AND(AD33=0,AE33=0),1,0)</f>
        <v/>
      </c>
      <c r="AG33" s="20">
        <f>IF(ISNUMBER(X33),X33,IFERROR(VALUE(LEFT(TEXT(J33,"00000000"),4)),""))</f>
        <v/>
      </c>
      <c r="AH33" s="20">
        <f>IFERROR(XLOOKUP(AG33,Vintage_Rates!$A$2:$A$1000,Vintage_Rates!$B$2:$B$1000,""),"")</f>
        <v/>
      </c>
      <c r="AI33" s="20">
        <f>IF(ISNUMBER(Y33),Y33,IFERROR((G33-AH33)*100,""))</f>
        <v/>
      </c>
      <c r="AJ33" s="20">
        <f>IF(ISNUMBER(V33),V33,IFERROR(XLOOKUP(VALUE(F33),PLC_Rates!$A$2:$A$1000,PLC_Rates!$B$2:$B$1000,""),""))</f>
        <v/>
      </c>
      <c r="AK33" s="20">
        <f>IF(ISNUMBER(Z33),Z33,IF(AE33=0,0,MAX(0,MIN(10,((VALUE(LEFT(TEXT(M33,"00000000"),4))-VALUE(LEFT(F33,4)))*12+(VALUE(MID(TEXT(M33,"00000000"),5,2))-VALUE(MID(F33,5,2))))/12))))</f>
        <v/>
      </c>
      <c r="AL33" s="20">
        <f>IFERROR(G33*100-AJ33,"")</f>
        <v/>
      </c>
      <c r="AM33" s="20">
        <f>IFERROR(G33*100-(AJ33+(1+AK33)*12.5),"")</f>
        <v/>
      </c>
      <c r="AN33" s="21">
        <f>IFERROR(MIN(H33/1000000,100),"")</f>
        <v/>
      </c>
      <c r="AO33" s="20">
        <f>IFERROR(INDEX(FHA_Lookup!$B$2:$B$11,MATCH(TRUE,ISNUMBER(SEARCH(FHA_Lookup!$A$2:$A$11,UPPER(SUBSTITUTE(O33," ","")))),0)),"OTHER")</f>
        <v/>
      </c>
      <c r="AP33" s="20">
        <f>IFERROR(INDEX(FHA_Lookup!$C$2:$C$11,MATCH(TRUE,ISNUMBER(SEARCH(FHA_Lookup!$A$2:$A$11,UPPER(SUBSTITUTE(O33," ","")))),0)),"OTHER")</f>
        <v/>
      </c>
      <c r="AQ33" s="20">
        <f>IF(AP33="NC",1,0)</f>
        <v/>
      </c>
      <c r="AR33" s="20">
        <f>IF(UPPER(TRIM(P33))="AFF",1,0)</f>
        <v/>
      </c>
      <c r="AS33" s="20">
        <f>IF(UPPER(TRIM(P33))="BAF",1,0)</f>
        <v/>
      </c>
      <c r="AT33" s="20">
        <f>IF(UPPER(TRIM(P33))="MKT",1,0)</f>
        <v/>
      </c>
      <c r="AU33" s="20">
        <f>IF(AO33="221d4",1,0)</f>
        <v/>
      </c>
      <c r="AV33" s="20">
        <f>IF(AO33="223a7",1,0)</f>
        <v/>
      </c>
      <c r="AW33" s="20">
        <f>IF(AO33="232",1,0)</f>
        <v/>
      </c>
      <c r="AX33" s="20">
        <f>IF(AO33="538",1,0)</f>
        <v/>
      </c>
      <c r="AY33" s="20">
        <f>IF(AO33="241",1,0)</f>
        <v/>
      </c>
      <c r="AZ33" s="20">
        <f>IF(AO33="220",1,0)</f>
        <v/>
      </c>
      <c r="BA33" s="20">
        <f>IF(AO33="OTHER",1,0)</f>
        <v/>
      </c>
      <c r="BB33" s="20">
        <f>IF(UPPER(TRIM(C33))="LM",1,0)</f>
        <v/>
      </c>
      <c r="BC33" s="20">
        <f>IF(UPPER(TRIM(C33))="PN",1,0)</f>
        <v/>
      </c>
      <c r="BD33" s="20">
        <f>IF(UPPER(TRIM(C33))="LS",1,0)</f>
        <v/>
      </c>
      <c r="BE33" s="20">
        <f>IF(UPPER(TRIM(C33))="RX",1,0)</f>
        <v/>
      </c>
      <c r="BF33" s="22">
        <f>IFERROR((Parameters!$C$6*AM33+Parameters!$C$7*MAX(AM33-(-150),0)+Parameters!$C$8*MAX(AM33-(-50),0)+Parameters!$C$9*MAX(AM33-(0),0)+Parameters!$C$10*MAX(AM33-(50),0)+Parameters!$C$11*MAX(AM33-(100),0)+Parameters!$C$12*MAX(AM33-(150),0)+Parameters!$C$13*MAX(AM33-(250),0)),0)</f>
        <v/>
      </c>
      <c r="BG33" s="22">
        <f>IFERROR((Parameters!$C$14*AA33+Parameters!$C$15*MAX(AA33-(12),0)+Parameters!$C$16*MAX(AA33-(36),0)+Parameters!$C$17*MAX(AA33-(60),0)+Parameters!$C$18*MAX(AA33-(84),0)+Parameters!$C$19*MAX(AA33-(120),0)+Parameters!$C$20*MAX(AA33-(180),0)),0)</f>
        <v/>
      </c>
      <c r="BH33" s="22">
        <f>IFERROR((Parameters!$C$21*AK33+Parameters!$C$22*MAX(AK33-(0),0)+Parameters!$C$23*MAX(AK33-(2),0)+Parameters!$C$24*MAX(AK33-(5),0)+Parameters!$C$25*MAX(AK33-(8),0)),0)</f>
        <v/>
      </c>
      <c r="BI33" s="22">
        <f>IFERROR((Parameters!$C$26*AI33+Parameters!$C$27*MAX(AI33-(-100),0)+Parameters!$C$28*MAX(AI33-(-25),0)+Parameters!$C$29*MAX(AI33-(25),0)+Parameters!$C$30*MAX(AI33-(100),0)),0)</f>
        <v/>
      </c>
      <c r="BJ33" s="22">
        <f>IFERROR((Parameters!$C$31*AN33+Parameters!$C$32*MAX(AN33-(2),0)+Parameters!$C$33*MAX(AN33-(10),0)+Parameters!$C$34*MAX(AN33-(25),0)),0)</f>
        <v/>
      </c>
      <c r="BK33" s="22">
        <f>IFERROR((Parameters!$C$35*AB33+Parameters!$C$36*MAX(AB33-(12),0)+Parameters!$C$37*MAX(AB33-(24),0)+Parameters!$C$38*MAX(AB33-(60),0)),0)</f>
        <v/>
      </c>
      <c r="BL33" s="22">
        <f>IFERROR((Parameters!$C$39*AC33+Parameters!$C$40*MAX(AC33-(6),0)+Parameters!$C$41*MAX(AC33-(12),0)+Parameters!$C$42*MAX(AC33-(24),0)),0)</f>
        <v/>
      </c>
      <c r="BM33" s="22">
        <f>IFERROR(Parameters!$C$43*(MAX(AM33,0)*MIN(MAX(AK33,0),10))/100,0)</f>
        <v/>
      </c>
      <c r="BN33" s="22">
        <f>Parameters!$C$44*AE33</f>
        <v/>
      </c>
      <c r="BO33" s="22">
        <f>Parameters!$C$45*AU33 + Parameters!$C$46*AV33 + Parameters!$C$47*AW33 + Parameters!$C$48*AX33 + Parameters!$C$49*AY33 + Parameters!$C$50*AZ33 + Parameters!$C$51*BA33</f>
        <v/>
      </c>
      <c r="BP33" s="22">
        <f>Parameters!$C$52*AQ33</f>
        <v/>
      </c>
      <c r="BQ33" s="22">
        <f>Parameters!$C$53*AR33+Parameters!$C$54*AS33+Parameters!$C$55*AT33</f>
        <v/>
      </c>
      <c r="BR33" s="22">
        <f>Parameters!$C$56*BB33+Parameters!$C$57*BC33+Parameters!$C$58*BD33+Parameters!$C$59*BE33</f>
        <v/>
      </c>
      <c r="BS33" s="23">
        <f>Parameters!$B$2</f>
        <v/>
      </c>
      <c r="BT33" s="23">
        <f>BS33+BF33 + BG33 + BH33 + BI33 + BJ33 + BK33 + BL33 + BM33 + BN33 + BO33 + BP33 + BQ33 + BR33</f>
        <v/>
      </c>
      <c r="BU33" s="24">
        <f>IF(AD33=1,0,1/(1+EXP(-BT33))*Parameters!$B$3)</f>
        <v/>
      </c>
      <c r="BV33" s="25">
        <f>(1-(1-BU33)^12)*100</f>
        <v/>
      </c>
      <c r="BW33" s="25">
        <f>IF(AD33=1,0,(1-(1-1/(1+EXP(-Parameters!$B$2)))^12)*100)</f>
        <v/>
      </c>
      <c r="BX33" s="25">
        <f>IF(AD33=1,0,BV33-(1-(1-(1/(1+EXP(-(BT33-BF33)))*Parameters!$B$3))^12)*100)</f>
        <v/>
      </c>
      <c r="BY33" s="25">
        <f>IF(AD33=1,0,BV33-(1-(1-(1/(1+EXP(-(BT33-BG33)))*Parameters!$B$3))^12)*100)</f>
        <v/>
      </c>
      <c r="BZ33" s="25">
        <f>IF(AD33=1,0,BV33-(1-(1-(1/(1+EXP(-(BT33-BH33)))*Parameters!$B$3))^12)*100)</f>
        <v/>
      </c>
      <c r="CA33" s="25">
        <f>IF(AD33=1,0,BV33-(1-(1-(1/(1+EXP(-(BT33-BI33)))*Parameters!$B$3))^12)*100)</f>
        <v/>
      </c>
      <c r="CB33" s="25">
        <f>IF(AD33=1,0,BV33-(1-(1-(1/(1+EXP(-(BT33-BJ33)))*Parameters!$B$3))^12)*100)</f>
        <v/>
      </c>
      <c r="CC33" s="25">
        <f>IF(AD33=1,0,BV33-(1-(1-(1/(1+EXP(-(BT33-BK33)))*Parameters!$B$3))^12)*100)</f>
        <v/>
      </c>
      <c r="CD33" s="25">
        <f>IF(AD33=1,0,BV33-(1-(1-(1/(1+EXP(-(BT33-BL33)))*Parameters!$B$3))^12)*100)</f>
        <v/>
      </c>
      <c r="CE33" s="25">
        <f>IF(AD33=1,0,BV33-(1-(1-(1/(1+EXP(-(BT33-BM33)))*Parameters!$B$3))^12)*100)</f>
        <v/>
      </c>
      <c r="CF33" s="25">
        <f>IF(AD33=1,0,BV33-(1-(1-(1/(1+EXP(-(BT33-BN33)))*Parameters!$B$3))^12)*100)</f>
        <v/>
      </c>
      <c r="CG33" s="25">
        <f>IF(AD33=1,0,BV33-(1-(1-(1/(1+EXP(-(BT33-BO33)))*Parameters!$B$3))^12)*100)</f>
        <v/>
      </c>
      <c r="CH33" s="25">
        <f>IF(AD33=1,0,BV33-(1-(1-(1/(1+EXP(-(BT33-BP33)))*Parameters!$B$3))^12)*100)</f>
        <v/>
      </c>
      <c r="CI33" s="25">
        <f>IF(AD33=1,0,BV33-(1-(1-(1/(1+EXP(-(BT33-BQ33)))*Parameters!$B$3))^12)*100)</f>
        <v/>
      </c>
      <c r="CJ33" s="25">
        <f>IF(AD33=1,0,BV33-(1-(1-(1/(1+EXP(-(BT33-BR33)))*Parameters!$B$3))^12)*100)</f>
        <v/>
      </c>
    </row>
    <row r="34">
      <c r="A34" s="17" t="inlineStr">
        <is>
          <t>GNR_2024_NEW</t>
        </is>
      </c>
      <c r="B34" s="17" t="inlineStr">
        <is>
          <t>3618B24K2</t>
        </is>
      </c>
      <c r="C34" s="17" t="inlineStr">
        <is>
          <t>PN</t>
        </is>
      </c>
      <c r="D34" s="17" t="inlineStr">
        <is>
          <t>REGIONS BANK</t>
        </is>
      </c>
      <c r="E34" s="17" t="inlineStr">
        <is>
          <t>3618B24K2_000000006322127</t>
        </is>
      </c>
      <c r="F34" s="17" t="n">
        <v>202603</v>
      </c>
      <c r="G34" s="18" t="n">
        <v>6.34</v>
      </c>
      <c r="H34" s="19" t="n">
        <v>7344488.87</v>
      </c>
      <c r="I34" s="17" t="n">
        <v>396</v>
      </c>
      <c r="J34" s="17" t="n">
        <v>20240515</v>
      </c>
      <c r="K34" s="17" t="n">
        <v>20570601</v>
      </c>
      <c r="L34" s="17" t="n"/>
      <c r="M34" s="17" t="n">
        <v>20340701</v>
      </c>
      <c r="N34" s="17" t="n">
        <v>10</v>
      </c>
      <c r="O34" s="17" t="inlineStr">
        <is>
          <t>232/223(F)</t>
        </is>
      </c>
      <c r="P34" s="17" t="inlineStr">
        <is>
          <t>MKT</t>
        </is>
      </c>
      <c r="Q34" s="17" t="n"/>
      <c r="R34" s="17" t="n"/>
      <c r="S34" s="17" t="n"/>
      <c r="T34" s="17" t="inlineStr">
        <is>
          <t>FL</t>
        </is>
      </c>
      <c r="U34" s="17" t="n">
        <v>53</v>
      </c>
      <c r="V34" s="17" t="n">
        <v>490.5</v>
      </c>
      <c r="W34" s="17" t="n">
        <v>22</v>
      </c>
      <c r="X34" s="17" t="n">
        <v>2024</v>
      </c>
      <c r="Y34" s="17" t="n">
        <v>56</v>
      </c>
      <c r="Z34" s="17" t="n">
        <v>10</v>
      </c>
      <c r="AA34" s="20">
        <f>IF(ISNUMBER(W34),W34,IFERROR(MAX(0,(VALUE(LEFT(F34,4))-VALUE(LEFT(TEXT(J34,"00000000"),4)))*12+(VALUE(MID(F34,5,2))-VALUE(MID(TEXT(J34,"00000000"),5,2)))),""))</f>
        <v/>
      </c>
      <c r="AB34" s="20">
        <f>IFERROR((VALUE(LEFT(TEXT(K34,"00000000"),4))-VALUE(LEFT(F34,4)))*12+(VALUE(MID(TEXT(K34,"00000000"),5,2))-VALUE(MID(F34,5,2))),"")</f>
        <v/>
      </c>
      <c r="AC34" s="20">
        <f>IF(OR(L34="",NOT(ISNUMBER(L34))),0,MAX(0,MIN(60,(VALUE(LEFT(F34,4))-VALUE(LEFT(TEXT(L34,"00000000"),4)))*12+(VALUE(MID(F34,5,2))-VALUE(MID(TEXT(L34,"00000000"),5,2))))))</f>
        <v/>
      </c>
      <c r="AD34" s="20">
        <f>IF(OR(L34="",NOT(ISNUMBER(L34))),0,IF(VALUE(F34)&lt;VALUE(LEFT(TEXT(L34,"00000000"),6)),1,0))</f>
        <v/>
      </c>
      <c r="AE34" s="20">
        <f>IF(OR(M34="",NOT(ISNUMBER(M34))),0,IF(VALUE(F34)&lt;VALUE(LEFT(TEXT(M34,"00000000"),6)),1,0))</f>
        <v/>
      </c>
      <c r="AF34" s="20">
        <f>IF(AND(AD34=0,AE34=0),1,0)</f>
        <v/>
      </c>
      <c r="AG34" s="20">
        <f>IF(ISNUMBER(X34),X34,IFERROR(VALUE(LEFT(TEXT(J34,"00000000"),4)),""))</f>
        <v/>
      </c>
      <c r="AH34" s="20">
        <f>IFERROR(XLOOKUP(AG34,Vintage_Rates!$A$2:$A$1000,Vintage_Rates!$B$2:$B$1000,""),"")</f>
        <v/>
      </c>
      <c r="AI34" s="20">
        <f>IF(ISNUMBER(Y34),Y34,IFERROR((G34-AH34)*100,""))</f>
        <v/>
      </c>
      <c r="AJ34" s="20">
        <f>IF(ISNUMBER(V34),V34,IFERROR(XLOOKUP(VALUE(F34),PLC_Rates!$A$2:$A$1000,PLC_Rates!$B$2:$B$1000,""),""))</f>
        <v/>
      </c>
      <c r="AK34" s="20">
        <f>IF(ISNUMBER(Z34),Z34,IF(AE34=0,0,MAX(0,MIN(10,((VALUE(LEFT(TEXT(M34,"00000000"),4))-VALUE(LEFT(F34,4)))*12+(VALUE(MID(TEXT(M34,"00000000"),5,2))-VALUE(MID(F34,5,2))))/12))))</f>
        <v/>
      </c>
      <c r="AL34" s="20">
        <f>IFERROR(G34*100-AJ34,"")</f>
        <v/>
      </c>
      <c r="AM34" s="20">
        <f>IFERROR(G34*100-(AJ34+(1+AK34)*12.5),"")</f>
        <v/>
      </c>
      <c r="AN34" s="21">
        <f>IFERROR(MIN(H34/1000000,100),"")</f>
        <v/>
      </c>
      <c r="AO34" s="20">
        <f>IFERROR(INDEX(FHA_Lookup!$B$2:$B$11,MATCH(TRUE,ISNUMBER(SEARCH(FHA_Lookup!$A$2:$A$11,UPPER(SUBSTITUTE(O34," ","")))),0)),"OTHER")</f>
        <v/>
      </c>
      <c r="AP34" s="20">
        <f>IFERROR(INDEX(FHA_Lookup!$C$2:$C$11,MATCH(TRUE,ISNUMBER(SEARCH(FHA_Lookup!$A$2:$A$11,UPPER(SUBSTITUTE(O34," ","")))),0)),"OTHER")</f>
        <v/>
      </c>
      <c r="AQ34" s="20">
        <f>IF(AP34="NC",1,0)</f>
        <v/>
      </c>
      <c r="AR34" s="20">
        <f>IF(UPPER(TRIM(P34))="AFF",1,0)</f>
        <v/>
      </c>
      <c r="AS34" s="20">
        <f>IF(UPPER(TRIM(P34))="BAF",1,0)</f>
        <v/>
      </c>
      <c r="AT34" s="20">
        <f>IF(UPPER(TRIM(P34))="MKT",1,0)</f>
        <v/>
      </c>
      <c r="AU34" s="20">
        <f>IF(AO34="221d4",1,0)</f>
        <v/>
      </c>
      <c r="AV34" s="20">
        <f>IF(AO34="223a7",1,0)</f>
        <v/>
      </c>
      <c r="AW34" s="20">
        <f>IF(AO34="232",1,0)</f>
        <v/>
      </c>
      <c r="AX34" s="20">
        <f>IF(AO34="538",1,0)</f>
        <v/>
      </c>
      <c r="AY34" s="20">
        <f>IF(AO34="241",1,0)</f>
        <v/>
      </c>
      <c r="AZ34" s="20">
        <f>IF(AO34="220",1,0)</f>
        <v/>
      </c>
      <c r="BA34" s="20">
        <f>IF(AO34="OTHER",1,0)</f>
        <v/>
      </c>
      <c r="BB34" s="20">
        <f>IF(UPPER(TRIM(C34))="LM",1,0)</f>
        <v/>
      </c>
      <c r="BC34" s="20">
        <f>IF(UPPER(TRIM(C34))="PN",1,0)</f>
        <v/>
      </c>
      <c r="BD34" s="20">
        <f>IF(UPPER(TRIM(C34))="LS",1,0)</f>
        <v/>
      </c>
      <c r="BE34" s="20">
        <f>IF(UPPER(TRIM(C34))="RX",1,0)</f>
        <v/>
      </c>
      <c r="BF34" s="22">
        <f>IFERROR((Parameters!$C$6*AM34+Parameters!$C$7*MAX(AM34-(-150),0)+Parameters!$C$8*MAX(AM34-(-50),0)+Parameters!$C$9*MAX(AM34-(0),0)+Parameters!$C$10*MAX(AM34-(50),0)+Parameters!$C$11*MAX(AM34-(100),0)+Parameters!$C$12*MAX(AM34-(150),0)+Parameters!$C$13*MAX(AM34-(250),0)),0)</f>
        <v/>
      </c>
      <c r="BG34" s="22">
        <f>IFERROR((Parameters!$C$14*AA34+Parameters!$C$15*MAX(AA34-(12),0)+Parameters!$C$16*MAX(AA34-(36),0)+Parameters!$C$17*MAX(AA34-(60),0)+Parameters!$C$18*MAX(AA34-(84),0)+Parameters!$C$19*MAX(AA34-(120),0)+Parameters!$C$20*MAX(AA34-(180),0)),0)</f>
        <v/>
      </c>
      <c r="BH34" s="22">
        <f>IFERROR((Parameters!$C$21*AK34+Parameters!$C$22*MAX(AK34-(0),0)+Parameters!$C$23*MAX(AK34-(2),0)+Parameters!$C$24*MAX(AK34-(5),0)+Parameters!$C$25*MAX(AK34-(8),0)),0)</f>
        <v/>
      </c>
      <c r="BI34" s="22">
        <f>IFERROR((Parameters!$C$26*AI34+Parameters!$C$27*MAX(AI34-(-100),0)+Parameters!$C$28*MAX(AI34-(-25),0)+Parameters!$C$29*MAX(AI34-(25),0)+Parameters!$C$30*MAX(AI34-(100),0)),0)</f>
        <v/>
      </c>
      <c r="BJ34" s="22">
        <f>IFERROR((Parameters!$C$31*AN34+Parameters!$C$32*MAX(AN34-(2),0)+Parameters!$C$33*MAX(AN34-(10),0)+Parameters!$C$34*MAX(AN34-(25),0)),0)</f>
        <v/>
      </c>
      <c r="BK34" s="22">
        <f>IFERROR((Parameters!$C$35*AB34+Parameters!$C$36*MAX(AB34-(12),0)+Parameters!$C$37*MAX(AB34-(24),0)+Parameters!$C$38*MAX(AB34-(60),0)),0)</f>
        <v/>
      </c>
      <c r="BL34" s="22">
        <f>IFERROR((Parameters!$C$39*AC34+Parameters!$C$40*MAX(AC34-(6),0)+Parameters!$C$41*MAX(AC34-(12),0)+Parameters!$C$42*MAX(AC34-(24),0)),0)</f>
        <v/>
      </c>
      <c r="BM34" s="22">
        <f>IFERROR(Parameters!$C$43*(MAX(AM34,0)*MIN(MAX(AK34,0),10))/100,0)</f>
        <v/>
      </c>
      <c r="BN34" s="22">
        <f>Parameters!$C$44*AE34</f>
        <v/>
      </c>
      <c r="BO34" s="22">
        <f>Parameters!$C$45*AU34 + Parameters!$C$46*AV34 + Parameters!$C$47*AW34 + Parameters!$C$48*AX34 + Parameters!$C$49*AY34 + Parameters!$C$50*AZ34 + Parameters!$C$51*BA34</f>
        <v/>
      </c>
      <c r="BP34" s="22">
        <f>Parameters!$C$52*AQ34</f>
        <v/>
      </c>
      <c r="BQ34" s="22">
        <f>Parameters!$C$53*AR34+Parameters!$C$54*AS34+Parameters!$C$55*AT34</f>
        <v/>
      </c>
      <c r="BR34" s="22">
        <f>Parameters!$C$56*BB34+Parameters!$C$57*BC34+Parameters!$C$58*BD34+Parameters!$C$59*BE34</f>
        <v/>
      </c>
      <c r="BS34" s="23">
        <f>Parameters!$B$2</f>
        <v/>
      </c>
      <c r="BT34" s="23">
        <f>BS34+BF34 + BG34 + BH34 + BI34 + BJ34 + BK34 + BL34 + BM34 + BN34 + BO34 + BP34 + BQ34 + BR34</f>
        <v/>
      </c>
      <c r="BU34" s="24">
        <f>IF(AD34=1,0,1/(1+EXP(-BT34))*Parameters!$B$3)</f>
        <v/>
      </c>
      <c r="BV34" s="25">
        <f>(1-(1-BU34)^12)*100</f>
        <v/>
      </c>
      <c r="BW34" s="25">
        <f>IF(AD34=1,0,(1-(1-1/(1+EXP(-Parameters!$B$2)))^12)*100)</f>
        <v/>
      </c>
      <c r="BX34" s="25">
        <f>IF(AD34=1,0,BV34-(1-(1-(1/(1+EXP(-(BT34-BF34)))*Parameters!$B$3))^12)*100)</f>
        <v/>
      </c>
      <c r="BY34" s="25">
        <f>IF(AD34=1,0,BV34-(1-(1-(1/(1+EXP(-(BT34-BG34)))*Parameters!$B$3))^12)*100)</f>
        <v/>
      </c>
      <c r="BZ34" s="25">
        <f>IF(AD34=1,0,BV34-(1-(1-(1/(1+EXP(-(BT34-BH34)))*Parameters!$B$3))^12)*100)</f>
        <v/>
      </c>
      <c r="CA34" s="25">
        <f>IF(AD34=1,0,BV34-(1-(1-(1/(1+EXP(-(BT34-BI34)))*Parameters!$B$3))^12)*100)</f>
        <v/>
      </c>
      <c r="CB34" s="25">
        <f>IF(AD34=1,0,BV34-(1-(1-(1/(1+EXP(-(BT34-BJ34)))*Parameters!$B$3))^12)*100)</f>
        <v/>
      </c>
      <c r="CC34" s="25">
        <f>IF(AD34=1,0,BV34-(1-(1-(1/(1+EXP(-(BT34-BK34)))*Parameters!$B$3))^12)*100)</f>
        <v/>
      </c>
      <c r="CD34" s="25">
        <f>IF(AD34=1,0,BV34-(1-(1-(1/(1+EXP(-(BT34-BL34)))*Parameters!$B$3))^12)*100)</f>
        <v/>
      </c>
      <c r="CE34" s="25">
        <f>IF(AD34=1,0,BV34-(1-(1-(1/(1+EXP(-(BT34-BM34)))*Parameters!$B$3))^12)*100)</f>
        <v/>
      </c>
      <c r="CF34" s="25">
        <f>IF(AD34=1,0,BV34-(1-(1-(1/(1+EXP(-(BT34-BN34)))*Parameters!$B$3))^12)*100)</f>
        <v/>
      </c>
      <c r="CG34" s="25">
        <f>IF(AD34=1,0,BV34-(1-(1-(1/(1+EXP(-(BT34-BO34)))*Parameters!$B$3))^12)*100)</f>
        <v/>
      </c>
      <c r="CH34" s="25">
        <f>IF(AD34=1,0,BV34-(1-(1-(1/(1+EXP(-(BT34-BP34)))*Parameters!$B$3))^12)*100)</f>
        <v/>
      </c>
      <c r="CI34" s="25">
        <f>IF(AD34=1,0,BV34-(1-(1-(1/(1+EXP(-(BT34-BQ34)))*Parameters!$B$3))^12)*100)</f>
        <v/>
      </c>
      <c r="CJ34" s="25">
        <f>IF(AD34=1,0,BV34-(1-(1-(1/(1+EXP(-(BT34-BR34)))*Parameters!$B$3))^12)*100)</f>
        <v/>
      </c>
    </row>
    <row r="35">
      <c r="A35" s="17" t="inlineStr">
        <is>
          <t>GNR_2024_NEW</t>
        </is>
      </c>
      <c r="B35" s="17" t="inlineStr">
        <is>
          <t>3618H6UY8</t>
        </is>
      </c>
      <c r="C35" s="17" t="inlineStr">
        <is>
          <t>PN</t>
        </is>
      </c>
      <c r="D35" s="17" t="inlineStr">
        <is>
          <t>VIUM CAPITAL MORTGAGE, LLC.</t>
        </is>
      </c>
      <c r="E35" s="17" t="inlineStr">
        <is>
          <t>3618H6UY8_000000004222444</t>
        </is>
      </c>
      <c r="F35" s="17" t="n">
        <v>202603</v>
      </c>
      <c r="G35" s="18" t="n">
        <v>5.95</v>
      </c>
      <c r="H35" s="19" t="n">
        <v>10578550.22</v>
      </c>
      <c r="I35" s="17" t="n">
        <v>420</v>
      </c>
      <c r="J35" s="17" t="n">
        <v>20250201</v>
      </c>
      <c r="K35" s="17" t="n">
        <v>20600301</v>
      </c>
      <c r="L35" s="17" t="n"/>
      <c r="M35" s="17" t="n">
        <v>20350401</v>
      </c>
      <c r="N35" s="17" t="n">
        <v>10</v>
      </c>
      <c r="O35" s="17" t="inlineStr">
        <is>
          <t>232/223(F)</t>
        </is>
      </c>
      <c r="P35" s="17" t="n"/>
      <c r="Q35" s="17" t="n"/>
      <c r="R35" s="17" t="n"/>
      <c r="S35" s="17" t="n"/>
      <c r="T35" s="17" t="inlineStr">
        <is>
          <t>OH</t>
        </is>
      </c>
      <c r="U35" s="17" t="n">
        <v>116</v>
      </c>
      <c r="V35" s="17" t="n">
        <v>490.5</v>
      </c>
      <c r="W35" s="17" t="n">
        <v>13</v>
      </c>
      <c r="X35" s="17" t="n">
        <v>2025</v>
      </c>
      <c r="Y35" s="17" t="n">
        <v>13</v>
      </c>
      <c r="Z35" s="17" t="n">
        <v>10</v>
      </c>
      <c r="AA35" s="20">
        <f>IF(ISNUMBER(W35),W35,IFERROR(MAX(0,(VALUE(LEFT(F35,4))-VALUE(LEFT(TEXT(J35,"00000000"),4)))*12+(VALUE(MID(F35,5,2))-VALUE(MID(TEXT(J35,"00000000"),5,2)))),""))</f>
        <v/>
      </c>
      <c r="AB35" s="20">
        <f>IFERROR((VALUE(LEFT(TEXT(K35,"00000000"),4))-VALUE(LEFT(F35,4)))*12+(VALUE(MID(TEXT(K35,"00000000"),5,2))-VALUE(MID(F35,5,2))),"")</f>
        <v/>
      </c>
      <c r="AC35" s="20">
        <f>IF(OR(L35="",NOT(ISNUMBER(L35))),0,MAX(0,MIN(60,(VALUE(LEFT(F35,4))-VALUE(LEFT(TEXT(L35,"00000000"),4)))*12+(VALUE(MID(F35,5,2))-VALUE(MID(TEXT(L35,"00000000"),5,2))))))</f>
        <v/>
      </c>
      <c r="AD35" s="20">
        <f>IF(OR(L35="",NOT(ISNUMBER(L35))),0,IF(VALUE(F35)&lt;VALUE(LEFT(TEXT(L35,"00000000"),6)),1,0))</f>
        <v/>
      </c>
      <c r="AE35" s="20">
        <f>IF(OR(M35="",NOT(ISNUMBER(M35))),0,IF(VALUE(F35)&lt;VALUE(LEFT(TEXT(M35,"00000000"),6)),1,0))</f>
        <v/>
      </c>
      <c r="AF35" s="20">
        <f>IF(AND(AD35=0,AE35=0),1,0)</f>
        <v/>
      </c>
      <c r="AG35" s="20">
        <f>IF(ISNUMBER(X35),X35,IFERROR(VALUE(LEFT(TEXT(J35,"00000000"),4)),""))</f>
        <v/>
      </c>
      <c r="AH35" s="20">
        <f>IFERROR(XLOOKUP(AG35,Vintage_Rates!$A$2:$A$1000,Vintage_Rates!$B$2:$B$1000,""),"")</f>
        <v/>
      </c>
      <c r="AI35" s="20">
        <f>IF(ISNUMBER(Y35),Y35,IFERROR((G35-AH35)*100,""))</f>
        <v/>
      </c>
      <c r="AJ35" s="20">
        <f>IF(ISNUMBER(V35),V35,IFERROR(XLOOKUP(VALUE(F35),PLC_Rates!$A$2:$A$1000,PLC_Rates!$B$2:$B$1000,""),""))</f>
        <v/>
      </c>
      <c r="AK35" s="20">
        <f>IF(ISNUMBER(Z35),Z35,IF(AE35=0,0,MAX(0,MIN(10,((VALUE(LEFT(TEXT(M35,"00000000"),4))-VALUE(LEFT(F35,4)))*12+(VALUE(MID(TEXT(M35,"00000000"),5,2))-VALUE(MID(F35,5,2))))/12))))</f>
        <v/>
      </c>
      <c r="AL35" s="20">
        <f>IFERROR(G35*100-AJ35,"")</f>
        <v/>
      </c>
      <c r="AM35" s="20">
        <f>IFERROR(G35*100-(AJ35+(1+AK35)*12.5),"")</f>
        <v/>
      </c>
      <c r="AN35" s="21">
        <f>IFERROR(MIN(H35/1000000,100),"")</f>
        <v/>
      </c>
      <c r="AO35" s="20">
        <f>IFERROR(INDEX(FHA_Lookup!$B$2:$B$11,MATCH(TRUE,ISNUMBER(SEARCH(FHA_Lookup!$A$2:$A$11,UPPER(SUBSTITUTE(O35," ","")))),0)),"OTHER")</f>
        <v/>
      </c>
      <c r="AP35" s="20">
        <f>IFERROR(INDEX(FHA_Lookup!$C$2:$C$11,MATCH(TRUE,ISNUMBER(SEARCH(FHA_Lookup!$A$2:$A$11,UPPER(SUBSTITUTE(O35," ","")))),0)),"OTHER")</f>
        <v/>
      </c>
      <c r="AQ35" s="20">
        <f>IF(AP35="NC",1,0)</f>
        <v/>
      </c>
      <c r="AR35" s="20">
        <f>IF(UPPER(TRIM(P35))="AFF",1,0)</f>
        <v/>
      </c>
      <c r="AS35" s="20">
        <f>IF(UPPER(TRIM(P35))="BAF",1,0)</f>
        <v/>
      </c>
      <c r="AT35" s="20">
        <f>IF(UPPER(TRIM(P35))="MKT",1,0)</f>
        <v/>
      </c>
      <c r="AU35" s="20">
        <f>IF(AO35="221d4",1,0)</f>
        <v/>
      </c>
      <c r="AV35" s="20">
        <f>IF(AO35="223a7",1,0)</f>
        <v/>
      </c>
      <c r="AW35" s="20">
        <f>IF(AO35="232",1,0)</f>
        <v/>
      </c>
      <c r="AX35" s="20">
        <f>IF(AO35="538",1,0)</f>
        <v/>
      </c>
      <c r="AY35" s="20">
        <f>IF(AO35="241",1,0)</f>
        <v/>
      </c>
      <c r="AZ35" s="20">
        <f>IF(AO35="220",1,0)</f>
        <v/>
      </c>
      <c r="BA35" s="20">
        <f>IF(AO35="OTHER",1,0)</f>
        <v/>
      </c>
      <c r="BB35" s="20">
        <f>IF(UPPER(TRIM(C35))="LM",1,0)</f>
        <v/>
      </c>
      <c r="BC35" s="20">
        <f>IF(UPPER(TRIM(C35))="PN",1,0)</f>
        <v/>
      </c>
      <c r="BD35" s="20">
        <f>IF(UPPER(TRIM(C35))="LS",1,0)</f>
        <v/>
      </c>
      <c r="BE35" s="20">
        <f>IF(UPPER(TRIM(C35))="RX",1,0)</f>
        <v/>
      </c>
      <c r="BF35" s="22">
        <f>IFERROR((Parameters!$C$6*AM35+Parameters!$C$7*MAX(AM35-(-150),0)+Parameters!$C$8*MAX(AM35-(-50),0)+Parameters!$C$9*MAX(AM35-(0),0)+Parameters!$C$10*MAX(AM35-(50),0)+Parameters!$C$11*MAX(AM35-(100),0)+Parameters!$C$12*MAX(AM35-(150),0)+Parameters!$C$13*MAX(AM35-(250),0)),0)</f>
        <v/>
      </c>
      <c r="BG35" s="22">
        <f>IFERROR((Parameters!$C$14*AA35+Parameters!$C$15*MAX(AA35-(12),0)+Parameters!$C$16*MAX(AA35-(36),0)+Parameters!$C$17*MAX(AA35-(60),0)+Parameters!$C$18*MAX(AA35-(84),0)+Parameters!$C$19*MAX(AA35-(120),0)+Parameters!$C$20*MAX(AA35-(180),0)),0)</f>
        <v/>
      </c>
      <c r="BH35" s="22">
        <f>IFERROR((Parameters!$C$21*AK35+Parameters!$C$22*MAX(AK35-(0),0)+Parameters!$C$23*MAX(AK35-(2),0)+Parameters!$C$24*MAX(AK35-(5),0)+Parameters!$C$25*MAX(AK35-(8),0)),0)</f>
        <v/>
      </c>
      <c r="BI35" s="22">
        <f>IFERROR((Parameters!$C$26*AI35+Parameters!$C$27*MAX(AI35-(-100),0)+Parameters!$C$28*MAX(AI35-(-25),0)+Parameters!$C$29*MAX(AI35-(25),0)+Parameters!$C$30*MAX(AI35-(100),0)),0)</f>
        <v/>
      </c>
      <c r="BJ35" s="22">
        <f>IFERROR((Parameters!$C$31*AN35+Parameters!$C$32*MAX(AN35-(2),0)+Parameters!$C$33*MAX(AN35-(10),0)+Parameters!$C$34*MAX(AN35-(25),0)),0)</f>
        <v/>
      </c>
      <c r="BK35" s="22">
        <f>IFERROR((Parameters!$C$35*AB35+Parameters!$C$36*MAX(AB35-(12),0)+Parameters!$C$37*MAX(AB35-(24),0)+Parameters!$C$38*MAX(AB35-(60),0)),0)</f>
        <v/>
      </c>
      <c r="BL35" s="22">
        <f>IFERROR((Parameters!$C$39*AC35+Parameters!$C$40*MAX(AC35-(6),0)+Parameters!$C$41*MAX(AC35-(12),0)+Parameters!$C$42*MAX(AC35-(24),0)),0)</f>
        <v/>
      </c>
      <c r="BM35" s="22">
        <f>IFERROR(Parameters!$C$43*(MAX(AM35,0)*MIN(MAX(AK35,0),10))/100,0)</f>
        <v/>
      </c>
      <c r="BN35" s="22">
        <f>Parameters!$C$44*AE35</f>
        <v/>
      </c>
      <c r="BO35" s="22">
        <f>Parameters!$C$45*AU35 + Parameters!$C$46*AV35 + Parameters!$C$47*AW35 + Parameters!$C$48*AX35 + Parameters!$C$49*AY35 + Parameters!$C$50*AZ35 + Parameters!$C$51*BA35</f>
        <v/>
      </c>
      <c r="BP35" s="22">
        <f>Parameters!$C$52*AQ35</f>
        <v/>
      </c>
      <c r="BQ35" s="22">
        <f>Parameters!$C$53*AR35+Parameters!$C$54*AS35+Parameters!$C$55*AT35</f>
        <v/>
      </c>
      <c r="BR35" s="22">
        <f>Parameters!$C$56*BB35+Parameters!$C$57*BC35+Parameters!$C$58*BD35+Parameters!$C$59*BE35</f>
        <v/>
      </c>
      <c r="BS35" s="23">
        <f>Parameters!$B$2</f>
        <v/>
      </c>
      <c r="BT35" s="23">
        <f>BS35+BF35 + BG35 + BH35 + BI35 + BJ35 + BK35 + BL35 + BM35 + BN35 + BO35 + BP35 + BQ35 + BR35</f>
        <v/>
      </c>
      <c r="BU35" s="24">
        <f>IF(AD35=1,0,1/(1+EXP(-BT35))*Parameters!$B$3)</f>
        <v/>
      </c>
      <c r="BV35" s="25">
        <f>(1-(1-BU35)^12)*100</f>
        <v/>
      </c>
      <c r="BW35" s="25">
        <f>IF(AD35=1,0,(1-(1-1/(1+EXP(-Parameters!$B$2)))^12)*100)</f>
        <v/>
      </c>
      <c r="BX35" s="25">
        <f>IF(AD35=1,0,BV35-(1-(1-(1/(1+EXP(-(BT35-BF35)))*Parameters!$B$3))^12)*100)</f>
        <v/>
      </c>
      <c r="BY35" s="25">
        <f>IF(AD35=1,0,BV35-(1-(1-(1/(1+EXP(-(BT35-BG35)))*Parameters!$B$3))^12)*100)</f>
        <v/>
      </c>
      <c r="BZ35" s="25">
        <f>IF(AD35=1,0,BV35-(1-(1-(1/(1+EXP(-(BT35-BH35)))*Parameters!$B$3))^12)*100)</f>
        <v/>
      </c>
      <c r="CA35" s="25">
        <f>IF(AD35=1,0,BV35-(1-(1-(1/(1+EXP(-(BT35-BI35)))*Parameters!$B$3))^12)*100)</f>
        <v/>
      </c>
      <c r="CB35" s="25">
        <f>IF(AD35=1,0,BV35-(1-(1-(1/(1+EXP(-(BT35-BJ35)))*Parameters!$B$3))^12)*100)</f>
        <v/>
      </c>
      <c r="CC35" s="25">
        <f>IF(AD35=1,0,BV35-(1-(1-(1/(1+EXP(-(BT35-BK35)))*Parameters!$B$3))^12)*100)</f>
        <v/>
      </c>
      <c r="CD35" s="25">
        <f>IF(AD35=1,0,BV35-(1-(1-(1/(1+EXP(-(BT35-BL35)))*Parameters!$B$3))^12)*100)</f>
        <v/>
      </c>
      <c r="CE35" s="25">
        <f>IF(AD35=1,0,BV35-(1-(1-(1/(1+EXP(-(BT35-BM35)))*Parameters!$B$3))^12)*100)</f>
        <v/>
      </c>
      <c r="CF35" s="25">
        <f>IF(AD35=1,0,BV35-(1-(1-(1/(1+EXP(-(BT35-BN35)))*Parameters!$B$3))^12)*100)</f>
        <v/>
      </c>
      <c r="CG35" s="25">
        <f>IF(AD35=1,0,BV35-(1-(1-(1/(1+EXP(-(BT35-BO35)))*Parameters!$B$3))^12)*100)</f>
        <v/>
      </c>
      <c r="CH35" s="25">
        <f>IF(AD35=1,0,BV35-(1-(1-(1/(1+EXP(-(BT35-BP35)))*Parameters!$B$3))^12)*100)</f>
        <v/>
      </c>
      <c r="CI35" s="25">
        <f>IF(AD35=1,0,BV35-(1-(1-(1/(1+EXP(-(BT35-BQ35)))*Parameters!$B$3))^12)*100)</f>
        <v/>
      </c>
      <c r="CJ35" s="25">
        <f>IF(AD35=1,0,BV35-(1-(1-(1/(1+EXP(-(BT35-BR35)))*Parameters!$B$3))^12)*100)</f>
        <v/>
      </c>
    </row>
    <row r="36">
      <c r="A36" s="17" t="inlineStr">
        <is>
          <t>GNR_2024_NEW</t>
        </is>
      </c>
      <c r="B36" s="17" t="inlineStr">
        <is>
          <t>3618V5GR5</t>
        </is>
      </c>
      <c r="C36" s="17" t="inlineStr">
        <is>
          <t>PN</t>
        </is>
      </c>
      <c r="D36" s="17" t="inlineStr">
        <is>
          <t>MERCHANTS CAPITAL CORP.</t>
        </is>
      </c>
      <c r="E36" s="17" t="inlineStr">
        <is>
          <t>3618V5GR5_000000008611148</t>
        </is>
      </c>
      <c r="F36" s="17" t="n">
        <v>202603</v>
      </c>
      <c r="G36" s="18" t="n">
        <v>5.48</v>
      </c>
      <c r="H36" s="19" t="n">
        <v>1420076.69</v>
      </c>
      <c r="I36" s="17" t="n">
        <v>420</v>
      </c>
      <c r="J36" s="17" t="n">
        <v>20260101</v>
      </c>
      <c r="K36" s="17" t="n">
        <v>20610201</v>
      </c>
      <c r="L36" s="17" t="n"/>
      <c r="M36" s="17" t="n">
        <v>20360301</v>
      </c>
      <c r="N36" s="17" t="n">
        <v>10</v>
      </c>
      <c r="O36" s="17" t="inlineStr">
        <is>
          <t>207/223(F)</t>
        </is>
      </c>
      <c r="P36" s="17" t="n"/>
      <c r="Q36" s="17" t="n"/>
      <c r="R36" s="17" t="n"/>
      <c r="S36" s="17" t="n"/>
      <c r="T36" s="17" t="inlineStr">
        <is>
          <t>TN</t>
        </is>
      </c>
      <c r="U36" s="17" t="n">
        <v>50</v>
      </c>
      <c r="V36" s="17" t="n">
        <v>490.5</v>
      </c>
      <c r="W36" s="17" t="n">
        <v>2</v>
      </c>
      <c r="X36" s="17" t="n">
        <v>2026</v>
      </c>
      <c r="Y36" s="17" t="n">
        <v>7</v>
      </c>
      <c r="Z36" s="17" t="n">
        <v>10</v>
      </c>
      <c r="AA36" s="20">
        <f>IF(ISNUMBER(W36),W36,IFERROR(MAX(0,(VALUE(LEFT(F36,4))-VALUE(LEFT(TEXT(J36,"00000000"),4)))*12+(VALUE(MID(F36,5,2))-VALUE(MID(TEXT(J36,"00000000"),5,2)))),""))</f>
        <v/>
      </c>
      <c r="AB36" s="20">
        <f>IFERROR((VALUE(LEFT(TEXT(K36,"00000000"),4))-VALUE(LEFT(F36,4)))*12+(VALUE(MID(TEXT(K36,"00000000"),5,2))-VALUE(MID(F36,5,2))),"")</f>
        <v/>
      </c>
      <c r="AC36" s="20">
        <f>IF(OR(L36="",NOT(ISNUMBER(L36))),0,MAX(0,MIN(60,(VALUE(LEFT(F36,4))-VALUE(LEFT(TEXT(L36,"00000000"),4)))*12+(VALUE(MID(F36,5,2))-VALUE(MID(TEXT(L36,"00000000"),5,2))))))</f>
        <v/>
      </c>
      <c r="AD36" s="20">
        <f>IF(OR(L36="",NOT(ISNUMBER(L36))),0,IF(VALUE(F36)&lt;VALUE(LEFT(TEXT(L36,"00000000"),6)),1,0))</f>
        <v/>
      </c>
      <c r="AE36" s="20">
        <f>IF(OR(M36="",NOT(ISNUMBER(M36))),0,IF(VALUE(F36)&lt;VALUE(LEFT(TEXT(M36,"00000000"),6)),1,0))</f>
        <v/>
      </c>
      <c r="AF36" s="20">
        <f>IF(AND(AD36=0,AE36=0),1,0)</f>
        <v/>
      </c>
      <c r="AG36" s="20">
        <f>IF(ISNUMBER(X36),X36,IFERROR(VALUE(LEFT(TEXT(J36,"00000000"),4)),""))</f>
        <v/>
      </c>
      <c r="AH36" s="20">
        <f>IFERROR(XLOOKUP(AG36,Vintage_Rates!$A$2:$A$1000,Vintage_Rates!$B$2:$B$1000,""),"")</f>
        <v/>
      </c>
      <c r="AI36" s="20">
        <f>IF(ISNUMBER(Y36),Y36,IFERROR((G36-AH36)*100,""))</f>
        <v/>
      </c>
      <c r="AJ36" s="20">
        <f>IF(ISNUMBER(V36),V36,IFERROR(XLOOKUP(VALUE(F36),PLC_Rates!$A$2:$A$1000,PLC_Rates!$B$2:$B$1000,""),""))</f>
        <v/>
      </c>
      <c r="AK36" s="20">
        <f>IF(ISNUMBER(Z36),Z36,IF(AE36=0,0,MAX(0,MIN(10,((VALUE(LEFT(TEXT(M36,"00000000"),4))-VALUE(LEFT(F36,4)))*12+(VALUE(MID(TEXT(M36,"00000000"),5,2))-VALUE(MID(F36,5,2))))/12))))</f>
        <v/>
      </c>
      <c r="AL36" s="20">
        <f>IFERROR(G36*100-AJ36,"")</f>
        <v/>
      </c>
      <c r="AM36" s="20">
        <f>IFERROR(G36*100-(AJ36+(1+AK36)*12.5),"")</f>
        <v/>
      </c>
      <c r="AN36" s="21">
        <f>IFERROR(MIN(H36/1000000,100),"")</f>
        <v/>
      </c>
      <c r="AO36" s="20">
        <f>IFERROR(INDEX(FHA_Lookup!$B$2:$B$11,MATCH(TRUE,ISNUMBER(SEARCH(FHA_Lookup!$A$2:$A$11,UPPER(SUBSTITUTE(O36," ","")))),0)),"OTHER")</f>
        <v/>
      </c>
      <c r="AP36" s="20">
        <f>IFERROR(INDEX(FHA_Lookup!$C$2:$C$11,MATCH(TRUE,ISNUMBER(SEARCH(FHA_Lookup!$A$2:$A$11,UPPER(SUBSTITUTE(O36," ","")))),0)),"OTHER")</f>
        <v/>
      </c>
      <c r="AQ36" s="20">
        <f>IF(AP36="NC",1,0)</f>
        <v/>
      </c>
      <c r="AR36" s="20">
        <f>IF(UPPER(TRIM(P36))="AFF",1,0)</f>
        <v/>
      </c>
      <c r="AS36" s="20">
        <f>IF(UPPER(TRIM(P36))="BAF",1,0)</f>
        <v/>
      </c>
      <c r="AT36" s="20">
        <f>IF(UPPER(TRIM(P36))="MKT",1,0)</f>
        <v/>
      </c>
      <c r="AU36" s="20">
        <f>IF(AO36="221d4",1,0)</f>
        <v/>
      </c>
      <c r="AV36" s="20">
        <f>IF(AO36="223a7",1,0)</f>
        <v/>
      </c>
      <c r="AW36" s="20">
        <f>IF(AO36="232",1,0)</f>
        <v/>
      </c>
      <c r="AX36" s="20">
        <f>IF(AO36="538",1,0)</f>
        <v/>
      </c>
      <c r="AY36" s="20">
        <f>IF(AO36="241",1,0)</f>
        <v/>
      </c>
      <c r="AZ36" s="20">
        <f>IF(AO36="220",1,0)</f>
        <v/>
      </c>
      <c r="BA36" s="20">
        <f>IF(AO36="OTHER",1,0)</f>
        <v/>
      </c>
      <c r="BB36" s="20">
        <f>IF(UPPER(TRIM(C36))="LM",1,0)</f>
        <v/>
      </c>
      <c r="BC36" s="20">
        <f>IF(UPPER(TRIM(C36))="PN",1,0)</f>
        <v/>
      </c>
      <c r="BD36" s="20">
        <f>IF(UPPER(TRIM(C36))="LS",1,0)</f>
        <v/>
      </c>
      <c r="BE36" s="20">
        <f>IF(UPPER(TRIM(C36))="RX",1,0)</f>
        <v/>
      </c>
      <c r="BF36" s="22">
        <f>IFERROR((Parameters!$C$6*AM36+Parameters!$C$7*MAX(AM36-(-150),0)+Parameters!$C$8*MAX(AM36-(-50),0)+Parameters!$C$9*MAX(AM36-(0),0)+Parameters!$C$10*MAX(AM36-(50),0)+Parameters!$C$11*MAX(AM36-(100),0)+Parameters!$C$12*MAX(AM36-(150),0)+Parameters!$C$13*MAX(AM36-(250),0)),0)</f>
        <v/>
      </c>
      <c r="BG36" s="22">
        <f>IFERROR((Parameters!$C$14*AA36+Parameters!$C$15*MAX(AA36-(12),0)+Parameters!$C$16*MAX(AA36-(36),0)+Parameters!$C$17*MAX(AA36-(60),0)+Parameters!$C$18*MAX(AA36-(84),0)+Parameters!$C$19*MAX(AA36-(120),0)+Parameters!$C$20*MAX(AA36-(180),0)),0)</f>
        <v/>
      </c>
      <c r="BH36" s="22">
        <f>IFERROR((Parameters!$C$21*AK36+Parameters!$C$22*MAX(AK36-(0),0)+Parameters!$C$23*MAX(AK36-(2),0)+Parameters!$C$24*MAX(AK36-(5),0)+Parameters!$C$25*MAX(AK36-(8),0)),0)</f>
        <v/>
      </c>
      <c r="BI36" s="22">
        <f>IFERROR((Parameters!$C$26*AI36+Parameters!$C$27*MAX(AI36-(-100),0)+Parameters!$C$28*MAX(AI36-(-25),0)+Parameters!$C$29*MAX(AI36-(25),0)+Parameters!$C$30*MAX(AI36-(100),0)),0)</f>
        <v/>
      </c>
      <c r="BJ36" s="22">
        <f>IFERROR((Parameters!$C$31*AN36+Parameters!$C$32*MAX(AN36-(2),0)+Parameters!$C$33*MAX(AN36-(10),0)+Parameters!$C$34*MAX(AN36-(25),0)),0)</f>
        <v/>
      </c>
      <c r="BK36" s="22">
        <f>IFERROR((Parameters!$C$35*AB36+Parameters!$C$36*MAX(AB36-(12),0)+Parameters!$C$37*MAX(AB36-(24),0)+Parameters!$C$38*MAX(AB36-(60),0)),0)</f>
        <v/>
      </c>
      <c r="BL36" s="22">
        <f>IFERROR((Parameters!$C$39*AC36+Parameters!$C$40*MAX(AC36-(6),0)+Parameters!$C$41*MAX(AC36-(12),0)+Parameters!$C$42*MAX(AC36-(24),0)),0)</f>
        <v/>
      </c>
      <c r="BM36" s="22">
        <f>IFERROR(Parameters!$C$43*(MAX(AM36,0)*MIN(MAX(AK36,0),10))/100,0)</f>
        <v/>
      </c>
      <c r="BN36" s="22">
        <f>Parameters!$C$44*AE36</f>
        <v/>
      </c>
      <c r="BO36" s="22">
        <f>Parameters!$C$45*AU36 + Parameters!$C$46*AV36 + Parameters!$C$47*AW36 + Parameters!$C$48*AX36 + Parameters!$C$49*AY36 + Parameters!$C$50*AZ36 + Parameters!$C$51*BA36</f>
        <v/>
      </c>
      <c r="BP36" s="22">
        <f>Parameters!$C$52*AQ36</f>
        <v/>
      </c>
      <c r="BQ36" s="22">
        <f>Parameters!$C$53*AR36+Parameters!$C$54*AS36+Parameters!$C$55*AT36</f>
        <v/>
      </c>
      <c r="BR36" s="22">
        <f>Parameters!$C$56*BB36+Parameters!$C$57*BC36+Parameters!$C$58*BD36+Parameters!$C$59*BE36</f>
        <v/>
      </c>
      <c r="BS36" s="23">
        <f>Parameters!$B$2</f>
        <v/>
      </c>
      <c r="BT36" s="23">
        <f>BS36+BF36 + BG36 + BH36 + BI36 + BJ36 + BK36 + BL36 + BM36 + BN36 + BO36 + BP36 + BQ36 + BR36</f>
        <v/>
      </c>
      <c r="BU36" s="24">
        <f>IF(AD36=1,0,1/(1+EXP(-BT36))*Parameters!$B$3)</f>
        <v/>
      </c>
      <c r="BV36" s="25">
        <f>(1-(1-BU36)^12)*100</f>
        <v/>
      </c>
      <c r="BW36" s="25">
        <f>IF(AD36=1,0,(1-(1-1/(1+EXP(-Parameters!$B$2)))^12)*100)</f>
        <v/>
      </c>
      <c r="BX36" s="25">
        <f>IF(AD36=1,0,BV36-(1-(1-(1/(1+EXP(-(BT36-BF36)))*Parameters!$B$3))^12)*100)</f>
        <v/>
      </c>
      <c r="BY36" s="25">
        <f>IF(AD36=1,0,BV36-(1-(1-(1/(1+EXP(-(BT36-BG36)))*Parameters!$B$3))^12)*100)</f>
        <v/>
      </c>
      <c r="BZ36" s="25">
        <f>IF(AD36=1,0,BV36-(1-(1-(1/(1+EXP(-(BT36-BH36)))*Parameters!$B$3))^12)*100)</f>
        <v/>
      </c>
      <c r="CA36" s="25">
        <f>IF(AD36=1,0,BV36-(1-(1-(1/(1+EXP(-(BT36-BI36)))*Parameters!$B$3))^12)*100)</f>
        <v/>
      </c>
      <c r="CB36" s="25">
        <f>IF(AD36=1,0,BV36-(1-(1-(1/(1+EXP(-(BT36-BJ36)))*Parameters!$B$3))^12)*100)</f>
        <v/>
      </c>
      <c r="CC36" s="25">
        <f>IF(AD36=1,0,BV36-(1-(1-(1/(1+EXP(-(BT36-BK36)))*Parameters!$B$3))^12)*100)</f>
        <v/>
      </c>
      <c r="CD36" s="25">
        <f>IF(AD36=1,0,BV36-(1-(1-(1/(1+EXP(-(BT36-BL36)))*Parameters!$B$3))^12)*100)</f>
        <v/>
      </c>
      <c r="CE36" s="25">
        <f>IF(AD36=1,0,BV36-(1-(1-(1/(1+EXP(-(BT36-BM36)))*Parameters!$B$3))^12)*100)</f>
        <v/>
      </c>
      <c r="CF36" s="25">
        <f>IF(AD36=1,0,BV36-(1-(1-(1/(1+EXP(-(BT36-BN36)))*Parameters!$B$3))^12)*100)</f>
        <v/>
      </c>
      <c r="CG36" s="25">
        <f>IF(AD36=1,0,BV36-(1-(1-(1/(1+EXP(-(BT36-BO36)))*Parameters!$B$3))^12)*100)</f>
        <v/>
      </c>
      <c r="CH36" s="25">
        <f>IF(AD36=1,0,BV36-(1-(1-(1/(1+EXP(-(BT36-BP36)))*Parameters!$B$3))^12)*100)</f>
        <v/>
      </c>
      <c r="CI36" s="25">
        <f>IF(AD36=1,0,BV36-(1-(1-(1/(1+EXP(-(BT36-BQ36)))*Parameters!$B$3))^12)*100)</f>
        <v/>
      </c>
      <c r="CJ36" s="25">
        <f>IF(AD36=1,0,BV36-(1-(1-(1/(1+EXP(-(BT36-BR36)))*Parameters!$B$3))^12)*100)</f>
        <v/>
      </c>
    </row>
    <row r="37">
      <c r="A37" s="17" t="inlineStr">
        <is>
          <t>GNR_2024_NEW</t>
        </is>
      </c>
      <c r="B37" s="17" t="inlineStr">
        <is>
          <t>3618KU4Q7</t>
        </is>
      </c>
      <c r="C37" s="17" t="inlineStr">
        <is>
          <t>PN</t>
        </is>
      </c>
      <c r="D37" s="17" t="inlineStr">
        <is>
          <t>DWIGHT CAPITAL LLC</t>
        </is>
      </c>
      <c r="E37" s="17" t="inlineStr">
        <is>
          <t>3618KU4Q7_000000011411636</t>
        </is>
      </c>
      <c r="F37" s="17" t="n">
        <v>202603</v>
      </c>
      <c r="G37" s="18" t="n">
        <v>4.78</v>
      </c>
      <c r="H37" s="19" t="n">
        <v>58721596.89</v>
      </c>
      <c r="I37" s="17" t="n">
        <v>420</v>
      </c>
      <c r="J37" s="17" t="n">
        <v>20250801</v>
      </c>
      <c r="K37" s="17" t="n">
        <v>20600901</v>
      </c>
      <c r="L37" s="17" t="n"/>
      <c r="M37" s="17" t="n">
        <v>20351001</v>
      </c>
      <c r="N37" s="17" t="n">
        <v>10</v>
      </c>
      <c r="O37" s="17" t="inlineStr">
        <is>
          <t>207/223(F)</t>
        </is>
      </c>
      <c r="P37" s="17" t="n"/>
      <c r="Q37" s="17" t="n"/>
      <c r="R37" s="17" t="n"/>
      <c r="S37" s="17" t="n"/>
      <c r="T37" s="17" t="inlineStr">
        <is>
          <t>TX</t>
        </is>
      </c>
      <c r="U37" s="17" t="n">
        <v>423</v>
      </c>
      <c r="V37" s="17" t="n">
        <v>490.5</v>
      </c>
      <c r="W37" s="17" t="n">
        <v>7</v>
      </c>
      <c r="X37" s="17" t="n">
        <v>2025</v>
      </c>
      <c r="Y37" s="17" t="n">
        <v>-104</v>
      </c>
      <c r="Z37" s="17" t="n">
        <v>0</v>
      </c>
      <c r="AA37" s="20">
        <f>IF(ISNUMBER(W37),W37,IFERROR(MAX(0,(VALUE(LEFT(F37,4))-VALUE(LEFT(TEXT(J37,"00000000"),4)))*12+(VALUE(MID(F37,5,2))-VALUE(MID(TEXT(J37,"00000000"),5,2)))),""))</f>
        <v/>
      </c>
      <c r="AB37" s="20">
        <f>IFERROR((VALUE(LEFT(TEXT(K37,"00000000"),4))-VALUE(LEFT(F37,4)))*12+(VALUE(MID(TEXT(K37,"00000000"),5,2))-VALUE(MID(F37,5,2))),"")</f>
        <v/>
      </c>
      <c r="AC37" s="20">
        <f>IF(OR(L37="",NOT(ISNUMBER(L37))),0,MAX(0,MIN(60,(VALUE(LEFT(F37,4))-VALUE(LEFT(TEXT(L37,"00000000"),4)))*12+(VALUE(MID(F37,5,2))-VALUE(MID(TEXT(L37,"00000000"),5,2))))))</f>
        <v/>
      </c>
      <c r="AD37" s="20">
        <f>IF(OR(L37="",NOT(ISNUMBER(L37))),0,IF(VALUE(F37)&lt;VALUE(LEFT(TEXT(L37,"00000000"),6)),1,0))</f>
        <v/>
      </c>
      <c r="AE37" s="20">
        <f>IF(OR(M37="",NOT(ISNUMBER(M37))),0,IF(VALUE(F37)&lt;VALUE(LEFT(TEXT(M37,"00000000"),6)),1,0))</f>
        <v/>
      </c>
      <c r="AF37" s="20">
        <f>IF(AND(AD37=0,AE37=0),1,0)</f>
        <v/>
      </c>
      <c r="AG37" s="20">
        <f>IF(ISNUMBER(X37),X37,IFERROR(VALUE(LEFT(TEXT(J37,"00000000"),4)),""))</f>
        <v/>
      </c>
      <c r="AH37" s="20">
        <f>IFERROR(XLOOKUP(AG37,Vintage_Rates!$A$2:$A$1000,Vintage_Rates!$B$2:$B$1000,""),"")</f>
        <v/>
      </c>
      <c r="AI37" s="20">
        <f>IF(ISNUMBER(Y37),Y37,IFERROR((G37-AH37)*100,""))</f>
        <v/>
      </c>
      <c r="AJ37" s="20">
        <f>IF(ISNUMBER(V37),V37,IFERROR(XLOOKUP(VALUE(F37),PLC_Rates!$A$2:$A$1000,PLC_Rates!$B$2:$B$1000,""),""))</f>
        <v/>
      </c>
      <c r="AK37" s="20">
        <f>IF(ISNUMBER(Z37),Z37,IF(AE37=0,0,MAX(0,MIN(10,((VALUE(LEFT(TEXT(M37,"00000000"),4))-VALUE(LEFT(F37,4)))*12+(VALUE(MID(TEXT(M37,"00000000"),5,2))-VALUE(MID(F37,5,2))))/12))))</f>
        <v/>
      </c>
      <c r="AL37" s="20">
        <f>IFERROR(G37*100-AJ37,"")</f>
        <v/>
      </c>
      <c r="AM37" s="20">
        <f>IFERROR(G37*100-(AJ37+(1+AK37)*12.5),"")</f>
        <v/>
      </c>
      <c r="AN37" s="21">
        <f>IFERROR(MIN(H37/1000000,100),"")</f>
        <v/>
      </c>
      <c r="AO37" s="20">
        <f>IFERROR(INDEX(FHA_Lookup!$B$2:$B$11,MATCH(TRUE,ISNUMBER(SEARCH(FHA_Lookup!$A$2:$A$11,UPPER(SUBSTITUTE(O37," ","")))),0)),"OTHER")</f>
        <v/>
      </c>
      <c r="AP37" s="20">
        <f>IFERROR(INDEX(FHA_Lookup!$C$2:$C$11,MATCH(TRUE,ISNUMBER(SEARCH(FHA_Lookup!$A$2:$A$11,UPPER(SUBSTITUTE(O37," ","")))),0)),"OTHER")</f>
        <v/>
      </c>
      <c r="AQ37" s="20">
        <f>IF(AP37="NC",1,0)</f>
        <v/>
      </c>
      <c r="AR37" s="20">
        <f>IF(UPPER(TRIM(P37))="AFF",1,0)</f>
        <v/>
      </c>
      <c r="AS37" s="20">
        <f>IF(UPPER(TRIM(P37))="BAF",1,0)</f>
        <v/>
      </c>
      <c r="AT37" s="20">
        <f>IF(UPPER(TRIM(P37))="MKT",1,0)</f>
        <v/>
      </c>
      <c r="AU37" s="20">
        <f>IF(AO37="221d4",1,0)</f>
        <v/>
      </c>
      <c r="AV37" s="20">
        <f>IF(AO37="223a7",1,0)</f>
        <v/>
      </c>
      <c r="AW37" s="20">
        <f>IF(AO37="232",1,0)</f>
        <v/>
      </c>
      <c r="AX37" s="20">
        <f>IF(AO37="538",1,0)</f>
        <v/>
      </c>
      <c r="AY37" s="20">
        <f>IF(AO37="241",1,0)</f>
        <v/>
      </c>
      <c r="AZ37" s="20">
        <f>IF(AO37="220",1,0)</f>
        <v/>
      </c>
      <c r="BA37" s="20">
        <f>IF(AO37="OTHER",1,0)</f>
        <v/>
      </c>
      <c r="BB37" s="20">
        <f>IF(UPPER(TRIM(C37))="LM",1,0)</f>
        <v/>
      </c>
      <c r="BC37" s="20">
        <f>IF(UPPER(TRIM(C37))="PN",1,0)</f>
        <v/>
      </c>
      <c r="BD37" s="20">
        <f>IF(UPPER(TRIM(C37))="LS",1,0)</f>
        <v/>
      </c>
      <c r="BE37" s="20">
        <f>IF(UPPER(TRIM(C37))="RX",1,0)</f>
        <v/>
      </c>
      <c r="BF37" s="22">
        <f>IFERROR((Parameters!$C$6*AM37+Parameters!$C$7*MAX(AM37-(-150),0)+Parameters!$C$8*MAX(AM37-(-50),0)+Parameters!$C$9*MAX(AM37-(0),0)+Parameters!$C$10*MAX(AM37-(50),0)+Parameters!$C$11*MAX(AM37-(100),0)+Parameters!$C$12*MAX(AM37-(150),0)+Parameters!$C$13*MAX(AM37-(250),0)),0)</f>
        <v/>
      </c>
      <c r="BG37" s="22">
        <f>IFERROR((Parameters!$C$14*AA37+Parameters!$C$15*MAX(AA37-(12),0)+Parameters!$C$16*MAX(AA37-(36),0)+Parameters!$C$17*MAX(AA37-(60),0)+Parameters!$C$18*MAX(AA37-(84),0)+Parameters!$C$19*MAX(AA37-(120),0)+Parameters!$C$20*MAX(AA37-(180),0)),0)</f>
        <v/>
      </c>
      <c r="BH37" s="22">
        <f>IFERROR((Parameters!$C$21*AK37+Parameters!$C$22*MAX(AK37-(0),0)+Parameters!$C$23*MAX(AK37-(2),0)+Parameters!$C$24*MAX(AK37-(5),0)+Parameters!$C$25*MAX(AK37-(8),0)),0)</f>
        <v/>
      </c>
      <c r="BI37" s="22">
        <f>IFERROR((Parameters!$C$26*AI37+Parameters!$C$27*MAX(AI37-(-100),0)+Parameters!$C$28*MAX(AI37-(-25),0)+Parameters!$C$29*MAX(AI37-(25),0)+Parameters!$C$30*MAX(AI37-(100),0)),0)</f>
        <v/>
      </c>
      <c r="BJ37" s="22">
        <f>IFERROR((Parameters!$C$31*AN37+Parameters!$C$32*MAX(AN37-(2),0)+Parameters!$C$33*MAX(AN37-(10),0)+Parameters!$C$34*MAX(AN37-(25),0)),0)</f>
        <v/>
      </c>
      <c r="BK37" s="22">
        <f>IFERROR((Parameters!$C$35*AB37+Parameters!$C$36*MAX(AB37-(12),0)+Parameters!$C$37*MAX(AB37-(24),0)+Parameters!$C$38*MAX(AB37-(60),0)),0)</f>
        <v/>
      </c>
      <c r="BL37" s="22">
        <f>IFERROR((Parameters!$C$39*AC37+Parameters!$C$40*MAX(AC37-(6),0)+Parameters!$C$41*MAX(AC37-(12),0)+Parameters!$C$42*MAX(AC37-(24),0)),0)</f>
        <v/>
      </c>
      <c r="BM37" s="22">
        <f>IFERROR(Parameters!$C$43*(MAX(AM37,0)*MIN(MAX(AK37,0),10))/100,0)</f>
        <v/>
      </c>
      <c r="BN37" s="22">
        <f>Parameters!$C$44*AE37</f>
        <v/>
      </c>
      <c r="BO37" s="22">
        <f>Parameters!$C$45*AU37 + Parameters!$C$46*AV37 + Parameters!$C$47*AW37 + Parameters!$C$48*AX37 + Parameters!$C$49*AY37 + Parameters!$C$50*AZ37 + Parameters!$C$51*BA37</f>
        <v/>
      </c>
      <c r="BP37" s="22">
        <f>Parameters!$C$52*AQ37</f>
        <v/>
      </c>
      <c r="BQ37" s="22">
        <f>Parameters!$C$53*AR37+Parameters!$C$54*AS37+Parameters!$C$55*AT37</f>
        <v/>
      </c>
      <c r="BR37" s="22">
        <f>Parameters!$C$56*BB37+Parameters!$C$57*BC37+Parameters!$C$58*BD37+Parameters!$C$59*BE37</f>
        <v/>
      </c>
      <c r="BS37" s="23">
        <f>Parameters!$B$2</f>
        <v/>
      </c>
      <c r="BT37" s="23">
        <f>BS37+BF37 + BG37 + BH37 + BI37 + BJ37 + BK37 + BL37 + BM37 + BN37 + BO37 + BP37 + BQ37 + BR37</f>
        <v/>
      </c>
      <c r="BU37" s="24">
        <f>IF(AD37=1,0,1/(1+EXP(-BT37))*Parameters!$B$3)</f>
        <v/>
      </c>
      <c r="BV37" s="25">
        <f>(1-(1-BU37)^12)*100</f>
        <v/>
      </c>
      <c r="BW37" s="25">
        <f>IF(AD37=1,0,(1-(1-1/(1+EXP(-Parameters!$B$2)))^12)*100)</f>
        <v/>
      </c>
      <c r="BX37" s="25">
        <f>IF(AD37=1,0,BV37-(1-(1-(1/(1+EXP(-(BT37-BF37)))*Parameters!$B$3))^12)*100)</f>
        <v/>
      </c>
      <c r="BY37" s="25">
        <f>IF(AD37=1,0,BV37-(1-(1-(1/(1+EXP(-(BT37-BG37)))*Parameters!$B$3))^12)*100)</f>
        <v/>
      </c>
      <c r="BZ37" s="25">
        <f>IF(AD37=1,0,BV37-(1-(1-(1/(1+EXP(-(BT37-BH37)))*Parameters!$B$3))^12)*100)</f>
        <v/>
      </c>
      <c r="CA37" s="25">
        <f>IF(AD37=1,0,BV37-(1-(1-(1/(1+EXP(-(BT37-BI37)))*Parameters!$B$3))^12)*100)</f>
        <v/>
      </c>
      <c r="CB37" s="25">
        <f>IF(AD37=1,0,BV37-(1-(1-(1/(1+EXP(-(BT37-BJ37)))*Parameters!$B$3))^12)*100)</f>
        <v/>
      </c>
      <c r="CC37" s="25">
        <f>IF(AD37=1,0,BV37-(1-(1-(1/(1+EXP(-(BT37-BK37)))*Parameters!$B$3))^12)*100)</f>
        <v/>
      </c>
      <c r="CD37" s="25">
        <f>IF(AD37=1,0,BV37-(1-(1-(1/(1+EXP(-(BT37-BL37)))*Parameters!$B$3))^12)*100)</f>
        <v/>
      </c>
      <c r="CE37" s="25">
        <f>IF(AD37=1,0,BV37-(1-(1-(1/(1+EXP(-(BT37-BM37)))*Parameters!$B$3))^12)*100)</f>
        <v/>
      </c>
      <c r="CF37" s="25">
        <f>IF(AD37=1,0,BV37-(1-(1-(1/(1+EXP(-(BT37-BN37)))*Parameters!$B$3))^12)*100)</f>
        <v/>
      </c>
      <c r="CG37" s="25">
        <f>IF(AD37=1,0,BV37-(1-(1-(1/(1+EXP(-(BT37-BO37)))*Parameters!$B$3))^12)*100)</f>
        <v/>
      </c>
      <c r="CH37" s="25">
        <f>IF(AD37=1,0,BV37-(1-(1-(1/(1+EXP(-(BT37-BP37)))*Parameters!$B$3))^12)*100)</f>
        <v/>
      </c>
      <c r="CI37" s="25">
        <f>IF(AD37=1,0,BV37-(1-(1-(1/(1+EXP(-(BT37-BQ37)))*Parameters!$B$3))^12)*100)</f>
        <v/>
      </c>
      <c r="CJ37" s="25">
        <f>IF(AD37=1,0,BV37-(1-(1-(1/(1+EXP(-(BT37-BR37)))*Parameters!$B$3))^12)*100)</f>
        <v/>
      </c>
    </row>
    <row r="38">
      <c r="A38" s="17" t="inlineStr">
        <is>
          <t>GNR_2024_NEW</t>
        </is>
      </c>
      <c r="B38" s="17" t="inlineStr">
        <is>
          <t>3618B2CJ6</t>
        </is>
      </c>
      <c r="C38" s="17" t="inlineStr">
        <is>
          <t>PN</t>
        </is>
      </c>
      <c r="D38" s="17" t="inlineStr">
        <is>
          <t>NEWPOINT REAL ESTATE CAPITAL LLC</t>
        </is>
      </c>
      <c r="E38" s="17" t="inlineStr">
        <is>
          <t>3618B2CJ6_000000008322110</t>
        </is>
      </c>
      <c r="F38" s="17" t="n">
        <v>202603</v>
      </c>
      <c r="G38" s="18" t="n">
        <v>5.29</v>
      </c>
      <c r="H38" s="19" t="n">
        <v>5723628.45</v>
      </c>
      <c r="I38" s="17" t="n">
        <v>420</v>
      </c>
      <c r="J38" s="17" t="n">
        <v>20230518</v>
      </c>
      <c r="K38" s="17" t="n">
        <v>20580601</v>
      </c>
      <c r="L38" s="17" t="n"/>
      <c r="M38" s="17" t="n">
        <v>20330630</v>
      </c>
      <c r="N38" s="17" t="n">
        <v>10</v>
      </c>
      <c r="O38" s="17" t="inlineStr">
        <is>
          <t>232/223(F)</t>
        </is>
      </c>
      <c r="P38" s="17" t="inlineStr">
        <is>
          <t>MKT</t>
        </is>
      </c>
      <c r="Q38" s="17" t="n"/>
      <c r="R38" s="17" t="n"/>
      <c r="S38" s="17" t="n"/>
      <c r="T38" s="17" t="inlineStr">
        <is>
          <t>KY</t>
        </is>
      </c>
      <c r="U38" s="17" t="n">
        <v>28</v>
      </c>
      <c r="V38" s="17" t="n">
        <v>490.5</v>
      </c>
      <c r="W38" s="17" t="n">
        <v>34</v>
      </c>
      <c r="X38" s="17" t="n">
        <v>2023</v>
      </c>
      <c r="Y38" s="17" t="n">
        <v>-29.5</v>
      </c>
      <c r="Z38" s="17" t="n">
        <v>8</v>
      </c>
      <c r="AA38" s="20">
        <f>IF(ISNUMBER(W38),W38,IFERROR(MAX(0,(VALUE(LEFT(F38,4))-VALUE(LEFT(TEXT(J38,"00000000"),4)))*12+(VALUE(MID(F38,5,2))-VALUE(MID(TEXT(J38,"00000000"),5,2)))),""))</f>
        <v/>
      </c>
      <c r="AB38" s="20">
        <f>IFERROR((VALUE(LEFT(TEXT(K38,"00000000"),4))-VALUE(LEFT(F38,4)))*12+(VALUE(MID(TEXT(K38,"00000000"),5,2))-VALUE(MID(F38,5,2))),"")</f>
        <v/>
      </c>
      <c r="AC38" s="20">
        <f>IF(OR(L38="",NOT(ISNUMBER(L38))),0,MAX(0,MIN(60,(VALUE(LEFT(F38,4))-VALUE(LEFT(TEXT(L38,"00000000"),4)))*12+(VALUE(MID(F38,5,2))-VALUE(MID(TEXT(L38,"00000000"),5,2))))))</f>
        <v/>
      </c>
      <c r="AD38" s="20">
        <f>IF(OR(L38="",NOT(ISNUMBER(L38))),0,IF(VALUE(F38)&lt;VALUE(LEFT(TEXT(L38,"00000000"),6)),1,0))</f>
        <v/>
      </c>
      <c r="AE38" s="20">
        <f>IF(OR(M38="",NOT(ISNUMBER(M38))),0,IF(VALUE(F38)&lt;VALUE(LEFT(TEXT(M38,"00000000"),6)),1,0))</f>
        <v/>
      </c>
      <c r="AF38" s="20">
        <f>IF(AND(AD38=0,AE38=0),1,0)</f>
        <v/>
      </c>
      <c r="AG38" s="20">
        <f>IF(ISNUMBER(X38),X38,IFERROR(VALUE(LEFT(TEXT(J38,"00000000"),4)),""))</f>
        <v/>
      </c>
      <c r="AH38" s="20">
        <f>IFERROR(XLOOKUP(AG38,Vintage_Rates!$A$2:$A$1000,Vintage_Rates!$B$2:$B$1000,""),"")</f>
        <v/>
      </c>
      <c r="AI38" s="20">
        <f>IF(ISNUMBER(Y38),Y38,IFERROR((G38-AH38)*100,""))</f>
        <v/>
      </c>
      <c r="AJ38" s="20">
        <f>IF(ISNUMBER(V38),V38,IFERROR(XLOOKUP(VALUE(F38),PLC_Rates!$A$2:$A$1000,PLC_Rates!$B$2:$B$1000,""),""))</f>
        <v/>
      </c>
      <c r="AK38" s="20">
        <f>IF(ISNUMBER(Z38),Z38,IF(AE38=0,0,MAX(0,MIN(10,((VALUE(LEFT(TEXT(M38,"00000000"),4))-VALUE(LEFT(F38,4)))*12+(VALUE(MID(TEXT(M38,"00000000"),5,2))-VALUE(MID(F38,5,2))))/12))))</f>
        <v/>
      </c>
      <c r="AL38" s="20">
        <f>IFERROR(G38*100-AJ38,"")</f>
        <v/>
      </c>
      <c r="AM38" s="20">
        <f>IFERROR(G38*100-(AJ38+(1+AK38)*12.5),"")</f>
        <v/>
      </c>
      <c r="AN38" s="21">
        <f>IFERROR(MIN(H38/1000000,100),"")</f>
        <v/>
      </c>
      <c r="AO38" s="20">
        <f>IFERROR(INDEX(FHA_Lookup!$B$2:$B$11,MATCH(TRUE,ISNUMBER(SEARCH(FHA_Lookup!$A$2:$A$11,UPPER(SUBSTITUTE(O38," ","")))),0)),"OTHER")</f>
        <v/>
      </c>
      <c r="AP38" s="20">
        <f>IFERROR(INDEX(FHA_Lookup!$C$2:$C$11,MATCH(TRUE,ISNUMBER(SEARCH(FHA_Lookup!$A$2:$A$11,UPPER(SUBSTITUTE(O38," ","")))),0)),"OTHER")</f>
        <v/>
      </c>
      <c r="AQ38" s="20">
        <f>IF(AP38="NC",1,0)</f>
        <v/>
      </c>
      <c r="AR38" s="20">
        <f>IF(UPPER(TRIM(P38))="AFF",1,0)</f>
        <v/>
      </c>
      <c r="AS38" s="20">
        <f>IF(UPPER(TRIM(P38))="BAF",1,0)</f>
        <v/>
      </c>
      <c r="AT38" s="20">
        <f>IF(UPPER(TRIM(P38))="MKT",1,0)</f>
        <v/>
      </c>
      <c r="AU38" s="20">
        <f>IF(AO38="221d4",1,0)</f>
        <v/>
      </c>
      <c r="AV38" s="20">
        <f>IF(AO38="223a7",1,0)</f>
        <v/>
      </c>
      <c r="AW38" s="20">
        <f>IF(AO38="232",1,0)</f>
        <v/>
      </c>
      <c r="AX38" s="20">
        <f>IF(AO38="538",1,0)</f>
        <v/>
      </c>
      <c r="AY38" s="20">
        <f>IF(AO38="241",1,0)</f>
        <v/>
      </c>
      <c r="AZ38" s="20">
        <f>IF(AO38="220",1,0)</f>
        <v/>
      </c>
      <c r="BA38" s="20">
        <f>IF(AO38="OTHER",1,0)</f>
        <v/>
      </c>
      <c r="BB38" s="20">
        <f>IF(UPPER(TRIM(C38))="LM",1,0)</f>
        <v/>
      </c>
      <c r="BC38" s="20">
        <f>IF(UPPER(TRIM(C38))="PN",1,0)</f>
        <v/>
      </c>
      <c r="BD38" s="20">
        <f>IF(UPPER(TRIM(C38))="LS",1,0)</f>
        <v/>
      </c>
      <c r="BE38" s="20">
        <f>IF(UPPER(TRIM(C38))="RX",1,0)</f>
        <v/>
      </c>
      <c r="BF38" s="22">
        <f>IFERROR((Parameters!$C$6*AM38+Parameters!$C$7*MAX(AM38-(-150),0)+Parameters!$C$8*MAX(AM38-(-50),0)+Parameters!$C$9*MAX(AM38-(0),0)+Parameters!$C$10*MAX(AM38-(50),0)+Parameters!$C$11*MAX(AM38-(100),0)+Parameters!$C$12*MAX(AM38-(150),0)+Parameters!$C$13*MAX(AM38-(250),0)),0)</f>
        <v/>
      </c>
      <c r="BG38" s="22">
        <f>IFERROR((Parameters!$C$14*AA38+Parameters!$C$15*MAX(AA38-(12),0)+Parameters!$C$16*MAX(AA38-(36),0)+Parameters!$C$17*MAX(AA38-(60),0)+Parameters!$C$18*MAX(AA38-(84),0)+Parameters!$C$19*MAX(AA38-(120),0)+Parameters!$C$20*MAX(AA38-(180),0)),0)</f>
        <v/>
      </c>
      <c r="BH38" s="22">
        <f>IFERROR((Parameters!$C$21*AK38+Parameters!$C$22*MAX(AK38-(0),0)+Parameters!$C$23*MAX(AK38-(2),0)+Parameters!$C$24*MAX(AK38-(5),0)+Parameters!$C$25*MAX(AK38-(8),0)),0)</f>
        <v/>
      </c>
      <c r="BI38" s="22">
        <f>IFERROR((Parameters!$C$26*AI38+Parameters!$C$27*MAX(AI38-(-100),0)+Parameters!$C$28*MAX(AI38-(-25),0)+Parameters!$C$29*MAX(AI38-(25),0)+Parameters!$C$30*MAX(AI38-(100),0)),0)</f>
        <v/>
      </c>
      <c r="BJ38" s="22">
        <f>IFERROR((Parameters!$C$31*AN38+Parameters!$C$32*MAX(AN38-(2),0)+Parameters!$C$33*MAX(AN38-(10),0)+Parameters!$C$34*MAX(AN38-(25),0)),0)</f>
        <v/>
      </c>
      <c r="BK38" s="22">
        <f>IFERROR((Parameters!$C$35*AB38+Parameters!$C$36*MAX(AB38-(12),0)+Parameters!$C$37*MAX(AB38-(24),0)+Parameters!$C$38*MAX(AB38-(60),0)),0)</f>
        <v/>
      </c>
      <c r="BL38" s="22">
        <f>IFERROR((Parameters!$C$39*AC38+Parameters!$C$40*MAX(AC38-(6),0)+Parameters!$C$41*MAX(AC38-(12),0)+Parameters!$C$42*MAX(AC38-(24),0)),0)</f>
        <v/>
      </c>
      <c r="BM38" s="22">
        <f>IFERROR(Parameters!$C$43*(MAX(AM38,0)*MIN(MAX(AK38,0),10))/100,0)</f>
        <v/>
      </c>
      <c r="BN38" s="22">
        <f>Parameters!$C$44*AE38</f>
        <v/>
      </c>
      <c r="BO38" s="22">
        <f>Parameters!$C$45*AU38 + Parameters!$C$46*AV38 + Parameters!$C$47*AW38 + Parameters!$C$48*AX38 + Parameters!$C$49*AY38 + Parameters!$C$50*AZ38 + Parameters!$C$51*BA38</f>
        <v/>
      </c>
      <c r="BP38" s="22">
        <f>Parameters!$C$52*AQ38</f>
        <v/>
      </c>
      <c r="BQ38" s="22">
        <f>Parameters!$C$53*AR38+Parameters!$C$54*AS38+Parameters!$C$55*AT38</f>
        <v/>
      </c>
      <c r="BR38" s="22">
        <f>Parameters!$C$56*BB38+Parameters!$C$57*BC38+Parameters!$C$58*BD38+Parameters!$C$59*BE38</f>
        <v/>
      </c>
      <c r="BS38" s="23">
        <f>Parameters!$B$2</f>
        <v/>
      </c>
      <c r="BT38" s="23">
        <f>BS38+BF38 + BG38 + BH38 + BI38 + BJ38 + BK38 + BL38 + BM38 + BN38 + BO38 + BP38 + BQ38 + BR38</f>
        <v/>
      </c>
      <c r="BU38" s="24">
        <f>IF(AD38=1,0,1/(1+EXP(-BT38))*Parameters!$B$3)</f>
        <v/>
      </c>
      <c r="BV38" s="25">
        <f>(1-(1-BU38)^12)*100</f>
        <v/>
      </c>
      <c r="BW38" s="25">
        <f>IF(AD38=1,0,(1-(1-1/(1+EXP(-Parameters!$B$2)))^12)*100)</f>
        <v/>
      </c>
      <c r="BX38" s="25">
        <f>IF(AD38=1,0,BV38-(1-(1-(1/(1+EXP(-(BT38-BF38)))*Parameters!$B$3))^12)*100)</f>
        <v/>
      </c>
      <c r="BY38" s="25">
        <f>IF(AD38=1,0,BV38-(1-(1-(1/(1+EXP(-(BT38-BG38)))*Parameters!$B$3))^12)*100)</f>
        <v/>
      </c>
      <c r="BZ38" s="25">
        <f>IF(AD38=1,0,BV38-(1-(1-(1/(1+EXP(-(BT38-BH38)))*Parameters!$B$3))^12)*100)</f>
        <v/>
      </c>
      <c r="CA38" s="25">
        <f>IF(AD38=1,0,BV38-(1-(1-(1/(1+EXP(-(BT38-BI38)))*Parameters!$B$3))^12)*100)</f>
        <v/>
      </c>
      <c r="CB38" s="25">
        <f>IF(AD38=1,0,BV38-(1-(1-(1/(1+EXP(-(BT38-BJ38)))*Parameters!$B$3))^12)*100)</f>
        <v/>
      </c>
      <c r="CC38" s="25">
        <f>IF(AD38=1,0,BV38-(1-(1-(1/(1+EXP(-(BT38-BK38)))*Parameters!$B$3))^12)*100)</f>
        <v/>
      </c>
      <c r="CD38" s="25">
        <f>IF(AD38=1,0,BV38-(1-(1-(1/(1+EXP(-(BT38-BL38)))*Parameters!$B$3))^12)*100)</f>
        <v/>
      </c>
      <c r="CE38" s="25">
        <f>IF(AD38=1,0,BV38-(1-(1-(1/(1+EXP(-(BT38-BM38)))*Parameters!$B$3))^12)*100)</f>
        <v/>
      </c>
      <c r="CF38" s="25">
        <f>IF(AD38=1,0,BV38-(1-(1-(1/(1+EXP(-(BT38-BN38)))*Parameters!$B$3))^12)*100)</f>
        <v/>
      </c>
      <c r="CG38" s="25">
        <f>IF(AD38=1,0,BV38-(1-(1-(1/(1+EXP(-(BT38-BO38)))*Parameters!$B$3))^12)*100)</f>
        <v/>
      </c>
      <c r="CH38" s="25">
        <f>IF(AD38=1,0,BV38-(1-(1-(1/(1+EXP(-(BT38-BP38)))*Parameters!$B$3))^12)*100)</f>
        <v/>
      </c>
      <c r="CI38" s="25">
        <f>IF(AD38=1,0,BV38-(1-(1-(1/(1+EXP(-(BT38-BQ38)))*Parameters!$B$3))^12)*100)</f>
        <v/>
      </c>
      <c r="CJ38" s="25">
        <f>IF(AD38=1,0,BV38-(1-(1-(1/(1+EXP(-(BT38-BR38)))*Parameters!$B$3))^12)*100)</f>
        <v/>
      </c>
    </row>
    <row r="39">
      <c r="A39" s="17" t="inlineStr">
        <is>
          <t>GNR_2024_NEW</t>
        </is>
      </c>
      <c r="B39" s="17" t="inlineStr">
        <is>
          <t>3618K2J91</t>
        </is>
      </c>
      <c r="C39" s="17" t="inlineStr">
        <is>
          <t>PN</t>
        </is>
      </c>
      <c r="D39" s="17" t="inlineStr">
        <is>
          <t>HARPER CAPITAL PARTNERS, LLC</t>
        </is>
      </c>
      <c r="E39" s="17" t="inlineStr">
        <is>
          <t>3618K2J91_000000009211554</t>
        </is>
      </c>
      <c r="F39" s="17" t="n">
        <v>202603</v>
      </c>
      <c r="G39" s="18" t="n">
        <v>5.46</v>
      </c>
      <c r="H39" s="19" t="n">
        <v>5312206.23</v>
      </c>
      <c r="I39" s="17" t="n">
        <v>420</v>
      </c>
      <c r="J39" s="17" t="n">
        <v>20250301</v>
      </c>
      <c r="K39" s="17" t="n">
        <v>20600401</v>
      </c>
      <c r="L39" s="17" t="n"/>
      <c r="M39" s="17" t="n">
        <v>20350430</v>
      </c>
      <c r="N39" s="17" t="n">
        <v>10</v>
      </c>
      <c r="O39" s="17" t="inlineStr">
        <is>
          <t>207/223(F)</t>
        </is>
      </c>
      <c r="P39" s="17" t="n"/>
      <c r="Q39" s="17" t="n"/>
      <c r="R39" s="17" t="n"/>
      <c r="S39" s="17" t="n"/>
      <c r="T39" s="17" t="inlineStr">
        <is>
          <t>MN</t>
        </is>
      </c>
      <c r="U39" s="17" t="n">
        <v>54</v>
      </c>
      <c r="V39" s="17" t="n">
        <v>490.5</v>
      </c>
      <c r="W39" s="17" t="n">
        <v>12</v>
      </c>
      <c r="X39" s="17" t="n">
        <v>2025</v>
      </c>
      <c r="Y39" s="17" t="n">
        <v>-36</v>
      </c>
      <c r="Z39" s="17" t="n">
        <v>0</v>
      </c>
      <c r="AA39" s="20">
        <f>IF(ISNUMBER(W39),W39,IFERROR(MAX(0,(VALUE(LEFT(F39,4))-VALUE(LEFT(TEXT(J39,"00000000"),4)))*12+(VALUE(MID(F39,5,2))-VALUE(MID(TEXT(J39,"00000000"),5,2)))),""))</f>
        <v/>
      </c>
      <c r="AB39" s="20">
        <f>IFERROR((VALUE(LEFT(TEXT(K39,"00000000"),4))-VALUE(LEFT(F39,4)))*12+(VALUE(MID(TEXT(K39,"00000000"),5,2))-VALUE(MID(F39,5,2))),"")</f>
        <v/>
      </c>
      <c r="AC39" s="20">
        <f>IF(OR(L39="",NOT(ISNUMBER(L39))),0,MAX(0,MIN(60,(VALUE(LEFT(F39,4))-VALUE(LEFT(TEXT(L39,"00000000"),4)))*12+(VALUE(MID(F39,5,2))-VALUE(MID(TEXT(L39,"00000000"),5,2))))))</f>
        <v/>
      </c>
      <c r="AD39" s="20">
        <f>IF(OR(L39="",NOT(ISNUMBER(L39))),0,IF(VALUE(F39)&lt;VALUE(LEFT(TEXT(L39,"00000000"),6)),1,0))</f>
        <v/>
      </c>
      <c r="AE39" s="20">
        <f>IF(OR(M39="",NOT(ISNUMBER(M39))),0,IF(VALUE(F39)&lt;VALUE(LEFT(TEXT(M39,"00000000"),6)),1,0))</f>
        <v/>
      </c>
      <c r="AF39" s="20">
        <f>IF(AND(AD39=0,AE39=0),1,0)</f>
        <v/>
      </c>
      <c r="AG39" s="20">
        <f>IF(ISNUMBER(X39),X39,IFERROR(VALUE(LEFT(TEXT(J39,"00000000"),4)),""))</f>
        <v/>
      </c>
      <c r="AH39" s="20">
        <f>IFERROR(XLOOKUP(AG39,Vintage_Rates!$A$2:$A$1000,Vintage_Rates!$B$2:$B$1000,""),"")</f>
        <v/>
      </c>
      <c r="AI39" s="20">
        <f>IF(ISNUMBER(Y39),Y39,IFERROR((G39-AH39)*100,""))</f>
        <v/>
      </c>
      <c r="AJ39" s="20">
        <f>IF(ISNUMBER(V39),V39,IFERROR(XLOOKUP(VALUE(F39),PLC_Rates!$A$2:$A$1000,PLC_Rates!$B$2:$B$1000,""),""))</f>
        <v/>
      </c>
      <c r="AK39" s="20">
        <f>IF(ISNUMBER(Z39),Z39,IF(AE39=0,0,MAX(0,MIN(10,((VALUE(LEFT(TEXT(M39,"00000000"),4))-VALUE(LEFT(F39,4)))*12+(VALUE(MID(TEXT(M39,"00000000"),5,2))-VALUE(MID(F39,5,2))))/12))))</f>
        <v/>
      </c>
      <c r="AL39" s="20">
        <f>IFERROR(G39*100-AJ39,"")</f>
        <v/>
      </c>
      <c r="AM39" s="20">
        <f>IFERROR(G39*100-(AJ39+(1+AK39)*12.5),"")</f>
        <v/>
      </c>
      <c r="AN39" s="21">
        <f>IFERROR(MIN(H39/1000000,100),"")</f>
        <v/>
      </c>
      <c r="AO39" s="20">
        <f>IFERROR(INDEX(FHA_Lookup!$B$2:$B$11,MATCH(TRUE,ISNUMBER(SEARCH(FHA_Lookup!$A$2:$A$11,UPPER(SUBSTITUTE(O39," ","")))),0)),"OTHER")</f>
        <v/>
      </c>
      <c r="AP39" s="20">
        <f>IFERROR(INDEX(FHA_Lookup!$C$2:$C$11,MATCH(TRUE,ISNUMBER(SEARCH(FHA_Lookup!$A$2:$A$11,UPPER(SUBSTITUTE(O39," ","")))),0)),"OTHER")</f>
        <v/>
      </c>
      <c r="AQ39" s="20">
        <f>IF(AP39="NC",1,0)</f>
        <v/>
      </c>
      <c r="AR39" s="20">
        <f>IF(UPPER(TRIM(P39))="AFF",1,0)</f>
        <v/>
      </c>
      <c r="AS39" s="20">
        <f>IF(UPPER(TRIM(P39))="BAF",1,0)</f>
        <v/>
      </c>
      <c r="AT39" s="20">
        <f>IF(UPPER(TRIM(P39))="MKT",1,0)</f>
        <v/>
      </c>
      <c r="AU39" s="20">
        <f>IF(AO39="221d4",1,0)</f>
        <v/>
      </c>
      <c r="AV39" s="20">
        <f>IF(AO39="223a7",1,0)</f>
        <v/>
      </c>
      <c r="AW39" s="20">
        <f>IF(AO39="232",1,0)</f>
        <v/>
      </c>
      <c r="AX39" s="20">
        <f>IF(AO39="538",1,0)</f>
        <v/>
      </c>
      <c r="AY39" s="20">
        <f>IF(AO39="241",1,0)</f>
        <v/>
      </c>
      <c r="AZ39" s="20">
        <f>IF(AO39="220",1,0)</f>
        <v/>
      </c>
      <c r="BA39" s="20">
        <f>IF(AO39="OTHER",1,0)</f>
        <v/>
      </c>
      <c r="BB39" s="20">
        <f>IF(UPPER(TRIM(C39))="LM",1,0)</f>
        <v/>
      </c>
      <c r="BC39" s="20">
        <f>IF(UPPER(TRIM(C39))="PN",1,0)</f>
        <v/>
      </c>
      <c r="BD39" s="20">
        <f>IF(UPPER(TRIM(C39))="LS",1,0)</f>
        <v/>
      </c>
      <c r="BE39" s="20">
        <f>IF(UPPER(TRIM(C39))="RX",1,0)</f>
        <v/>
      </c>
      <c r="BF39" s="22">
        <f>IFERROR((Parameters!$C$6*AM39+Parameters!$C$7*MAX(AM39-(-150),0)+Parameters!$C$8*MAX(AM39-(-50),0)+Parameters!$C$9*MAX(AM39-(0),0)+Parameters!$C$10*MAX(AM39-(50),0)+Parameters!$C$11*MAX(AM39-(100),0)+Parameters!$C$12*MAX(AM39-(150),0)+Parameters!$C$13*MAX(AM39-(250),0)),0)</f>
        <v/>
      </c>
      <c r="BG39" s="22">
        <f>IFERROR((Parameters!$C$14*AA39+Parameters!$C$15*MAX(AA39-(12),0)+Parameters!$C$16*MAX(AA39-(36),0)+Parameters!$C$17*MAX(AA39-(60),0)+Parameters!$C$18*MAX(AA39-(84),0)+Parameters!$C$19*MAX(AA39-(120),0)+Parameters!$C$20*MAX(AA39-(180),0)),0)</f>
        <v/>
      </c>
      <c r="BH39" s="22">
        <f>IFERROR((Parameters!$C$21*AK39+Parameters!$C$22*MAX(AK39-(0),0)+Parameters!$C$23*MAX(AK39-(2),0)+Parameters!$C$24*MAX(AK39-(5),0)+Parameters!$C$25*MAX(AK39-(8),0)),0)</f>
        <v/>
      </c>
      <c r="BI39" s="22">
        <f>IFERROR((Parameters!$C$26*AI39+Parameters!$C$27*MAX(AI39-(-100),0)+Parameters!$C$28*MAX(AI39-(-25),0)+Parameters!$C$29*MAX(AI39-(25),0)+Parameters!$C$30*MAX(AI39-(100),0)),0)</f>
        <v/>
      </c>
      <c r="BJ39" s="22">
        <f>IFERROR((Parameters!$C$31*AN39+Parameters!$C$32*MAX(AN39-(2),0)+Parameters!$C$33*MAX(AN39-(10),0)+Parameters!$C$34*MAX(AN39-(25),0)),0)</f>
        <v/>
      </c>
      <c r="BK39" s="22">
        <f>IFERROR((Parameters!$C$35*AB39+Parameters!$C$36*MAX(AB39-(12),0)+Parameters!$C$37*MAX(AB39-(24),0)+Parameters!$C$38*MAX(AB39-(60),0)),0)</f>
        <v/>
      </c>
      <c r="BL39" s="22">
        <f>IFERROR((Parameters!$C$39*AC39+Parameters!$C$40*MAX(AC39-(6),0)+Parameters!$C$41*MAX(AC39-(12),0)+Parameters!$C$42*MAX(AC39-(24),0)),0)</f>
        <v/>
      </c>
      <c r="BM39" s="22">
        <f>IFERROR(Parameters!$C$43*(MAX(AM39,0)*MIN(MAX(AK39,0),10))/100,0)</f>
        <v/>
      </c>
      <c r="BN39" s="22">
        <f>Parameters!$C$44*AE39</f>
        <v/>
      </c>
      <c r="BO39" s="22">
        <f>Parameters!$C$45*AU39 + Parameters!$C$46*AV39 + Parameters!$C$47*AW39 + Parameters!$C$48*AX39 + Parameters!$C$49*AY39 + Parameters!$C$50*AZ39 + Parameters!$C$51*BA39</f>
        <v/>
      </c>
      <c r="BP39" s="22">
        <f>Parameters!$C$52*AQ39</f>
        <v/>
      </c>
      <c r="BQ39" s="22">
        <f>Parameters!$C$53*AR39+Parameters!$C$54*AS39+Parameters!$C$55*AT39</f>
        <v/>
      </c>
      <c r="BR39" s="22">
        <f>Parameters!$C$56*BB39+Parameters!$C$57*BC39+Parameters!$C$58*BD39+Parameters!$C$59*BE39</f>
        <v/>
      </c>
      <c r="BS39" s="23">
        <f>Parameters!$B$2</f>
        <v/>
      </c>
      <c r="BT39" s="23">
        <f>BS39+BF39 + BG39 + BH39 + BI39 + BJ39 + BK39 + BL39 + BM39 + BN39 + BO39 + BP39 + BQ39 + BR39</f>
        <v/>
      </c>
      <c r="BU39" s="24">
        <f>IF(AD39=1,0,1/(1+EXP(-BT39))*Parameters!$B$3)</f>
        <v/>
      </c>
      <c r="BV39" s="25">
        <f>(1-(1-BU39)^12)*100</f>
        <v/>
      </c>
      <c r="BW39" s="25">
        <f>IF(AD39=1,0,(1-(1-1/(1+EXP(-Parameters!$B$2)))^12)*100)</f>
        <v/>
      </c>
      <c r="BX39" s="25">
        <f>IF(AD39=1,0,BV39-(1-(1-(1/(1+EXP(-(BT39-BF39)))*Parameters!$B$3))^12)*100)</f>
        <v/>
      </c>
      <c r="BY39" s="25">
        <f>IF(AD39=1,0,BV39-(1-(1-(1/(1+EXP(-(BT39-BG39)))*Parameters!$B$3))^12)*100)</f>
        <v/>
      </c>
      <c r="BZ39" s="25">
        <f>IF(AD39=1,0,BV39-(1-(1-(1/(1+EXP(-(BT39-BH39)))*Parameters!$B$3))^12)*100)</f>
        <v/>
      </c>
      <c r="CA39" s="25">
        <f>IF(AD39=1,0,BV39-(1-(1-(1/(1+EXP(-(BT39-BI39)))*Parameters!$B$3))^12)*100)</f>
        <v/>
      </c>
      <c r="CB39" s="25">
        <f>IF(AD39=1,0,BV39-(1-(1-(1/(1+EXP(-(BT39-BJ39)))*Parameters!$B$3))^12)*100)</f>
        <v/>
      </c>
      <c r="CC39" s="25">
        <f>IF(AD39=1,0,BV39-(1-(1-(1/(1+EXP(-(BT39-BK39)))*Parameters!$B$3))^12)*100)</f>
        <v/>
      </c>
      <c r="CD39" s="25">
        <f>IF(AD39=1,0,BV39-(1-(1-(1/(1+EXP(-(BT39-BL39)))*Parameters!$B$3))^12)*100)</f>
        <v/>
      </c>
      <c r="CE39" s="25">
        <f>IF(AD39=1,0,BV39-(1-(1-(1/(1+EXP(-(BT39-BM39)))*Parameters!$B$3))^12)*100)</f>
        <v/>
      </c>
      <c r="CF39" s="25">
        <f>IF(AD39=1,0,BV39-(1-(1-(1/(1+EXP(-(BT39-BN39)))*Parameters!$B$3))^12)*100)</f>
        <v/>
      </c>
      <c r="CG39" s="25">
        <f>IF(AD39=1,0,BV39-(1-(1-(1/(1+EXP(-(BT39-BO39)))*Parameters!$B$3))^12)*100)</f>
        <v/>
      </c>
      <c r="CH39" s="25">
        <f>IF(AD39=1,0,BV39-(1-(1-(1/(1+EXP(-(BT39-BP39)))*Parameters!$B$3))^12)*100)</f>
        <v/>
      </c>
      <c r="CI39" s="25">
        <f>IF(AD39=1,0,BV39-(1-(1-(1/(1+EXP(-(BT39-BQ39)))*Parameters!$B$3))^12)*100)</f>
        <v/>
      </c>
      <c r="CJ39" s="25">
        <f>IF(AD39=1,0,BV39-(1-(1-(1/(1+EXP(-(BT39-BR39)))*Parameters!$B$3))^12)*100)</f>
        <v/>
      </c>
    </row>
    <row r="40">
      <c r="A40" s="17" t="inlineStr">
        <is>
          <t>GNR_2024_NEW</t>
        </is>
      </c>
      <c r="B40" s="17" t="inlineStr">
        <is>
          <t>3618JLKX6</t>
        </is>
      </c>
      <c r="C40" s="17" t="inlineStr">
        <is>
          <t>PN</t>
        </is>
      </c>
      <c r="D40" s="17" t="inlineStr">
        <is>
          <t>VIUM CAPITAL MORTGAGE, LLC.</t>
        </is>
      </c>
      <c r="E40" s="17" t="inlineStr">
        <is>
          <t>3618JLKX6_000000008222093</t>
        </is>
      </c>
      <c r="F40" s="17" t="n">
        <v>202603</v>
      </c>
      <c r="G40" s="18" t="n">
        <v>5.63</v>
      </c>
      <c r="H40" s="19" t="n">
        <v>14953260.51</v>
      </c>
      <c r="I40" s="17" t="n">
        <v>420</v>
      </c>
      <c r="J40" s="17" t="n">
        <v>20241201</v>
      </c>
      <c r="K40" s="17" t="n">
        <v>20600101</v>
      </c>
      <c r="L40" s="17" t="n"/>
      <c r="M40" s="17" t="n">
        <v>20350201</v>
      </c>
      <c r="N40" s="17" t="n">
        <v>10</v>
      </c>
      <c r="O40" s="17" t="inlineStr">
        <is>
          <t>232/223(F)</t>
        </is>
      </c>
      <c r="P40" s="17" t="n"/>
      <c r="Q40" s="17" t="n"/>
      <c r="R40" s="17" t="n"/>
      <c r="S40" s="17" t="n"/>
      <c r="T40" s="17" t="inlineStr">
        <is>
          <t>AR</t>
        </is>
      </c>
      <c r="U40" s="17" t="n">
        <v>62</v>
      </c>
      <c r="V40" s="17" t="n">
        <v>490.5</v>
      </c>
      <c r="W40" s="17" t="n">
        <v>15</v>
      </c>
      <c r="X40" s="17" t="n">
        <v>2024</v>
      </c>
      <c r="Y40" s="17" t="n">
        <v>-15</v>
      </c>
      <c r="Z40" s="17" t="n">
        <v>9</v>
      </c>
      <c r="AA40" s="20">
        <f>IF(ISNUMBER(W40),W40,IFERROR(MAX(0,(VALUE(LEFT(F40,4))-VALUE(LEFT(TEXT(J40,"00000000"),4)))*12+(VALUE(MID(F40,5,2))-VALUE(MID(TEXT(J40,"00000000"),5,2)))),""))</f>
        <v/>
      </c>
      <c r="AB40" s="20">
        <f>IFERROR((VALUE(LEFT(TEXT(K40,"00000000"),4))-VALUE(LEFT(F40,4)))*12+(VALUE(MID(TEXT(K40,"00000000"),5,2))-VALUE(MID(F40,5,2))),"")</f>
        <v/>
      </c>
      <c r="AC40" s="20">
        <f>IF(OR(L40="",NOT(ISNUMBER(L40))),0,MAX(0,MIN(60,(VALUE(LEFT(F40,4))-VALUE(LEFT(TEXT(L40,"00000000"),4)))*12+(VALUE(MID(F40,5,2))-VALUE(MID(TEXT(L40,"00000000"),5,2))))))</f>
        <v/>
      </c>
      <c r="AD40" s="20">
        <f>IF(OR(L40="",NOT(ISNUMBER(L40))),0,IF(VALUE(F40)&lt;VALUE(LEFT(TEXT(L40,"00000000"),6)),1,0))</f>
        <v/>
      </c>
      <c r="AE40" s="20">
        <f>IF(OR(M40="",NOT(ISNUMBER(M40))),0,IF(VALUE(F40)&lt;VALUE(LEFT(TEXT(M40,"00000000"),6)),1,0))</f>
        <v/>
      </c>
      <c r="AF40" s="20">
        <f>IF(AND(AD40=0,AE40=0),1,0)</f>
        <v/>
      </c>
      <c r="AG40" s="20">
        <f>IF(ISNUMBER(X40),X40,IFERROR(VALUE(LEFT(TEXT(J40,"00000000"),4)),""))</f>
        <v/>
      </c>
      <c r="AH40" s="20">
        <f>IFERROR(XLOOKUP(AG40,Vintage_Rates!$A$2:$A$1000,Vintage_Rates!$B$2:$B$1000,""),"")</f>
        <v/>
      </c>
      <c r="AI40" s="20">
        <f>IF(ISNUMBER(Y40),Y40,IFERROR((G40-AH40)*100,""))</f>
        <v/>
      </c>
      <c r="AJ40" s="20">
        <f>IF(ISNUMBER(V40),V40,IFERROR(XLOOKUP(VALUE(F40),PLC_Rates!$A$2:$A$1000,PLC_Rates!$B$2:$B$1000,""),""))</f>
        <v/>
      </c>
      <c r="AK40" s="20">
        <f>IF(ISNUMBER(Z40),Z40,IF(AE40=0,0,MAX(0,MIN(10,((VALUE(LEFT(TEXT(M40,"00000000"),4))-VALUE(LEFT(F40,4)))*12+(VALUE(MID(TEXT(M40,"00000000"),5,2))-VALUE(MID(F40,5,2))))/12))))</f>
        <v/>
      </c>
      <c r="AL40" s="20">
        <f>IFERROR(G40*100-AJ40,"")</f>
        <v/>
      </c>
      <c r="AM40" s="20">
        <f>IFERROR(G40*100-(AJ40+(1+AK40)*12.5),"")</f>
        <v/>
      </c>
      <c r="AN40" s="21">
        <f>IFERROR(MIN(H40/1000000,100),"")</f>
        <v/>
      </c>
      <c r="AO40" s="20">
        <f>IFERROR(INDEX(FHA_Lookup!$B$2:$B$11,MATCH(TRUE,ISNUMBER(SEARCH(FHA_Lookup!$A$2:$A$11,UPPER(SUBSTITUTE(O40," ","")))),0)),"OTHER")</f>
        <v/>
      </c>
      <c r="AP40" s="20">
        <f>IFERROR(INDEX(FHA_Lookup!$C$2:$C$11,MATCH(TRUE,ISNUMBER(SEARCH(FHA_Lookup!$A$2:$A$11,UPPER(SUBSTITUTE(O40," ","")))),0)),"OTHER")</f>
        <v/>
      </c>
      <c r="AQ40" s="20">
        <f>IF(AP40="NC",1,0)</f>
        <v/>
      </c>
      <c r="AR40" s="20">
        <f>IF(UPPER(TRIM(P40))="AFF",1,0)</f>
        <v/>
      </c>
      <c r="AS40" s="20">
        <f>IF(UPPER(TRIM(P40))="BAF",1,0)</f>
        <v/>
      </c>
      <c r="AT40" s="20">
        <f>IF(UPPER(TRIM(P40))="MKT",1,0)</f>
        <v/>
      </c>
      <c r="AU40" s="20">
        <f>IF(AO40="221d4",1,0)</f>
        <v/>
      </c>
      <c r="AV40" s="20">
        <f>IF(AO40="223a7",1,0)</f>
        <v/>
      </c>
      <c r="AW40" s="20">
        <f>IF(AO40="232",1,0)</f>
        <v/>
      </c>
      <c r="AX40" s="20">
        <f>IF(AO40="538",1,0)</f>
        <v/>
      </c>
      <c r="AY40" s="20">
        <f>IF(AO40="241",1,0)</f>
        <v/>
      </c>
      <c r="AZ40" s="20">
        <f>IF(AO40="220",1,0)</f>
        <v/>
      </c>
      <c r="BA40" s="20">
        <f>IF(AO40="OTHER",1,0)</f>
        <v/>
      </c>
      <c r="BB40" s="20">
        <f>IF(UPPER(TRIM(C40))="LM",1,0)</f>
        <v/>
      </c>
      <c r="BC40" s="20">
        <f>IF(UPPER(TRIM(C40))="PN",1,0)</f>
        <v/>
      </c>
      <c r="BD40" s="20">
        <f>IF(UPPER(TRIM(C40))="LS",1,0)</f>
        <v/>
      </c>
      <c r="BE40" s="20">
        <f>IF(UPPER(TRIM(C40))="RX",1,0)</f>
        <v/>
      </c>
      <c r="BF40" s="22">
        <f>IFERROR((Parameters!$C$6*AM40+Parameters!$C$7*MAX(AM40-(-150),0)+Parameters!$C$8*MAX(AM40-(-50),0)+Parameters!$C$9*MAX(AM40-(0),0)+Parameters!$C$10*MAX(AM40-(50),0)+Parameters!$C$11*MAX(AM40-(100),0)+Parameters!$C$12*MAX(AM40-(150),0)+Parameters!$C$13*MAX(AM40-(250),0)),0)</f>
        <v/>
      </c>
      <c r="BG40" s="22">
        <f>IFERROR((Parameters!$C$14*AA40+Parameters!$C$15*MAX(AA40-(12),0)+Parameters!$C$16*MAX(AA40-(36),0)+Parameters!$C$17*MAX(AA40-(60),0)+Parameters!$C$18*MAX(AA40-(84),0)+Parameters!$C$19*MAX(AA40-(120),0)+Parameters!$C$20*MAX(AA40-(180),0)),0)</f>
        <v/>
      </c>
      <c r="BH40" s="22">
        <f>IFERROR((Parameters!$C$21*AK40+Parameters!$C$22*MAX(AK40-(0),0)+Parameters!$C$23*MAX(AK40-(2),0)+Parameters!$C$24*MAX(AK40-(5),0)+Parameters!$C$25*MAX(AK40-(8),0)),0)</f>
        <v/>
      </c>
      <c r="BI40" s="22">
        <f>IFERROR((Parameters!$C$26*AI40+Parameters!$C$27*MAX(AI40-(-100),0)+Parameters!$C$28*MAX(AI40-(-25),0)+Parameters!$C$29*MAX(AI40-(25),0)+Parameters!$C$30*MAX(AI40-(100),0)),0)</f>
        <v/>
      </c>
      <c r="BJ40" s="22">
        <f>IFERROR((Parameters!$C$31*AN40+Parameters!$C$32*MAX(AN40-(2),0)+Parameters!$C$33*MAX(AN40-(10),0)+Parameters!$C$34*MAX(AN40-(25),0)),0)</f>
        <v/>
      </c>
      <c r="BK40" s="22">
        <f>IFERROR((Parameters!$C$35*AB40+Parameters!$C$36*MAX(AB40-(12),0)+Parameters!$C$37*MAX(AB40-(24),0)+Parameters!$C$38*MAX(AB40-(60),0)),0)</f>
        <v/>
      </c>
      <c r="BL40" s="22">
        <f>IFERROR((Parameters!$C$39*AC40+Parameters!$C$40*MAX(AC40-(6),0)+Parameters!$C$41*MAX(AC40-(12),0)+Parameters!$C$42*MAX(AC40-(24),0)),0)</f>
        <v/>
      </c>
      <c r="BM40" s="22">
        <f>IFERROR(Parameters!$C$43*(MAX(AM40,0)*MIN(MAX(AK40,0),10))/100,0)</f>
        <v/>
      </c>
      <c r="BN40" s="22">
        <f>Parameters!$C$44*AE40</f>
        <v/>
      </c>
      <c r="BO40" s="22">
        <f>Parameters!$C$45*AU40 + Parameters!$C$46*AV40 + Parameters!$C$47*AW40 + Parameters!$C$48*AX40 + Parameters!$C$49*AY40 + Parameters!$C$50*AZ40 + Parameters!$C$51*BA40</f>
        <v/>
      </c>
      <c r="BP40" s="22">
        <f>Parameters!$C$52*AQ40</f>
        <v/>
      </c>
      <c r="BQ40" s="22">
        <f>Parameters!$C$53*AR40+Parameters!$C$54*AS40+Parameters!$C$55*AT40</f>
        <v/>
      </c>
      <c r="BR40" s="22">
        <f>Parameters!$C$56*BB40+Parameters!$C$57*BC40+Parameters!$C$58*BD40+Parameters!$C$59*BE40</f>
        <v/>
      </c>
      <c r="BS40" s="23">
        <f>Parameters!$B$2</f>
        <v/>
      </c>
      <c r="BT40" s="23">
        <f>BS40+BF40 + BG40 + BH40 + BI40 + BJ40 + BK40 + BL40 + BM40 + BN40 + BO40 + BP40 + BQ40 + BR40</f>
        <v/>
      </c>
      <c r="BU40" s="24">
        <f>IF(AD40=1,0,1/(1+EXP(-BT40))*Parameters!$B$3)</f>
        <v/>
      </c>
      <c r="BV40" s="25">
        <f>(1-(1-BU40)^12)*100</f>
        <v/>
      </c>
      <c r="BW40" s="25">
        <f>IF(AD40=1,0,(1-(1-1/(1+EXP(-Parameters!$B$2)))^12)*100)</f>
        <v/>
      </c>
      <c r="BX40" s="25">
        <f>IF(AD40=1,0,BV40-(1-(1-(1/(1+EXP(-(BT40-BF40)))*Parameters!$B$3))^12)*100)</f>
        <v/>
      </c>
      <c r="BY40" s="25">
        <f>IF(AD40=1,0,BV40-(1-(1-(1/(1+EXP(-(BT40-BG40)))*Parameters!$B$3))^12)*100)</f>
        <v/>
      </c>
      <c r="BZ40" s="25">
        <f>IF(AD40=1,0,BV40-(1-(1-(1/(1+EXP(-(BT40-BH40)))*Parameters!$B$3))^12)*100)</f>
        <v/>
      </c>
      <c r="CA40" s="25">
        <f>IF(AD40=1,0,BV40-(1-(1-(1/(1+EXP(-(BT40-BI40)))*Parameters!$B$3))^12)*100)</f>
        <v/>
      </c>
      <c r="CB40" s="25">
        <f>IF(AD40=1,0,BV40-(1-(1-(1/(1+EXP(-(BT40-BJ40)))*Parameters!$B$3))^12)*100)</f>
        <v/>
      </c>
      <c r="CC40" s="25">
        <f>IF(AD40=1,0,BV40-(1-(1-(1/(1+EXP(-(BT40-BK40)))*Parameters!$B$3))^12)*100)</f>
        <v/>
      </c>
      <c r="CD40" s="25">
        <f>IF(AD40=1,0,BV40-(1-(1-(1/(1+EXP(-(BT40-BL40)))*Parameters!$B$3))^12)*100)</f>
        <v/>
      </c>
      <c r="CE40" s="25">
        <f>IF(AD40=1,0,BV40-(1-(1-(1/(1+EXP(-(BT40-BM40)))*Parameters!$B$3))^12)*100)</f>
        <v/>
      </c>
      <c r="CF40" s="25">
        <f>IF(AD40=1,0,BV40-(1-(1-(1/(1+EXP(-(BT40-BN40)))*Parameters!$B$3))^12)*100)</f>
        <v/>
      </c>
      <c r="CG40" s="25">
        <f>IF(AD40=1,0,BV40-(1-(1-(1/(1+EXP(-(BT40-BO40)))*Parameters!$B$3))^12)*100)</f>
        <v/>
      </c>
      <c r="CH40" s="25">
        <f>IF(AD40=1,0,BV40-(1-(1-(1/(1+EXP(-(BT40-BP40)))*Parameters!$B$3))^12)*100)</f>
        <v/>
      </c>
      <c r="CI40" s="25">
        <f>IF(AD40=1,0,BV40-(1-(1-(1/(1+EXP(-(BT40-BQ40)))*Parameters!$B$3))^12)*100)</f>
        <v/>
      </c>
      <c r="CJ40" s="25">
        <f>IF(AD40=1,0,BV40-(1-(1-(1/(1+EXP(-(BT40-BR40)))*Parameters!$B$3))^12)*100)</f>
        <v/>
      </c>
    </row>
    <row r="41">
      <c r="A41" s="17" t="inlineStr">
        <is>
          <t>GNR_2024_NEW</t>
        </is>
      </c>
      <c r="B41" s="17" t="inlineStr">
        <is>
          <t>3618B2CD9</t>
        </is>
      </c>
      <c r="C41" s="17" t="inlineStr">
        <is>
          <t>PN</t>
        </is>
      </c>
      <c r="D41" s="17" t="inlineStr">
        <is>
          <t>NEWPOINT REAL ESTATE CAPITAL LLC</t>
        </is>
      </c>
      <c r="E41" s="17" t="inlineStr">
        <is>
          <t>3618B2CD9_000000011335946</t>
        </is>
      </c>
      <c r="F41" s="17" t="n">
        <v>202603</v>
      </c>
      <c r="G41" s="18" t="n">
        <v>5.6</v>
      </c>
      <c r="H41" s="19" t="n">
        <v>36396488.33</v>
      </c>
      <c r="I41" s="17" t="n">
        <v>502</v>
      </c>
      <c r="J41" s="17" t="n">
        <v>20230719</v>
      </c>
      <c r="K41" s="17" t="n">
        <v>20650601</v>
      </c>
      <c r="L41" s="17" t="n"/>
      <c r="M41" s="17" t="n">
        <v>20350701</v>
      </c>
      <c r="N41" s="17" t="n">
        <v>10</v>
      </c>
      <c r="O41" s="17" t="inlineStr">
        <is>
          <t>221(D)(4)</t>
        </is>
      </c>
      <c r="P41" s="17" t="inlineStr">
        <is>
          <t>MKT</t>
        </is>
      </c>
      <c r="Q41" s="17" t="n"/>
      <c r="R41" s="17" t="n"/>
      <c r="S41" s="17" t="n"/>
      <c r="T41" s="17" t="inlineStr">
        <is>
          <t>TX</t>
        </is>
      </c>
      <c r="U41" s="17" t="n">
        <v>225</v>
      </c>
      <c r="V41" s="17" t="n">
        <v>490.5</v>
      </c>
      <c r="W41" s="17" t="n">
        <v>32</v>
      </c>
      <c r="X41" s="17" t="n">
        <v>2023</v>
      </c>
      <c r="Y41" s="17" t="n">
        <v>1.5</v>
      </c>
      <c r="Z41" s="17" t="n">
        <v>10</v>
      </c>
      <c r="AA41" s="20">
        <f>IF(ISNUMBER(W41),W41,IFERROR(MAX(0,(VALUE(LEFT(F41,4))-VALUE(LEFT(TEXT(J41,"00000000"),4)))*12+(VALUE(MID(F41,5,2))-VALUE(MID(TEXT(J41,"00000000"),5,2)))),""))</f>
        <v/>
      </c>
      <c r="AB41" s="20">
        <f>IFERROR((VALUE(LEFT(TEXT(K41,"00000000"),4))-VALUE(LEFT(F41,4)))*12+(VALUE(MID(TEXT(K41,"00000000"),5,2))-VALUE(MID(F41,5,2))),"")</f>
        <v/>
      </c>
      <c r="AC41" s="20">
        <f>IF(OR(L41="",NOT(ISNUMBER(L41))),0,MAX(0,MIN(60,(VALUE(LEFT(F41,4))-VALUE(LEFT(TEXT(L41,"00000000"),4)))*12+(VALUE(MID(F41,5,2))-VALUE(MID(TEXT(L41,"00000000"),5,2))))))</f>
        <v/>
      </c>
      <c r="AD41" s="20">
        <f>IF(OR(L41="",NOT(ISNUMBER(L41))),0,IF(VALUE(F41)&lt;VALUE(LEFT(TEXT(L41,"00000000"),6)),1,0))</f>
        <v/>
      </c>
      <c r="AE41" s="20">
        <f>IF(OR(M41="",NOT(ISNUMBER(M41))),0,IF(VALUE(F41)&lt;VALUE(LEFT(TEXT(M41,"00000000"),6)),1,0))</f>
        <v/>
      </c>
      <c r="AF41" s="20">
        <f>IF(AND(AD41=0,AE41=0),1,0)</f>
        <v/>
      </c>
      <c r="AG41" s="20">
        <f>IF(ISNUMBER(X41),X41,IFERROR(VALUE(LEFT(TEXT(J41,"00000000"),4)),""))</f>
        <v/>
      </c>
      <c r="AH41" s="20">
        <f>IFERROR(XLOOKUP(AG41,Vintage_Rates!$A$2:$A$1000,Vintage_Rates!$B$2:$B$1000,""),"")</f>
        <v/>
      </c>
      <c r="AI41" s="20">
        <f>IF(ISNUMBER(Y41),Y41,IFERROR((G41-AH41)*100,""))</f>
        <v/>
      </c>
      <c r="AJ41" s="20">
        <f>IF(ISNUMBER(V41),V41,IFERROR(XLOOKUP(VALUE(F41),PLC_Rates!$A$2:$A$1000,PLC_Rates!$B$2:$B$1000,""),""))</f>
        <v/>
      </c>
      <c r="AK41" s="20">
        <f>IF(ISNUMBER(Z41),Z41,IF(AE41=0,0,MAX(0,MIN(10,((VALUE(LEFT(TEXT(M41,"00000000"),4))-VALUE(LEFT(F41,4)))*12+(VALUE(MID(TEXT(M41,"00000000"),5,2))-VALUE(MID(F41,5,2))))/12))))</f>
        <v/>
      </c>
      <c r="AL41" s="20">
        <f>IFERROR(G41*100-AJ41,"")</f>
        <v/>
      </c>
      <c r="AM41" s="20">
        <f>IFERROR(G41*100-(AJ41+(1+AK41)*12.5),"")</f>
        <v/>
      </c>
      <c r="AN41" s="21">
        <f>IFERROR(MIN(H41/1000000,100),"")</f>
        <v/>
      </c>
      <c r="AO41" s="20">
        <f>IFERROR(INDEX(FHA_Lookup!$B$2:$B$11,MATCH(TRUE,ISNUMBER(SEARCH(FHA_Lookup!$A$2:$A$11,UPPER(SUBSTITUTE(O41," ","")))),0)),"OTHER")</f>
        <v/>
      </c>
      <c r="AP41" s="20">
        <f>IFERROR(INDEX(FHA_Lookup!$C$2:$C$11,MATCH(TRUE,ISNUMBER(SEARCH(FHA_Lookup!$A$2:$A$11,UPPER(SUBSTITUTE(O41," ","")))),0)),"OTHER")</f>
        <v/>
      </c>
      <c r="AQ41" s="20">
        <f>IF(AP41="NC",1,0)</f>
        <v/>
      </c>
      <c r="AR41" s="20">
        <f>IF(UPPER(TRIM(P41))="AFF",1,0)</f>
        <v/>
      </c>
      <c r="AS41" s="20">
        <f>IF(UPPER(TRIM(P41))="BAF",1,0)</f>
        <v/>
      </c>
      <c r="AT41" s="20">
        <f>IF(UPPER(TRIM(P41))="MKT",1,0)</f>
        <v/>
      </c>
      <c r="AU41" s="20">
        <f>IF(AO41="221d4",1,0)</f>
        <v/>
      </c>
      <c r="AV41" s="20">
        <f>IF(AO41="223a7",1,0)</f>
        <v/>
      </c>
      <c r="AW41" s="20">
        <f>IF(AO41="232",1,0)</f>
        <v/>
      </c>
      <c r="AX41" s="20">
        <f>IF(AO41="538",1,0)</f>
        <v/>
      </c>
      <c r="AY41" s="20">
        <f>IF(AO41="241",1,0)</f>
        <v/>
      </c>
      <c r="AZ41" s="20">
        <f>IF(AO41="220",1,0)</f>
        <v/>
      </c>
      <c r="BA41" s="20">
        <f>IF(AO41="OTHER",1,0)</f>
        <v/>
      </c>
      <c r="BB41" s="20">
        <f>IF(UPPER(TRIM(C41))="LM",1,0)</f>
        <v/>
      </c>
      <c r="BC41" s="20">
        <f>IF(UPPER(TRIM(C41))="PN",1,0)</f>
        <v/>
      </c>
      <c r="BD41" s="20">
        <f>IF(UPPER(TRIM(C41))="LS",1,0)</f>
        <v/>
      </c>
      <c r="BE41" s="20">
        <f>IF(UPPER(TRIM(C41))="RX",1,0)</f>
        <v/>
      </c>
      <c r="BF41" s="22">
        <f>IFERROR((Parameters!$C$6*AM41+Parameters!$C$7*MAX(AM41-(-150),0)+Parameters!$C$8*MAX(AM41-(-50),0)+Parameters!$C$9*MAX(AM41-(0),0)+Parameters!$C$10*MAX(AM41-(50),0)+Parameters!$C$11*MAX(AM41-(100),0)+Parameters!$C$12*MAX(AM41-(150),0)+Parameters!$C$13*MAX(AM41-(250),0)),0)</f>
        <v/>
      </c>
      <c r="BG41" s="22">
        <f>IFERROR((Parameters!$C$14*AA41+Parameters!$C$15*MAX(AA41-(12),0)+Parameters!$C$16*MAX(AA41-(36),0)+Parameters!$C$17*MAX(AA41-(60),0)+Parameters!$C$18*MAX(AA41-(84),0)+Parameters!$C$19*MAX(AA41-(120),0)+Parameters!$C$20*MAX(AA41-(180),0)),0)</f>
        <v/>
      </c>
      <c r="BH41" s="22">
        <f>IFERROR((Parameters!$C$21*AK41+Parameters!$C$22*MAX(AK41-(0),0)+Parameters!$C$23*MAX(AK41-(2),0)+Parameters!$C$24*MAX(AK41-(5),0)+Parameters!$C$25*MAX(AK41-(8),0)),0)</f>
        <v/>
      </c>
      <c r="BI41" s="22">
        <f>IFERROR((Parameters!$C$26*AI41+Parameters!$C$27*MAX(AI41-(-100),0)+Parameters!$C$28*MAX(AI41-(-25),0)+Parameters!$C$29*MAX(AI41-(25),0)+Parameters!$C$30*MAX(AI41-(100),0)),0)</f>
        <v/>
      </c>
      <c r="BJ41" s="22">
        <f>IFERROR((Parameters!$C$31*AN41+Parameters!$C$32*MAX(AN41-(2),0)+Parameters!$C$33*MAX(AN41-(10),0)+Parameters!$C$34*MAX(AN41-(25),0)),0)</f>
        <v/>
      </c>
      <c r="BK41" s="22">
        <f>IFERROR((Parameters!$C$35*AB41+Parameters!$C$36*MAX(AB41-(12),0)+Parameters!$C$37*MAX(AB41-(24),0)+Parameters!$C$38*MAX(AB41-(60),0)),0)</f>
        <v/>
      </c>
      <c r="BL41" s="22">
        <f>IFERROR((Parameters!$C$39*AC41+Parameters!$C$40*MAX(AC41-(6),0)+Parameters!$C$41*MAX(AC41-(12),0)+Parameters!$C$42*MAX(AC41-(24),0)),0)</f>
        <v/>
      </c>
      <c r="BM41" s="22">
        <f>IFERROR(Parameters!$C$43*(MAX(AM41,0)*MIN(MAX(AK41,0),10))/100,0)</f>
        <v/>
      </c>
      <c r="BN41" s="22">
        <f>Parameters!$C$44*AE41</f>
        <v/>
      </c>
      <c r="BO41" s="22">
        <f>Parameters!$C$45*AU41 + Parameters!$C$46*AV41 + Parameters!$C$47*AW41 + Parameters!$C$48*AX41 + Parameters!$C$49*AY41 + Parameters!$C$50*AZ41 + Parameters!$C$51*BA41</f>
        <v/>
      </c>
      <c r="BP41" s="22">
        <f>Parameters!$C$52*AQ41</f>
        <v/>
      </c>
      <c r="BQ41" s="22">
        <f>Parameters!$C$53*AR41+Parameters!$C$54*AS41+Parameters!$C$55*AT41</f>
        <v/>
      </c>
      <c r="BR41" s="22">
        <f>Parameters!$C$56*BB41+Parameters!$C$57*BC41+Parameters!$C$58*BD41+Parameters!$C$59*BE41</f>
        <v/>
      </c>
      <c r="BS41" s="23">
        <f>Parameters!$B$2</f>
        <v/>
      </c>
      <c r="BT41" s="23">
        <f>BS41+BF41 + BG41 + BH41 + BI41 + BJ41 + BK41 + BL41 + BM41 + BN41 + BO41 + BP41 + BQ41 + BR41</f>
        <v/>
      </c>
      <c r="BU41" s="24">
        <f>IF(AD41=1,0,1/(1+EXP(-BT41))*Parameters!$B$3)</f>
        <v/>
      </c>
      <c r="BV41" s="25">
        <f>(1-(1-BU41)^12)*100</f>
        <v/>
      </c>
      <c r="BW41" s="25">
        <f>IF(AD41=1,0,(1-(1-1/(1+EXP(-Parameters!$B$2)))^12)*100)</f>
        <v/>
      </c>
      <c r="BX41" s="25">
        <f>IF(AD41=1,0,BV41-(1-(1-(1/(1+EXP(-(BT41-BF41)))*Parameters!$B$3))^12)*100)</f>
        <v/>
      </c>
      <c r="BY41" s="25">
        <f>IF(AD41=1,0,BV41-(1-(1-(1/(1+EXP(-(BT41-BG41)))*Parameters!$B$3))^12)*100)</f>
        <v/>
      </c>
      <c r="BZ41" s="25">
        <f>IF(AD41=1,0,BV41-(1-(1-(1/(1+EXP(-(BT41-BH41)))*Parameters!$B$3))^12)*100)</f>
        <v/>
      </c>
      <c r="CA41" s="25">
        <f>IF(AD41=1,0,BV41-(1-(1-(1/(1+EXP(-(BT41-BI41)))*Parameters!$B$3))^12)*100)</f>
        <v/>
      </c>
      <c r="CB41" s="25">
        <f>IF(AD41=1,0,BV41-(1-(1-(1/(1+EXP(-(BT41-BJ41)))*Parameters!$B$3))^12)*100)</f>
        <v/>
      </c>
      <c r="CC41" s="25">
        <f>IF(AD41=1,0,BV41-(1-(1-(1/(1+EXP(-(BT41-BK41)))*Parameters!$B$3))^12)*100)</f>
        <v/>
      </c>
      <c r="CD41" s="25">
        <f>IF(AD41=1,0,BV41-(1-(1-(1/(1+EXP(-(BT41-BL41)))*Parameters!$B$3))^12)*100)</f>
        <v/>
      </c>
      <c r="CE41" s="25">
        <f>IF(AD41=1,0,BV41-(1-(1-(1/(1+EXP(-(BT41-BM41)))*Parameters!$B$3))^12)*100)</f>
        <v/>
      </c>
      <c r="CF41" s="25">
        <f>IF(AD41=1,0,BV41-(1-(1-(1/(1+EXP(-(BT41-BN41)))*Parameters!$B$3))^12)*100)</f>
        <v/>
      </c>
      <c r="CG41" s="25">
        <f>IF(AD41=1,0,BV41-(1-(1-(1/(1+EXP(-(BT41-BO41)))*Parameters!$B$3))^12)*100)</f>
        <v/>
      </c>
      <c r="CH41" s="25">
        <f>IF(AD41=1,0,BV41-(1-(1-(1/(1+EXP(-(BT41-BP41)))*Parameters!$B$3))^12)*100)</f>
        <v/>
      </c>
      <c r="CI41" s="25">
        <f>IF(AD41=1,0,BV41-(1-(1-(1/(1+EXP(-(BT41-BQ41)))*Parameters!$B$3))^12)*100)</f>
        <v/>
      </c>
      <c r="CJ41" s="25">
        <f>IF(AD41=1,0,BV41-(1-(1-(1/(1+EXP(-(BT41-BR41)))*Parameters!$B$3))^12)*100)</f>
        <v/>
      </c>
    </row>
    <row r="42">
      <c r="A42" s="17" t="inlineStr">
        <is>
          <t>GNR_2024_NEW</t>
        </is>
      </c>
      <c r="B42" s="17" t="inlineStr">
        <is>
          <t>3618L6PW3</t>
        </is>
      </c>
      <c r="C42" s="17" t="inlineStr">
        <is>
          <t>PN</t>
        </is>
      </c>
      <c r="D42" s="17" t="inlineStr">
        <is>
          <t>KEYBANK NATIONAL ASSOCIATION</t>
        </is>
      </c>
      <c r="E42" s="17" t="inlineStr">
        <is>
          <t>3618L6PW3_000000005122235</t>
        </is>
      </c>
      <c r="F42" s="17" t="n">
        <v>202603</v>
      </c>
      <c r="G42" s="18" t="n">
        <v>6.09</v>
      </c>
      <c r="H42" s="19" t="n">
        <v>26153808.05</v>
      </c>
      <c r="I42" s="17" t="n">
        <v>420</v>
      </c>
      <c r="J42" s="17" t="n">
        <v>20250501</v>
      </c>
      <c r="K42" s="17" t="n">
        <v>20600601</v>
      </c>
      <c r="L42" s="17" t="n"/>
      <c r="M42" s="17" t="n">
        <v>20350630</v>
      </c>
      <c r="N42" s="17" t="n">
        <v>10</v>
      </c>
      <c r="O42" s="17" t="inlineStr">
        <is>
          <t>232/223(F)</t>
        </is>
      </c>
      <c r="P42" s="17" t="n"/>
      <c r="Q42" s="17" t="n"/>
      <c r="R42" s="17" t="n"/>
      <c r="S42" s="17" t="n"/>
      <c r="T42" s="17" t="inlineStr">
        <is>
          <t>VA</t>
        </is>
      </c>
      <c r="U42" s="17" t="n">
        <v>62</v>
      </c>
      <c r="V42" s="17" t="n">
        <v>490.5</v>
      </c>
      <c r="W42" s="17" t="n">
        <v>10</v>
      </c>
      <c r="X42" s="17" t="n">
        <v>2025</v>
      </c>
      <c r="Y42" s="17" t="n">
        <v>27</v>
      </c>
      <c r="Z42" s="17" t="n">
        <v>10</v>
      </c>
      <c r="AA42" s="20">
        <f>IF(ISNUMBER(W42),W42,IFERROR(MAX(0,(VALUE(LEFT(F42,4))-VALUE(LEFT(TEXT(J42,"00000000"),4)))*12+(VALUE(MID(F42,5,2))-VALUE(MID(TEXT(J42,"00000000"),5,2)))),""))</f>
        <v/>
      </c>
      <c r="AB42" s="20">
        <f>IFERROR((VALUE(LEFT(TEXT(K42,"00000000"),4))-VALUE(LEFT(F42,4)))*12+(VALUE(MID(TEXT(K42,"00000000"),5,2))-VALUE(MID(F42,5,2))),"")</f>
        <v/>
      </c>
      <c r="AC42" s="20">
        <f>IF(OR(L42="",NOT(ISNUMBER(L42))),0,MAX(0,MIN(60,(VALUE(LEFT(F42,4))-VALUE(LEFT(TEXT(L42,"00000000"),4)))*12+(VALUE(MID(F42,5,2))-VALUE(MID(TEXT(L42,"00000000"),5,2))))))</f>
        <v/>
      </c>
      <c r="AD42" s="20">
        <f>IF(OR(L42="",NOT(ISNUMBER(L42))),0,IF(VALUE(F42)&lt;VALUE(LEFT(TEXT(L42,"00000000"),6)),1,0))</f>
        <v/>
      </c>
      <c r="AE42" s="20">
        <f>IF(OR(M42="",NOT(ISNUMBER(M42))),0,IF(VALUE(F42)&lt;VALUE(LEFT(TEXT(M42,"00000000"),6)),1,0))</f>
        <v/>
      </c>
      <c r="AF42" s="20">
        <f>IF(AND(AD42=0,AE42=0),1,0)</f>
        <v/>
      </c>
      <c r="AG42" s="20">
        <f>IF(ISNUMBER(X42),X42,IFERROR(VALUE(LEFT(TEXT(J42,"00000000"),4)),""))</f>
        <v/>
      </c>
      <c r="AH42" s="20">
        <f>IFERROR(XLOOKUP(AG42,Vintage_Rates!$A$2:$A$1000,Vintage_Rates!$B$2:$B$1000,""),"")</f>
        <v/>
      </c>
      <c r="AI42" s="20">
        <f>IF(ISNUMBER(Y42),Y42,IFERROR((G42-AH42)*100,""))</f>
        <v/>
      </c>
      <c r="AJ42" s="20">
        <f>IF(ISNUMBER(V42),V42,IFERROR(XLOOKUP(VALUE(F42),PLC_Rates!$A$2:$A$1000,PLC_Rates!$B$2:$B$1000,""),""))</f>
        <v/>
      </c>
      <c r="AK42" s="20">
        <f>IF(ISNUMBER(Z42),Z42,IF(AE42=0,0,MAX(0,MIN(10,((VALUE(LEFT(TEXT(M42,"00000000"),4))-VALUE(LEFT(F42,4)))*12+(VALUE(MID(TEXT(M42,"00000000"),5,2))-VALUE(MID(F42,5,2))))/12))))</f>
        <v/>
      </c>
      <c r="AL42" s="20">
        <f>IFERROR(G42*100-AJ42,"")</f>
        <v/>
      </c>
      <c r="AM42" s="20">
        <f>IFERROR(G42*100-(AJ42+(1+AK42)*12.5),"")</f>
        <v/>
      </c>
      <c r="AN42" s="21">
        <f>IFERROR(MIN(H42/1000000,100),"")</f>
        <v/>
      </c>
      <c r="AO42" s="20">
        <f>IFERROR(INDEX(FHA_Lookup!$B$2:$B$11,MATCH(TRUE,ISNUMBER(SEARCH(FHA_Lookup!$A$2:$A$11,UPPER(SUBSTITUTE(O42," ","")))),0)),"OTHER")</f>
        <v/>
      </c>
      <c r="AP42" s="20">
        <f>IFERROR(INDEX(FHA_Lookup!$C$2:$C$11,MATCH(TRUE,ISNUMBER(SEARCH(FHA_Lookup!$A$2:$A$11,UPPER(SUBSTITUTE(O42," ","")))),0)),"OTHER")</f>
        <v/>
      </c>
      <c r="AQ42" s="20">
        <f>IF(AP42="NC",1,0)</f>
        <v/>
      </c>
      <c r="AR42" s="20">
        <f>IF(UPPER(TRIM(P42))="AFF",1,0)</f>
        <v/>
      </c>
      <c r="AS42" s="20">
        <f>IF(UPPER(TRIM(P42))="BAF",1,0)</f>
        <v/>
      </c>
      <c r="AT42" s="20">
        <f>IF(UPPER(TRIM(P42))="MKT",1,0)</f>
        <v/>
      </c>
      <c r="AU42" s="20">
        <f>IF(AO42="221d4",1,0)</f>
        <v/>
      </c>
      <c r="AV42" s="20">
        <f>IF(AO42="223a7",1,0)</f>
        <v/>
      </c>
      <c r="AW42" s="20">
        <f>IF(AO42="232",1,0)</f>
        <v/>
      </c>
      <c r="AX42" s="20">
        <f>IF(AO42="538",1,0)</f>
        <v/>
      </c>
      <c r="AY42" s="20">
        <f>IF(AO42="241",1,0)</f>
        <v/>
      </c>
      <c r="AZ42" s="20">
        <f>IF(AO42="220",1,0)</f>
        <v/>
      </c>
      <c r="BA42" s="20">
        <f>IF(AO42="OTHER",1,0)</f>
        <v/>
      </c>
      <c r="BB42" s="20">
        <f>IF(UPPER(TRIM(C42))="LM",1,0)</f>
        <v/>
      </c>
      <c r="BC42" s="20">
        <f>IF(UPPER(TRIM(C42))="PN",1,0)</f>
        <v/>
      </c>
      <c r="BD42" s="20">
        <f>IF(UPPER(TRIM(C42))="LS",1,0)</f>
        <v/>
      </c>
      <c r="BE42" s="20">
        <f>IF(UPPER(TRIM(C42))="RX",1,0)</f>
        <v/>
      </c>
      <c r="BF42" s="22">
        <f>IFERROR((Parameters!$C$6*AM42+Parameters!$C$7*MAX(AM42-(-150),0)+Parameters!$C$8*MAX(AM42-(-50),0)+Parameters!$C$9*MAX(AM42-(0),0)+Parameters!$C$10*MAX(AM42-(50),0)+Parameters!$C$11*MAX(AM42-(100),0)+Parameters!$C$12*MAX(AM42-(150),0)+Parameters!$C$13*MAX(AM42-(250),0)),0)</f>
        <v/>
      </c>
      <c r="BG42" s="22">
        <f>IFERROR((Parameters!$C$14*AA42+Parameters!$C$15*MAX(AA42-(12),0)+Parameters!$C$16*MAX(AA42-(36),0)+Parameters!$C$17*MAX(AA42-(60),0)+Parameters!$C$18*MAX(AA42-(84),0)+Parameters!$C$19*MAX(AA42-(120),0)+Parameters!$C$20*MAX(AA42-(180),0)),0)</f>
        <v/>
      </c>
      <c r="BH42" s="22">
        <f>IFERROR((Parameters!$C$21*AK42+Parameters!$C$22*MAX(AK42-(0),0)+Parameters!$C$23*MAX(AK42-(2),0)+Parameters!$C$24*MAX(AK42-(5),0)+Parameters!$C$25*MAX(AK42-(8),0)),0)</f>
        <v/>
      </c>
      <c r="BI42" s="22">
        <f>IFERROR((Parameters!$C$26*AI42+Parameters!$C$27*MAX(AI42-(-100),0)+Parameters!$C$28*MAX(AI42-(-25),0)+Parameters!$C$29*MAX(AI42-(25),0)+Parameters!$C$30*MAX(AI42-(100),0)),0)</f>
        <v/>
      </c>
      <c r="BJ42" s="22">
        <f>IFERROR((Parameters!$C$31*AN42+Parameters!$C$32*MAX(AN42-(2),0)+Parameters!$C$33*MAX(AN42-(10),0)+Parameters!$C$34*MAX(AN42-(25),0)),0)</f>
        <v/>
      </c>
      <c r="BK42" s="22">
        <f>IFERROR((Parameters!$C$35*AB42+Parameters!$C$36*MAX(AB42-(12),0)+Parameters!$C$37*MAX(AB42-(24),0)+Parameters!$C$38*MAX(AB42-(60),0)),0)</f>
        <v/>
      </c>
      <c r="BL42" s="22">
        <f>IFERROR((Parameters!$C$39*AC42+Parameters!$C$40*MAX(AC42-(6),0)+Parameters!$C$41*MAX(AC42-(12),0)+Parameters!$C$42*MAX(AC42-(24),0)),0)</f>
        <v/>
      </c>
      <c r="BM42" s="22">
        <f>IFERROR(Parameters!$C$43*(MAX(AM42,0)*MIN(MAX(AK42,0),10))/100,0)</f>
        <v/>
      </c>
      <c r="BN42" s="22">
        <f>Parameters!$C$44*AE42</f>
        <v/>
      </c>
      <c r="BO42" s="22">
        <f>Parameters!$C$45*AU42 + Parameters!$C$46*AV42 + Parameters!$C$47*AW42 + Parameters!$C$48*AX42 + Parameters!$C$49*AY42 + Parameters!$C$50*AZ42 + Parameters!$C$51*BA42</f>
        <v/>
      </c>
      <c r="BP42" s="22">
        <f>Parameters!$C$52*AQ42</f>
        <v/>
      </c>
      <c r="BQ42" s="22">
        <f>Parameters!$C$53*AR42+Parameters!$C$54*AS42+Parameters!$C$55*AT42</f>
        <v/>
      </c>
      <c r="BR42" s="22">
        <f>Parameters!$C$56*BB42+Parameters!$C$57*BC42+Parameters!$C$58*BD42+Parameters!$C$59*BE42</f>
        <v/>
      </c>
      <c r="BS42" s="23">
        <f>Parameters!$B$2</f>
        <v/>
      </c>
      <c r="BT42" s="23">
        <f>BS42+BF42 + BG42 + BH42 + BI42 + BJ42 + BK42 + BL42 + BM42 + BN42 + BO42 + BP42 + BQ42 + BR42</f>
        <v/>
      </c>
      <c r="BU42" s="24">
        <f>IF(AD42=1,0,1/(1+EXP(-BT42))*Parameters!$B$3)</f>
        <v/>
      </c>
      <c r="BV42" s="25">
        <f>(1-(1-BU42)^12)*100</f>
        <v/>
      </c>
      <c r="BW42" s="25">
        <f>IF(AD42=1,0,(1-(1-1/(1+EXP(-Parameters!$B$2)))^12)*100)</f>
        <v/>
      </c>
      <c r="BX42" s="25">
        <f>IF(AD42=1,0,BV42-(1-(1-(1/(1+EXP(-(BT42-BF42)))*Parameters!$B$3))^12)*100)</f>
        <v/>
      </c>
      <c r="BY42" s="25">
        <f>IF(AD42=1,0,BV42-(1-(1-(1/(1+EXP(-(BT42-BG42)))*Parameters!$B$3))^12)*100)</f>
        <v/>
      </c>
      <c r="BZ42" s="25">
        <f>IF(AD42=1,0,BV42-(1-(1-(1/(1+EXP(-(BT42-BH42)))*Parameters!$B$3))^12)*100)</f>
        <v/>
      </c>
      <c r="CA42" s="25">
        <f>IF(AD42=1,0,BV42-(1-(1-(1/(1+EXP(-(BT42-BI42)))*Parameters!$B$3))^12)*100)</f>
        <v/>
      </c>
      <c r="CB42" s="25">
        <f>IF(AD42=1,0,BV42-(1-(1-(1/(1+EXP(-(BT42-BJ42)))*Parameters!$B$3))^12)*100)</f>
        <v/>
      </c>
      <c r="CC42" s="25">
        <f>IF(AD42=1,0,BV42-(1-(1-(1/(1+EXP(-(BT42-BK42)))*Parameters!$B$3))^12)*100)</f>
        <v/>
      </c>
      <c r="CD42" s="25">
        <f>IF(AD42=1,0,BV42-(1-(1-(1/(1+EXP(-(BT42-BL42)))*Parameters!$B$3))^12)*100)</f>
        <v/>
      </c>
      <c r="CE42" s="25">
        <f>IF(AD42=1,0,BV42-(1-(1-(1/(1+EXP(-(BT42-BM42)))*Parameters!$B$3))^12)*100)</f>
        <v/>
      </c>
      <c r="CF42" s="25">
        <f>IF(AD42=1,0,BV42-(1-(1-(1/(1+EXP(-(BT42-BN42)))*Parameters!$B$3))^12)*100)</f>
        <v/>
      </c>
      <c r="CG42" s="25">
        <f>IF(AD42=1,0,BV42-(1-(1-(1/(1+EXP(-(BT42-BO42)))*Parameters!$B$3))^12)*100)</f>
        <v/>
      </c>
      <c r="CH42" s="25">
        <f>IF(AD42=1,0,BV42-(1-(1-(1/(1+EXP(-(BT42-BP42)))*Parameters!$B$3))^12)*100)</f>
        <v/>
      </c>
      <c r="CI42" s="25">
        <f>IF(AD42=1,0,BV42-(1-(1-(1/(1+EXP(-(BT42-BQ42)))*Parameters!$B$3))^12)*100)</f>
        <v/>
      </c>
      <c r="CJ42" s="25">
        <f>IF(AD42=1,0,BV42-(1-(1-(1/(1+EXP(-(BT42-BR42)))*Parameters!$B$3))^12)*100)</f>
        <v/>
      </c>
    </row>
    <row r="43">
      <c r="A43" s="17" t="inlineStr">
        <is>
          <t>GNR_2024_NEW</t>
        </is>
      </c>
      <c r="B43" s="17" t="inlineStr">
        <is>
          <t>3618V47L1</t>
        </is>
      </c>
      <c r="C43" s="17" t="inlineStr">
        <is>
          <t>PN</t>
        </is>
      </c>
      <c r="D43" s="17" t="inlineStr">
        <is>
          <t>PGIM REAL ESTATE AGENCY FINANCING, LLC.</t>
        </is>
      </c>
      <c r="E43" s="17" t="inlineStr">
        <is>
          <t>3618V47L1_000000012411068</t>
        </is>
      </c>
      <c r="F43" s="17" t="n">
        <v>202603</v>
      </c>
      <c r="G43" s="18" t="n">
        <v>5.38</v>
      </c>
      <c r="H43" s="19" t="n">
        <v>18922188.41</v>
      </c>
      <c r="I43" s="17" t="n">
        <v>420</v>
      </c>
      <c r="J43" s="17" t="n">
        <v>20251101</v>
      </c>
      <c r="K43" s="17" t="n">
        <v>20601201</v>
      </c>
      <c r="L43" s="17" t="n"/>
      <c r="M43" s="17" t="n">
        <v>20351231</v>
      </c>
      <c r="N43" s="17" t="n">
        <v>10</v>
      </c>
      <c r="O43" s="17" t="inlineStr">
        <is>
          <t>207/223(F)</t>
        </is>
      </c>
      <c r="P43" s="17" t="n"/>
      <c r="Q43" s="17" t="n"/>
      <c r="R43" s="17" t="n"/>
      <c r="S43" s="17" t="n"/>
      <c r="T43" s="17" t="inlineStr">
        <is>
          <t>ID</t>
        </is>
      </c>
      <c r="U43" s="17" t="n">
        <v>144</v>
      </c>
      <c r="V43" s="17" t="n">
        <v>490.5</v>
      </c>
      <c r="W43" s="17" t="n">
        <v>4</v>
      </c>
      <c r="X43" s="17" t="n">
        <v>2025</v>
      </c>
      <c r="Y43" s="17" t="n">
        <v>-44</v>
      </c>
      <c r="Z43" s="17" t="n">
        <v>0</v>
      </c>
      <c r="AA43" s="20">
        <f>IF(ISNUMBER(W43),W43,IFERROR(MAX(0,(VALUE(LEFT(F43,4))-VALUE(LEFT(TEXT(J43,"00000000"),4)))*12+(VALUE(MID(F43,5,2))-VALUE(MID(TEXT(J43,"00000000"),5,2)))),""))</f>
        <v/>
      </c>
      <c r="AB43" s="20">
        <f>IFERROR((VALUE(LEFT(TEXT(K43,"00000000"),4))-VALUE(LEFT(F43,4)))*12+(VALUE(MID(TEXT(K43,"00000000"),5,2))-VALUE(MID(F43,5,2))),"")</f>
        <v/>
      </c>
      <c r="AC43" s="20">
        <f>IF(OR(L43="",NOT(ISNUMBER(L43))),0,MAX(0,MIN(60,(VALUE(LEFT(F43,4))-VALUE(LEFT(TEXT(L43,"00000000"),4)))*12+(VALUE(MID(F43,5,2))-VALUE(MID(TEXT(L43,"00000000"),5,2))))))</f>
        <v/>
      </c>
      <c r="AD43" s="20">
        <f>IF(OR(L43="",NOT(ISNUMBER(L43))),0,IF(VALUE(F43)&lt;VALUE(LEFT(TEXT(L43,"00000000"),6)),1,0))</f>
        <v/>
      </c>
      <c r="AE43" s="20">
        <f>IF(OR(M43="",NOT(ISNUMBER(M43))),0,IF(VALUE(F43)&lt;VALUE(LEFT(TEXT(M43,"00000000"),6)),1,0))</f>
        <v/>
      </c>
      <c r="AF43" s="20">
        <f>IF(AND(AD43=0,AE43=0),1,0)</f>
        <v/>
      </c>
      <c r="AG43" s="20">
        <f>IF(ISNUMBER(X43),X43,IFERROR(VALUE(LEFT(TEXT(J43,"00000000"),4)),""))</f>
        <v/>
      </c>
      <c r="AH43" s="20">
        <f>IFERROR(XLOOKUP(AG43,Vintage_Rates!$A$2:$A$1000,Vintage_Rates!$B$2:$B$1000,""),"")</f>
        <v/>
      </c>
      <c r="AI43" s="20">
        <f>IF(ISNUMBER(Y43),Y43,IFERROR((G43-AH43)*100,""))</f>
        <v/>
      </c>
      <c r="AJ43" s="20">
        <f>IF(ISNUMBER(V43),V43,IFERROR(XLOOKUP(VALUE(F43),PLC_Rates!$A$2:$A$1000,PLC_Rates!$B$2:$B$1000,""),""))</f>
        <v/>
      </c>
      <c r="AK43" s="20">
        <f>IF(ISNUMBER(Z43),Z43,IF(AE43=0,0,MAX(0,MIN(10,((VALUE(LEFT(TEXT(M43,"00000000"),4))-VALUE(LEFT(F43,4)))*12+(VALUE(MID(TEXT(M43,"00000000"),5,2))-VALUE(MID(F43,5,2))))/12))))</f>
        <v/>
      </c>
      <c r="AL43" s="20">
        <f>IFERROR(G43*100-AJ43,"")</f>
        <v/>
      </c>
      <c r="AM43" s="20">
        <f>IFERROR(G43*100-(AJ43+(1+AK43)*12.5),"")</f>
        <v/>
      </c>
      <c r="AN43" s="21">
        <f>IFERROR(MIN(H43/1000000,100),"")</f>
        <v/>
      </c>
      <c r="AO43" s="20">
        <f>IFERROR(INDEX(FHA_Lookup!$B$2:$B$11,MATCH(TRUE,ISNUMBER(SEARCH(FHA_Lookup!$A$2:$A$11,UPPER(SUBSTITUTE(O43," ","")))),0)),"OTHER")</f>
        <v/>
      </c>
      <c r="AP43" s="20">
        <f>IFERROR(INDEX(FHA_Lookup!$C$2:$C$11,MATCH(TRUE,ISNUMBER(SEARCH(FHA_Lookup!$A$2:$A$11,UPPER(SUBSTITUTE(O43," ","")))),0)),"OTHER")</f>
        <v/>
      </c>
      <c r="AQ43" s="20">
        <f>IF(AP43="NC",1,0)</f>
        <v/>
      </c>
      <c r="AR43" s="20">
        <f>IF(UPPER(TRIM(P43))="AFF",1,0)</f>
        <v/>
      </c>
      <c r="AS43" s="20">
        <f>IF(UPPER(TRIM(P43))="BAF",1,0)</f>
        <v/>
      </c>
      <c r="AT43" s="20">
        <f>IF(UPPER(TRIM(P43))="MKT",1,0)</f>
        <v/>
      </c>
      <c r="AU43" s="20">
        <f>IF(AO43="221d4",1,0)</f>
        <v/>
      </c>
      <c r="AV43" s="20">
        <f>IF(AO43="223a7",1,0)</f>
        <v/>
      </c>
      <c r="AW43" s="20">
        <f>IF(AO43="232",1,0)</f>
        <v/>
      </c>
      <c r="AX43" s="20">
        <f>IF(AO43="538",1,0)</f>
        <v/>
      </c>
      <c r="AY43" s="20">
        <f>IF(AO43="241",1,0)</f>
        <v/>
      </c>
      <c r="AZ43" s="20">
        <f>IF(AO43="220",1,0)</f>
        <v/>
      </c>
      <c r="BA43" s="20">
        <f>IF(AO43="OTHER",1,0)</f>
        <v/>
      </c>
      <c r="BB43" s="20">
        <f>IF(UPPER(TRIM(C43))="LM",1,0)</f>
        <v/>
      </c>
      <c r="BC43" s="20">
        <f>IF(UPPER(TRIM(C43))="PN",1,0)</f>
        <v/>
      </c>
      <c r="BD43" s="20">
        <f>IF(UPPER(TRIM(C43))="LS",1,0)</f>
        <v/>
      </c>
      <c r="BE43" s="20">
        <f>IF(UPPER(TRIM(C43))="RX",1,0)</f>
        <v/>
      </c>
      <c r="BF43" s="22">
        <f>IFERROR((Parameters!$C$6*AM43+Parameters!$C$7*MAX(AM43-(-150),0)+Parameters!$C$8*MAX(AM43-(-50),0)+Parameters!$C$9*MAX(AM43-(0),0)+Parameters!$C$10*MAX(AM43-(50),0)+Parameters!$C$11*MAX(AM43-(100),0)+Parameters!$C$12*MAX(AM43-(150),0)+Parameters!$C$13*MAX(AM43-(250),0)),0)</f>
        <v/>
      </c>
      <c r="BG43" s="22">
        <f>IFERROR((Parameters!$C$14*AA43+Parameters!$C$15*MAX(AA43-(12),0)+Parameters!$C$16*MAX(AA43-(36),0)+Parameters!$C$17*MAX(AA43-(60),0)+Parameters!$C$18*MAX(AA43-(84),0)+Parameters!$C$19*MAX(AA43-(120),0)+Parameters!$C$20*MAX(AA43-(180),0)),0)</f>
        <v/>
      </c>
      <c r="BH43" s="22">
        <f>IFERROR((Parameters!$C$21*AK43+Parameters!$C$22*MAX(AK43-(0),0)+Parameters!$C$23*MAX(AK43-(2),0)+Parameters!$C$24*MAX(AK43-(5),0)+Parameters!$C$25*MAX(AK43-(8),0)),0)</f>
        <v/>
      </c>
      <c r="BI43" s="22">
        <f>IFERROR((Parameters!$C$26*AI43+Parameters!$C$27*MAX(AI43-(-100),0)+Parameters!$C$28*MAX(AI43-(-25),0)+Parameters!$C$29*MAX(AI43-(25),0)+Parameters!$C$30*MAX(AI43-(100),0)),0)</f>
        <v/>
      </c>
      <c r="BJ43" s="22">
        <f>IFERROR((Parameters!$C$31*AN43+Parameters!$C$32*MAX(AN43-(2),0)+Parameters!$C$33*MAX(AN43-(10),0)+Parameters!$C$34*MAX(AN43-(25),0)),0)</f>
        <v/>
      </c>
      <c r="BK43" s="22">
        <f>IFERROR((Parameters!$C$35*AB43+Parameters!$C$36*MAX(AB43-(12),0)+Parameters!$C$37*MAX(AB43-(24),0)+Parameters!$C$38*MAX(AB43-(60),0)),0)</f>
        <v/>
      </c>
      <c r="BL43" s="22">
        <f>IFERROR((Parameters!$C$39*AC43+Parameters!$C$40*MAX(AC43-(6),0)+Parameters!$C$41*MAX(AC43-(12),0)+Parameters!$C$42*MAX(AC43-(24),0)),0)</f>
        <v/>
      </c>
      <c r="BM43" s="22">
        <f>IFERROR(Parameters!$C$43*(MAX(AM43,0)*MIN(MAX(AK43,0),10))/100,0)</f>
        <v/>
      </c>
      <c r="BN43" s="22">
        <f>Parameters!$C$44*AE43</f>
        <v/>
      </c>
      <c r="BO43" s="22">
        <f>Parameters!$C$45*AU43 + Parameters!$C$46*AV43 + Parameters!$C$47*AW43 + Parameters!$C$48*AX43 + Parameters!$C$49*AY43 + Parameters!$C$50*AZ43 + Parameters!$C$51*BA43</f>
        <v/>
      </c>
      <c r="BP43" s="22">
        <f>Parameters!$C$52*AQ43</f>
        <v/>
      </c>
      <c r="BQ43" s="22">
        <f>Parameters!$C$53*AR43+Parameters!$C$54*AS43+Parameters!$C$55*AT43</f>
        <v/>
      </c>
      <c r="BR43" s="22">
        <f>Parameters!$C$56*BB43+Parameters!$C$57*BC43+Parameters!$C$58*BD43+Parameters!$C$59*BE43</f>
        <v/>
      </c>
      <c r="BS43" s="23">
        <f>Parameters!$B$2</f>
        <v/>
      </c>
      <c r="BT43" s="23">
        <f>BS43+BF43 + BG43 + BH43 + BI43 + BJ43 + BK43 + BL43 + BM43 + BN43 + BO43 + BP43 + BQ43 + BR43</f>
        <v/>
      </c>
      <c r="BU43" s="24">
        <f>IF(AD43=1,0,1/(1+EXP(-BT43))*Parameters!$B$3)</f>
        <v/>
      </c>
      <c r="BV43" s="25">
        <f>(1-(1-BU43)^12)*100</f>
        <v/>
      </c>
      <c r="BW43" s="25">
        <f>IF(AD43=1,0,(1-(1-1/(1+EXP(-Parameters!$B$2)))^12)*100)</f>
        <v/>
      </c>
      <c r="BX43" s="25">
        <f>IF(AD43=1,0,BV43-(1-(1-(1/(1+EXP(-(BT43-BF43)))*Parameters!$B$3))^12)*100)</f>
        <v/>
      </c>
      <c r="BY43" s="25">
        <f>IF(AD43=1,0,BV43-(1-(1-(1/(1+EXP(-(BT43-BG43)))*Parameters!$B$3))^12)*100)</f>
        <v/>
      </c>
      <c r="BZ43" s="25">
        <f>IF(AD43=1,0,BV43-(1-(1-(1/(1+EXP(-(BT43-BH43)))*Parameters!$B$3))^12)*100)</f>
        <v/>
      </c>
      <c r="CA43" s="25">
        <f>IF(AD43=1,0,BV43-(1-(1-(1/(1+EXP(-(BT43-BI43)))*Parameters!$B$3))^12)*100)</f>
        <v/>
      </c>
      <c r="CB43" s="25">
        <f>IF(AD43=1,0,BV43-(1-(1-(1/(1+EXP(-(BT43-BJ43)))*Parameters!$B$3))^12)*100)</f>
        <v/>
      </c>
      <c r="CC43" s="25">
        <f>IF(AD43=1,0,BV43-(1-(1-(1/(1+EXP(-(BT43-BK43)))*Parameters!$B$3))^12)*100)</f>
        <v/>
      </c>
      <c r="CD43" s="25">
        <f>IF(AD43=1,0,BV43-(1-(1-(1/(1+EXP(-(BT43-BL43)))*Parameters!$B$3))^12)*100)</f>
        <v/>
      </c>
      <c r="CE43" s="25">
        <f>IF(AD43=1,0,BV43-(1-(1-(1/(1+EXP(-(BT43-BM43)))*Parameters!$B$3))^12)*100)</f>
        <v/>
      </c>
      <c r="CF43" s="25">
        <f>IF(AD43=1,0,BV43-(1-(1-(1/(1+EXP(-(BT43-BN43)))*Parameters!$B$3))^12)*100)</f>
        <v/>
      </c>
      <c r="CG43" s="25">
        <f>IF(AD43=1,0,BV43-(1-(1-(1/(1+EXP(-(BT43-BO43)))*Parameters!$B$3))^12)*100)</f>
        <v/>
      </c>
      <c r="CH43" s="25">
        <f>IF(AD43=1,0,BV43-(1-(1-(1/(1+EXP(-(BT43-BP43)))*Parameters!$B$3))^12)*100)</f>
        <v/>
      </c>
      <c r="CI43" s="25">
        <f>IF(AD43=1,0,BV43-(1-(1-(1/(1+EXP(-(BT43-BQ43)))*Parameters!$B$3))^12)*100)</f>
        <v/>
      </c>
      <c r="CJ43" s="25">
        <f>IF(AD43=1,0,BV43-(1-(1-(1/(1+EXP(-(BT43-BR43)))*Parameters!$B$3))^12)*100)</f>
        <v/>
      </c>
    </row>
    <row r="44">
      <c r="A44" s="17" t="inlineStr">
        <is>
          <t>GNR_2024_NEW</t>
        </is>
      </c>
      <c r="B44" s="17" t="inlineStr">
        <is>
          <t>3618G0RD2</t>
        </is>
      </c>
      <c r="C44" s="17" t="inlineStr">
        <is>
          <t>PN</t>
        </is>
      </c>
      <c r="D44" s="17" t="inlineStr">
        <is>
          <t>VIUM CAPITAL MORTGAGE, LLC.</t>
        </is>
      </c>
      <c r="E44" s="17" t="inlineStr">
        <is>
          <t>3618G0RD2_000000007322362</t>
        </is>
      </c>
      <c r="F44" s="17" t="n">
        <v>202603</v>
      </c>
      <c r="G44" s="18" t="n">
        <v>5.75</v>
      </c>
      <c r="H44" s="19" t="n">
        <v>8700263.689999999</v>
      </c>
      <c r="I44" s="17" t="n">
        <v>420</v>
      </c>
      <c r="J44" s="17" t="n">
        <v>20240301</v>
      </c>
      <c r="K44" s="17" t="n">
        <v>20590401</v>
      </c>
      <c r="L44" s="17" t="n"/>
      <c r="M44" s="17" t="n">
        <v>20340501</v>
      </c>
      <c r="N44" s="17" t="n">
        <v>10</v>
      </c>
      <c r="O44" s="17" t="inlineStr">
        <is>
          <t>232/223(F)</t>
        </is>
      </c>
      <c r="P44" s="17" t="inlineStr">
        <is>
          <t>MKT</t>
        </is>
      </c>
      <c r="Q44" s="17" t="n"/>
      <c r="R44" s="17" t="n"/>
      <c r="S44" s="17" t="n"/>
      <c r="T44" s="17" t="inlineStr">
        <is>
          <t>IN</t>
        </is>
      </c>
      <c r="U44" s="17" t="n">
        <v>42</v>
      </c>
      <c r="V44" s="17" t="n">
        <v>490.5</v>
      </c>
      <c r="W44" s="17" t="n">
        <v>24</v>
      </c>
      <c r="X44" s="17" t="n">
        <v>2024</v>
      </c>
      <c r="Y44" s="17" t="n">
        <v>-3</v>
      </c>
      <c r="Z44" s="17" t="n">
        <v>9</v>
      </c>
      <c r="AA44" s="20">
        <f>IF(ISNUMBER(W44),W44,IFERROR(MAX(0,(VALUE(LEFT(F44,4))-VALUE(LEFT(TEXT(J44,"00000000"),4)))*12+(VALUE(MID(F44,5,2))-VALUE(MID(TEXT(J44,"00000000"),5,2)))),""))</f>
        <v/>
      </c>
      <c r="AB44" s="20">
        <f>IFERROR((VALUE(LEFT(TEXT(K44,"00000000"),4))-VALUE(LEFT(F44,4)))*12+(VALUE(MID(TEXT(K44,"00000000"),5,2))-VALUE(MID(F44,5,2))),"")</f>
        <v/>
      </c>
      <c r="AC44" s="20">
        <f>IF(OR(L44="",NOT(ISNUMBER(L44))),0,MAX(0,MIN(60,(VALUE(LEFT(F44,4))-VALUE(LEFT(TEXT(L44,"00000000"),4)))*12+(VALUE(MID(F44,5,2))-VALUE(MID(TEXT(L44,"00000000"),5,2))))))</f>
        <v/>
      </c>
      <c r="AD44" s="20">
        <f>IF(OR(L44="",NOT(ISNUMBER(L44))),0,IF(VALUE(F44)&lt;VALUE(LEFT(TEXT(L44,"00000000"),6)),1,0))</f>
        <v/>
      </c>
      <c r="AE44" s="20">
        <f>IF(OR(M44="",NOT(ISNUMBER(M44))),0,IF(VALUE(F44)&lt;VALUE(LEFT(TEXT(M44,"00000000"),6)),1,0))</f>
        <v/>
      </c>
      <c r="AF44" s="20">
        <f>IF(AND(AD44=0,AE44=0),1,0)</f>
        <v/>
      </c>
      <c r="AG44" s="20">
        <f>IF(ISNUMBER(X44),X44,IFERROR(VALUE(LEFT(TEXT(J44,"00000000"),4)),""))</f>
        <v/>
      </c>
      <c r="AH44" s="20">
        <f>IFERROR(XLOOKUP(AG44,Vintage_Rates!$A$2:$A$1000,Vintage_Rates!$B$2:$B$1000,""),"")</f>
        <v/>
      </c>
      <c r="AI44" s="20">
        <f>IF(ISNUMBER(Y44),Y44,IFERROR((G44-AH44)*100,""))</f>
        <v/>
      </c>
      <c r="AJ44" s="20">
        <f>IF(ISNUMBER(V44),V44,IFERROR(XLOOKUP(VALUE(F44),PLC_Rates!$A$2:$A$1000,PLC_Rates!$B$2:$B$1000,""),""))</f>
        <v/>
      </c>
      <c r="AK44" s="20">
        <f>IF(ISNUMBER(Z44),Z44,IF(AE44=0,0,MAX(0,MIN(10,((VALUE(LEFT(TEXT(M44,"00000000"),4))-VALUE(LEFT(F44,4)))*12+(VALUE(MID(TEXT(M44,"00000000"),5,2))-VALUE(MID(F44,5,2))))/12))))</f>
        <v/>
      </c>
      <c r="AL44" s="20">
        <f>IFERROR(G44*100-AJ44,"")</f>
        <v/>
      </c>
      <c r="AM44" s="20">
        <f>IFERROR(G44*100-(AJ44+(1+AK44)*12.5),"")</f>
        <v/>
      </c>
      <c r="AN44" s="21">
        <f>IFERROR(MIN(H44/1000000,100),"")</f>
        <v/>
      </c>
      <c r="AO44" s="20">
        <f>IFERROR(INDEX(FHA_Lookup!$B$2:$B$11,MATCH(TRUE,ISNUMBER(SEARCH(FHA_Lookup!$A$2:$A$11,UPPER(SUBSTITUTE(O44," ","")))),0)),"OTHER")</f>
        <v/>
      </c>
      <c r="AP44" s="20">
        <f>IFERROR(INDEX(FHA_Lookup!$C$2:$C$11,MATCH(TRUE,ISNUMBER(SEARCH(FHA_Lookup!$A$2:$A$11,UPPER(SUBSTITUTE(O44," ","")))),0)),"OTHER")</f>
        <v/>
      </c>
      <c r="AQ44" s="20">
        <f>IF(AP44="NC",1,0)</f>
        <v/>
      </c>
      <c r="AR44" s="20">
        <f>IF(UPPER(TRIM(P44))="AFF",1,0)</f>
        <v/>
      </c>
      <c r="AS44" s="20">
        <f>IF(UPPER(TRIM(P44))="BAF",1,0)</f>
        <v/>
      </c>
      <c r="AT44" s="20">
        <f>IF(UPPER(TRIM(P44))="MKT",1,0)</f>
        <v/>
      </c>
      <c r="AU44" s="20">
        <f>IF(AO44="221d4",1,0)</f>
        <v/>
      </c>
      <c r="AV44" s="20">
        <f>IF(AO44="223a7",1,0)</f>
        <v/>
      </c>
      <c r="AW44" s="20">
        <f>IF(AO44="232",1,0)</f>
        <v/>
      </c>
      <c r="AX44" s="20">
        <f>IF(AO44="538",1,0)</f>
        <v/>
      </c>
      <c r="AY44" s="20">
        <f>IF(AO44="241",1,0)</f>
        <v/>
      </c>
      <c r="AZ44" s="20">
        <f>IF(AO44="220",1,0)</f>
        <v/>
      </c>
      <c r="BA44" s="20">
        <f>IF(AO44="OTHER",1,0)</f>
        <v/>
      </c>
      <c r="BB44" s="20">
        <f>IF(UPPER(TRIM(C44))="LM",1,0)</f>
        <v/>
      </c>
      <c r="BC44" s="20">
        <f>IF(UPPER(TRIM(C44))="PN",1,0)</f>
        <v/>
      </c>
      <c r="BD44" s="20">
        <f>IF(UPPER(TRIM(C44))="LS",1,0)</f>
        <v/>
      </c>
      <c r="BE44" s="20">
        <f>IF(UPPER(TRIM(C44))="RX",1,0)</f>
        <v/>
      </c>
      <c r="BF44" s="22">
        <f>IFERROR((Parameters!$C$6*AM44+Parameters!$C$7*MAX(AM44-(-150),0)+Parameters!$C$8*MAX(AM44-(-50),0)+Parameters!$C$9*MAX(AM44-(0),0)+Parameters!$C$10*MAX(AM44-(50),0)+Parameters!$C$11*MAX(AM44-(100),0)+Parameters!$C$12*MAX(AM44-(150),0)+Parameters!$C$13*MAX(AM44-(250),0)),0)</f>
        <v/>
      </c>
      <c r="BG44" s="22">
        <f>IFERROR((Parameters!$C$14*AA44+Parameters!$C$15*MAX(AA44-(12),0)+Parameters!$C$16*MAX(AA44-(36),0)+Parameters!$C$17*MAX(AA44-(60),0)+Parameters!$C$18*MAX(AA44-(84),0)+Parameters!$C$19*MAX(AA44-(120),0)+Parameters!$C$20*MAX(AA44-(180),0)),0)</f>
        <v/>
      </c>
      <c r="BH44" s="22">
        <f>IFERROR((Parameters!$C$21*AK44+Parameters!$C$22*MAX(AK44-(0),0)+Parameters!$C$23*MAX(AK44-(2),0)+Parameters!$C$24*MAX(AK44-(5),0)+Parameters!$C$25*MAX(AK44-(8),0)),0)</f>
        <v/>
      </c>
      <c r="BI44" s="22">
        <f>IFERROR((Parameters!$C$26*AI44+Parameters!$C$27*MAX(AI44-(-100),0)+Parameters!$C$28*MAX(AI44-(-25),0)+Parameters!$C$29*MAX(AI44-(25),0)+Parameters!$C$30*MAX(AI44-(100),0)),0)</f>
        <v/>
      </c>
      <c r="BJ44" s="22">
        <f>IFERROR((Parameters!$C$31*AN44+Parameters!$C$32*MAX(AN44-(2),0)+Parameters!$C$33*MAX(AN44-(10),0)+Parameters!$C$34*MAX(AN44-(25),0)),0)</f>
        <v/>
      </c>
      <c r="BK44" s="22">
        <f>IFERROR((Parameters!$C$35*AB44+Parameters!$C$36*MAX(AB44-(12),0)+Parameters!$C$37*MAX(AB44-(24),0)+Parameters!$C$38*MAX(AB44-(60),0)),0)</f>
        <v/>
      </c>
      <c r="BL44" s="22">
        <f>IFERROR((Parameters!$C$39*AC44+Parameters!$C$40*MAX(AC44-(6),0)+Parameters!$C$41*MAX(AC44-(12),0)+Parameters!$C$42*MAX(AC44-(24),0)),0)</f>
        <v/>
      </c>
      <c r="BM44" s="22">
        <f>IFERROR(Parameters!$C$43*(MAX(AM44,0)*MIN(MAX(AK44,0),10))/100,0)</f>
        <v/>
      </c>
      <c r="BN44" s="22">
        <f>Parameters!$C$44*AE44</f>
        <v/>
      </c>
      <c r="BO44" s="22">
        <f>Parameters!$C$45*AU44 + Parameters!$C$46*AV44 + Parameters!$C$47*AW44 + Parameters!$C$48*AX44 + Parameters!$C$49*AY44 + Parameters!$C$50*AZ44 + Parameters!$C$51*BA44</f>
        <v/>
      </c>
      <c r="BP44" s="22">
        <f>Parameters!$C$52*AQ44</f>
        <v/>
      </c>
      <c r="BQ44" s="22">
        <f>Parameters!$C$53*AR44+Parameters!$C$54*AS44+Parameters!$C$55*AT44</f>
        <v/>
      </c>
      <c r="BR44" s="22">
        <f>Parameters!$C$56*BB44+Parameters!$C$57*BC44+Parameters!$C$58*BD44+Parameters!$C$59*BE44</f>
        <v/>
      </c>
      <c r="BS44" s="23">
        <f>Parameters!$B$2</f>
        <v/>
      </c>
      <c r="BT44" s="23">
        <f>BS44+BF44 + BG44 + BH44 + BI44 + BJ44 + BK44 + BL44 + BM44 + BN44 + BO44 + BP44 + BQ44 + BR44</f>
        <v/>
      </c>
      <c r="BU44" s="24">
        <f>IF(AD44=1,0,1/(1+EXP(-BT44))*Parameters!$B$3)</f>
        <v/>
      </c>
      <c r="BV44" s="25">
        <f>(1-(1-BU44)^12)*100</f>
        <v/>
      </c>
      <c r="BW44" s="25">
        <f>IF(AD44=1,0,(1-(1-1/(1+EXP(-Parameters!$B$2)))^12)*100)</f>
        <v/>
      </c>
      <c r="BX44" s="25">
        <f>IF(AD44=1,0,BV44-(1-(1-(1/(1+EXP(-(BT44-BF44)))*Parameters!$B$3))^12)*100)</f>
        <v/>
      </c>
      <c r="BY44" s="25">
        <f>IF(AD44=1,0,BV44-(1-(1-(1/(1+EXP(-(BT44-BG44)))*Parameters!$B$3))^12)*100)</f>
        <v/>
      </c>
      <c r="BZ44" s="25">
        <f>IF(AD44=1,0,BV44-(1-(1-(1/(1+EXP(-(BT44-BH44)))*Parameters!$B$3))^12)*100)</f>
        <v/>
      </c>
      <c r="CA44" s="25">
        <f>IF(AD44=1,0,BV44-(1-(1-(1/(1+EXP(-(BT44-BI44)))*Parameters!$B$3))^12)*100)</f>
        <v/>
      </c>
      <c r="CB44" s="25">
        <f>IF(AD44=1,0,BV44-(1-(1-(1/(1+EXP(-(BT44-BJ44)))*Parameters!$B$3))^12)*100)</f>
        <v/>
      </c>
      <c r="CC44" s="25">
        <f>IF(AD44=1,0,BV44-(1-(1-(1/(1+EXP(-(BT44-BK44)))*Parameters!$B$3))^12)*100)</f>
        <v/>
      </c>
      <c r="CD44" s="25">
        <f>IF(AD44=1,0,BV44-(1-(1-(1/(1+EXP(-(BT44-BL44)))*Parameters!$B$3))^12)*100)</f>
        <v/>
      </c>
      <c r="CE44" s="25">
        <f>IF(AD44=1,0,BV44-(1-(1-(1/(1+EXP(-(BT44-BM44)))*Parameters!$B$3))^12)*100)</f>
        <v/>
      </c>
      <c r="CF44" s="25">
        <f>IF(AD44=1,0,BV44-(1-(1-(1/(1+EXP(-(BT44-BN44)))*Parameters!$B$3))^12)*100)</f>
        <v/>
      </c>
      <c r="CG44" s="25">
        <f>IF(AD44=1,0,BV44-(1-(1-(1/(1+EXP(-(BT44-BO44)))*Parameters!$B$3))^12)*100)</f>
        <v/>
      </c>
      <c r="CH44" s="25">
        <f>IF(AD44=1,0,BV44-(1-(1-(1/(1+EXP(-(BT44-BP44)))*Parameters!$B$3))^12)*100)</f>
        <v/>
      </c>
      <c r="CI44" s="25">
        <f>IF(AD44=1,0,BV44-(1-(1-(1/(1+EXP(-(BT44-BQ44)))*Parameters!$B$3))^12)*100)</f>
        <v/>
      </c>
      <c r="CJ44" s="25">
        <f>IF(AD44=1,0,BV44-(1-(1-(1/(1+EXP(-(BT44-BR44)))*Parameters!$B$3))^12)*100)</f>
        <v/>
      </c>
    </row>
    <row r="45">
      <c r="A45" s="17" t="inlineStr">
        <is>
          <t>GNR_2024_NEW</t>
        </is>
      </c>
      <c r="B45" s="17" t="inlineStr">
        <is>
          <t>3618LWEN8</t>
        </is>
      </c>
      <c r="C45" s="17" t="inlineStr">
        <is>
          <t>PN</t>
        </is>
      </c>
      <c r="D45" s="17" t="inlineStr">
        <is>
          <t>MERCHANTS CAPITAL CORP.</t>
        </is>
      </c>
      <c r="E45" s="17" t="inlineStr">
        <is>
          <t>3618LWEN8_000000006122244</t>
        </is>
      </c>
      <c r="F45" s="17" t="n">
        <v>202603</v>
      </c>
      <c r="G45" s="18" t="n">
        <v>5.65</v>
      </c>
      <c r="H45" s="19" t="n">
        <v>28255084.35</v>
      </c>
      <c r="I45" s="17" t="n">
        <v>420</v>
      </c>
      <c r="J45" s="17" t="n">
        <v>20251101</v>
      </c>
      <c r="K45" s="17" t="n">
        <v>20601201</v>
      </c>
      <c r="L45" s="17" t="n"/>
      <c r="M45" s="17" t="n">
        <v>20360101</v>
      </c>
      <c r="N45" s="17" t="n">
        <v>10</v>
      </c>
      <c r="O45" s="17" t="inlineStr">
        <is>
          <t>232/223(F)</t>
        </is>
      </c>
      <c r="P45" s="17" t="n"/>
      <c r="Q45" s="17" t="n"/>
      <c r="R45" s="17" t="n"/>
      <c r="S45" s="17" t="n"/>
      <c r="T45" s="17" t="inlineStr">
        <is>
          <t>GA</t>
        </is>
      </c>
      <c r="U45" s="17" t="n">
        <v>97</v>
      </c>
      <c r="V45" s="17" t="n">
        <v>490.5</v>
      </c>
      <c r="W45" s="17" t="n">
        <v>4</v>
      </c>
      <c r="X45" s="17" t="n">
        <v>2025</v>
      </c>
      <c r="Y45" s="17" t="n">
        <v>-17</v>
      </c>
      <c r="Z45" s="17" t="n">
        <v>10</v>
      </c>
      <c r="AA45" s="20">
        <f>IF(ISNUMBER(W45),W45,IFERROR(MAX(0,(VALUE(LEFT(F45,4))-VALUE(LEFT(TEXT(J45,"00000000"),4)))*12+(VALUE(MID(F45,5,2))-VALUE(MID(TEXT(J45,"00000000"),5,2)))),""))</f>
        <v/>
      </c>
      <c r="AB45" s="20">
        <f>IFERROR((VALUE(LEFT(TEXT(K45,"00000000"),4))-VALUE(LEFT(F45,4)))*12+(VALUE(MID(TEXT(K45,"00000000"),5,2))-VALUE(MID(F45,5,2))),"")</f>
        <v/>
      </c>
      <c r="AC45" s="20">
        <f>IF(OR(L45="",NOT(ISNUMBER(L45))),0,MAX(0,MIN(60,(VALUE(LEFT(F45,4))-VALUE(LEFT(TEXT(L45,"00000000"),4)))*12+(VALUE(MID(F45,5,2))-VALUE(MID(TEXT(L45,"00000000"),5,2))))))</f>
        <v/>
      </c>
      <c r="AD45" s="20">
        <f>IF(OR(L45="",NOT(ISNUMBER(L45))),0,IF(VALUE(F45)&lt;VALUE(LEFT(TEXT(L45,"00000000"),6)),1,0))</f>
        <v/>
      </c>
      <c r="AE45" s="20">
        <f>IF(OR(M45="",NOT(ISNUMBER(M45))),0,IF(VALUE(F45)&lt;VALUE(LEFT(TEXT(M45,"00000000"),6)),1,0))</f>
        <v/>
      </c>
      <c r="AF45" s="20">
        <f>IF(AND(AD45=0,AE45=0),1,0)</f>
        <v/>
      </c>
      <c r="AG45" s="20">
        <f>IF(ISNUMBER(X45),X45,IFERROR(VALUE(LEFT(TEXT(J45,"00000000"),4)),""))</f>
        <v/>
      </c>
      <c r="AH45" s="20">
        <f>IFERROR(XLOOKUP(AG45,Vintage_Rates!$A$2:$A$1000,Vintage_Rates!$B$2:$B$1000,""),"")</f>
        <v/>
      </c>
      <c r="AI45" s="20">
        <f>IF(ISNUMBER(Y45),Y45,IFERROR((G45-AH45)*100,""))</f>
        <v/>
      </c>
      <c r="AJ45" s="20">
        <f>IF(ISNUMBER(V45),V45,IFERROR(XLOOKUP(VALUE(F45),PLC_Rates!$A$2:$A$1000,PLC_Rates!$B$2:$B$1000,""),""))</f>
        <v/>
      </c>
      <c r="AK45" s="20">
        <f>IF(ISNUMBER(Z45),Z45,IF(AE45=0,0,MAX(0,MIN(10,((VALUE(LEFT(TEXT(M45,"00000000"),4))-VALUE(LEFT(F45,4)))*12+(VALUE(MID(TEXT(M45,"00000000"),5,2))-VALUE(MID(F45,5,2))))/12))))</f>
        <v/>
      </c>
      <c r="AL45" s="20">
        <f>IFERROR(G45*100-AJ45,"")</f>
        <v/>
      </c>
      <c r="AM45" s="20">
        <f>IFERROR(G45*100-(AJ45+(1+AK45)*12.5),"")</f>
        <v/>
      </c>
      <c r="AN45" s="21">
        <f>IFERROR(MIN(H45/1000000,100),"")</f>
        <v/>
      </c>
      <c r="AO45" s="20">
        <f>IFERROR(INDEX(FHA_Lookup!$B$2:$B$11,MATCH(TRUE,ISNUMBER(SEARCH(FHA_Lookup!$A$2:$A$11,UPPER(SUBSTITUTE(O45," ","")))),0)),"OTHER")</f>
        <v/>
      </c>
      <c r="AP45" s="20">
        <f>IFERROR(INDEX(FHA_Lookup!$C$2:$C$11,MATCH(TRUE,ISNUMBER(SEARCH(FHA_Lookup!$A$2:$A$11,UPPER(SUBSTITUTE(O45," ","")))),0)),"OTHER")</f>
        <v/>
      </c>
      <c r="AQ45" s="20">
        <f>IF(AP45="NC",1,0)</f>
        <v/>
      </c>
      <c r="AR45" s="20">
        <f>IF(UPPER(TRIM(P45))="AFF",1,0)</f>
        <v/>
      </c>
      <c r="AS45" s="20">
        <f>IF(UPPER(TRIM(P45))="BAF",1,0)</f>
        <v/>
      </c>
      <c r="AT45" s="20">
        <f>IF(UPPER(TRIM(P45))="MKT",1,0)</f>
        <v/>
      </c>
      <c r="AU45" s="20">
        <f>IF(AO45="221d4",1,0)</f>
        <v/>
      </c>
      <c r="AV45" s="20">
        <f>IF(AO45="223a7",1,0)</f>
        <v/>
      </c>
      <c r="AW45" s="20">
        <f>IF(AO45="232",1,0)</f>
        <v/>
      </c>
      <c r="AX45" s="20">
        <f>IF(AO45="538",1,0)</f>
        <v/>
      </c>
      <c r="AY45" s="20">
        <f>IF(AO45="241",1,0)</f>
        <v/>
      </c>
      <c r="AZ45" s="20">
        <f>IF(AO45="220",1,0)</f>
        <v/>
      </c>
      <c r="BA45" s="20">
        <f>IF(AO45="OTHER",1,0)</f>
        <v/>
      </c>
      <c r="BB45" s="20">
        <f>IF(UPPER(TRIM(C45))="LM",1,0)</f>
        <v/>
      </c>
      <c r="BC45" s="20">
        <f>IF(UPPER(TRIM(C45))="PN",1,0)</f>
        <v/>
      </c>
      <c r="BD45" s="20">
        <f>IF(UPPER(TRIM(C45))="LS",1,0)</f>
        <v/>
      </c>
      <c r="BE45" s="20">
        <f>IF(UPPER(TRIM(C45))="RX",1,0)</f>
        <v/>
      </c>
      <c r="BF45" s="22">
        <f>IFERROR((Parameters!$C$6*AM45+Parameters!$C$7*MAX(AM45-(-150),0)+Parameters!$C$8*MAX(AM45-(-50),0)+Parameters!$C$9*MAX(AM45-(0),0)+Parameters!$C$10*MAX(AM45-(50),0)+Parameters!$C$11*MAX(AM45-(100),0)+Parameters!$C$12*MAX(AM45-(150),0)+Parameters!$C$13*MAX(AM45-(250),0)),0)</f>
        <v/>
      </c>
      <c r="BG45" s="22">
        <f>IFERROR((Parameters!$C$14*AA45+Parameters!$C$15*MAX(AA45-(12),0)+Parameters!$C$16*MAX(AA45-(36),0)+Parameters!$C$17*MAX(AA45-(60),0)+Parameters!$C$18*MAX(AA45-(84),0)+Parameters!$C$19*MAX(AA45-(120),0)+Parameters!$C$20*MAX(AA45-(180),0)),0)</f>
        <v/>
      </c>
      <c r="BH45" s="22">
        <f>IFERROR((Parameters!$C$21*AK45+Parameters!$C$22*MAX(AK45-(0),0)+Parameters!$C$23*MAX(AK45-(2),0)+Parameters!$C$24*MAX(AK45-(5),0)+Parameters!$C$25*MAX(AK45-(8),0)),0)</f>
        <v/>
      </c>
      <c r="BI45" s="22">
        <f>IFERROR((Parameters!$C$26*AI45+Parameters!$C$27*MAX(AI45-(-100),0)+Parameters!$C$28*MAX(AI45-(-25),0)+Parameters!$C$29*MAX(AI45-(25),0)+Parameters!$C$30*MAX(AI45-(100),0)),0)</f>
        <v/>
      </c>
      <c r="BJ45" s="22">
        <f>IFERROR((Parameters!$C$31*AN45+Parameters!$C$32*MAX(AN45-(2),0)+Parameters!$C$33*MAX(AN45-(10),0)+Parameters!$C$34*MAX(AN45-(25),0)),0)</f>
        <v/>
      </c>
      <c r="BK45" s="22">
        <f>IFERROR((Parameters!$C$35*AB45+Parameters!$C$36*MAX(AB45-(12),0)+Parameters!$C$37*MAX(AB45-(24),0)+Parameters!$C$38*MAX(AB45-(60),0)),0)</f>
        <v/>
      </c>
      <c r="BL45" s="22">
        <f>IFERROR((Parameters!$C$39*AC45+Parameters!$C$40*MAX(AC45-(6),0)+Parameters!$C$41*MAX(AC45-(12),0)+Parameters!$C$42*MAX(AC45-(24),0)),0)</f>
        <v/>
      </c>
      <c r="BM45" s="22">
        <f>IFERROR(Parameters!$C$43*(MAX(AM45,0)*MIN(MAX(AK45,0),10))/100,0)</f>
        <v/>
      </c>
      <c r="BN45" s="22">
        <f>Parameters!$C$44*AE45</f>
        <v/>
      </c>
      <c r="BO45" s="22">
        <f>Parameters!$C$45*AU45 + Parameters!$C$46*AV45 + Parameters!$C$47*AW45 + Parameters!$C$48*AX45 + Parameters!$C$49*AY45 + Parameters!$C$50*AZ45 + Parameters!$C$51*BA45</f>
        <v/>
      </c>
      <c r="BP45" s="22">
        <f>Parameters!$C$52*AQ45</f>
        <v/>
      </c>
      <c r="BQ45" s="22">
        <f>Parameters!$C$53*AR45+Parameters!$C$54*AS45+Parameters!$C$55*AT45</f>
        <v/>
      </c>
      <c r="BR45" s="22">
        <f>Parameters!$C$56*BB45+Parameters!$C$57*BC45+Parameters!$C$58*BD45+Parameters!$C$59*BE45</f>
        <v/>
      </c>
      <c r="BS45" s="23">
        <f>Parameters!$B$2</f>
        <v/>
      </c>
      <c r="BT45" s="23">
        <f>BS45+BF45 + BG45 + BH45 + BI45 + BJ45 + BK45 + BL45 + BM45 + BN45 + BO45 + BP45 + BQ45 + BR45</f>
        <v/>
      </c>
      <c r="BU45" s="24">
        <f>IF(AD45=1,0,1/(1+EXP(-BT45))*Parameters!$B$3)</f>
        <v/>
      </c>
      <c r="BV45" s="25">
        <f>(1-(1-BU45)^12)*100</f>
        <v/>
      </c>
      <c r="BW45" s="25">
        <f>IF(AD45=1,0,(1-(1-1/(1+EXP(-Parameters!$B$2)))^12)*100)</f>
        <v/>
      </c>
      <c r="BX45" s="25">
        <f>IF(AD45=1,0,BV45-(1-(1-(1/(1+EXP(-(BT45-BF45)))*Parameters!$B$3))^12)*100)</f>
        <v/>
      </c>
      <c r="BY45" s="25">
        <f>IF(AD45=1,0,BV45-(1-(1-(1/(1+EXP(-(BT45-BG45)))*Parameters!$B$3))^12)*100)</f>
        <v/>
      </c>
      <c r="BZ45" s="25">
        <f>IF(AD45=1,0,BV45-(1-(1-(1/(1+EXP(-(BT45-BH45)))*Parameters!$B$3))^12)*100)</f>
        <v/>
      </c>
      <c r="CA45" s="25">
        <f>IF(AD45=1,0,BV45-(1-(1-(1/(1+EXP(-(BT45-BI45)))*Parameters!$B$3))^12)*100)</f>
        <v/>
      </c>
      <c r="CB45" s="25">
        <f>IF(AD45=1,0,BV45-(1-(1-(1/(1+EXP(-(BT45-BJ45)))*Parameters!$B$3))^12)*100)</f>
        <v/>
      </c>
      <c r="CC45" s="25">
        <f>IF(AD45=1,0,BV45-(1-(1-(1/(1+EXP(-(BT45-BK45)))*Parameters!$B$3))^12)*100)</f>
        <v/>
      </c>
      <c r="CD45" s="25">
        <f>IF(AD45=1,0,BV45-(1-(1-(1/(1+EXP(-(BT45-BL45)))*Parameters!$B$3))^12)*100)</f>
        <v/>
      </c>
      <c r="CE45" s="25">
        <f>IF(AD45=1,0,BV45-(1-(1-(1/(1+EXP(-(BT45-BM45)))*Parameters!$B$3))^12)*100)</f>
        <v/>
      </c>
      <c r="CF45" s="25">
        <f>IF(AD45=1,0,BV45-(1-(1-(1/(1+EXP(-(BT45-BN45)))*Parameters!$B$3))^12)*100)</f>
        <v/>
      </c>
      <c r="CG45" s="25">
        <f>IF(AD45=1,0,BV45-(1-(1-(1/(1+EXP(-(BT45-BO45)))*Parameters!$B$3))^12)*100)</f>
        <v/>
      </c>
      <c r="CH45" s="25">
        <f>IF(AD45=1,0,BV45-(1-(1-(1/(1+EXP(-(BT45-BP45)))*Parameters!$B$3))^12)*100)</f>
        <v/>
      </c>
      <c r="CI45" s="25">
        <f>IF(AD45=1,0,BV45-(1-(1-(1/(1+EXP(-(BT45-BQ45)))*Parameters!$B$3))^12)*100)</f>
        <v/>
      </c>
      <c r="CJ45" s="25">
        <f>IF(AD45=1,0,BV45-(1-(1-(1/(1+EXP(-(BT45-BR45)))*Parameters!$B$3))^12)*100)</f>
        <v/>
      </c>
    </row>
    <row r="46">
      <c r="A46" s="17" t="inlineStr">
        <is>
          <t>GNR_2024_NEW</t>
        </is>
      </c>
      <c r="B46" s="17" t="inlineStr">
        <is>
          <t>3618KSUE0</t>
        </is>
      </c>
      <c r="C46" s="17" t="inlineStr">
        <is>
          <t>PN</t>
        </is>
      </c>
      <c r="D46" s="17" t="inlineStr">
        <is>
          <t>WALKER &amp; DUNLOP, LLC</t>
        </is>
      </c>
      <c r="E46" s="17" t="inlineStr">
        <is>
          <t>3618KSUE0_000000007122565</t>
        </is>
      </c>
      <c r="F46" s="17" t="n">
        <v>202603</v>
      </c>
      <c r="G46" s="18" t="n">
        <v>6.75</v>
      </c>
      <c r="H46" s="19" t="n">
        <v>12704489.56</v>
      </c>
      <c r="I46" s="17" t="n">
        <v>420</v>
      </c>
      <c r="J46" s="17" t="n">
        <v>20250827</v>
      </c>
      <c r="K46" s="17" t="n">
        <v>20600901</v>
      </c>
      <c r="L46" s="17" t="n"/>
      <c r="M46" s="17" t="n">
        <v>20351001</v>
      </c>
      <c r="N46" s="17" t="n">
        <v>10</v>
      </c>
      <c r="O46" s="17" t="inlineStr">
        <is>
          <t>232/223(F)</t>
        </is>
      </c>
      <c r="P46" s="17" t="n"/>
      <c r="Q46" s="17" t="n"/>
      <c r="R46" s="17" t="n"/>
      <c r="S46" s="17" t="n"/>
      <c r="T46" s="17" t="inlineStr">
        <is>
          <t>IL</t>
        </is>
      </c>
      <c r="U46" s="17" t="n">
        <v>66</v>
      </c>
      <c r="V46" s="17" t="n">
        <v>490.5</v>
      </c>
      <c r="W46" s="17" t="n">
        <v>7</v>
      </c>
      <c r="X46" s="17" t="n">
        <v>2025</v>
      </c>
      <c r="Y46" s="17" t="n">
        <v>93</v>
      </c>
      <c r="Z46" s="17" t="n">
        <v>10</v>
      </c>
      <c r="AA46" s="20">
        <f>IF(ISNUMBER(W46),W46,IFERROR(MAX(0,(VALUE(LEFT(F46,4))-VALUE(LEFT(TEXT(J46,"00000000"),4)))*12+(VALUE(MID(F46,5,2))-VALUE(MID(TEXT(J46,"00000000"),5,2)))),""))</f>
        <v/>
      </c>
      <c r="AB46" s="20">
        <f>IFERROR((VALUE(LEFT(TEXT(K46,"00000000"),4))-VALUE(LEFT(F46,4)))*12+(VALUE(MID(TEXT(K46,"00000000"),5,2))-VALUE(MID(F46,5,2))),"")</f>
        <v/>
      </c>
      <c r="AC46" s="20">
        <f>IF(OR(L46="",NOT(ISNUMBER(L46))),0,MAX(0,MIN(60,(VALUE(LEFT(F46,4))-VALUE(LEFT(TEXT(L46,"00000000"),4)))*12+(VALUE(MID(F46,5,2))-VALUE(MID(TEXT(L46,"00000000"),5,2))))))</f>
        <v/>
      </c>
      <c r="AD46" s="20">
        <f>IF(OR(L46="",NOT(ISNUMBER(L46))),0,IF(VALUE(F46)&lt;VALUE(LEFT(TEXT(L46,"00000000"),6)),1,0))</f>
        <v/>
      </c>
      <c r="AE46" s="20">
        <f>IF(OR(M46="",NOT(ISNUMBER(M46))),0,IF(VALUE(F46)&lt;VALUE(LEFT(TEXT(M46,"00000000"),6)),1,0))</f>
        <v/>
      </c>
      <c r="AF46" s="20">
        <f>IF(AND(AD46=0,AE46=0),1,0)</f>
        <v/>
      </c>
      <c r="AG46" s="20">
        <f>IF(ISNUMBER(X46),X46,IFERROR(VALUE(LEFT(TEXT(J46,"00000000"),4)),""))</f>
        <v/>
      </c>
      <c r="AH46" s="20">
        <f>IFERROR(XLOOKUP(AG46,Vintage_Rates!$A$2:$A$1000,Vintage_Rates!$B$2:$B$1000,""),"")</f>
        <v/>
      </c>
      <c r="AI46" s="20">
        <f>IF(ISNUMBER(Y46),Y46,IFERROR((G46-AH46)*100,""))</f>
        <v/>
      </c>
      <c r="AJ46" s="20">
        <f>IF(ISNUMBER(V46),V46,IFERROR(XLOOKUP(VALUE(F46),PLC_Rates!$A$2:$A$1000,PLC_Rates!$B$2:$B$1000,""),""))</f>
        <v/>
      </c>
      <c r="AK46" s="20">
        <f>IF(ISNUMBER(Z46),Z46,IF(AE46=0,0,MAX(0,MIN(10,((VALUE(LEFT(TEXT(M46,"00000000"),4))-VALUE(LEFT(F46,4)))*12+(VALUE(MID(TEXT(M46,"00000000"),5,2))-VALUE(MID(F46,5,2))))/12))))</f>
        <v/>
      </c>
      <c r="AL46" s="20">
        <f>IFERROR(G46*100-AJ46,"")</f>
        <v/>
      </c>
      <c r="AM46" s="20">
        <f>IFERROR(G46*100-(AJ46+(1+AK46)*12.5),"")</f>
        <v/>
      </c>
      <c r="AN46" s="21">
        <f>IFERROR(MIN(H46/1000000,100),"")</f>
        <v/>
      </c>
      <c r="AO46" s="20">
        <f>IFERROR(INDEX(FHA_Lookup!$B$2:$B$11,MATCH(TRUE,ISNUMBER(SEARCH(FHA_Lookup!$A$2:$A$11,UPPER(SUBSTITUTE(O46," ","")))),0)),"OTHER")</f>
        <v/>
      </c>
      <c r="AP46" s="20">
        <f>IFERROR(INDEX(FHA_Lookup!$C$2:$C$11,MATCH(TRUE,ISNUMBER(SEARCH(FHA_Lookup!$A$2:$A$11,UPPER(SUBSTITUTE(O46," ","")))),0)),"OTHER")</f>
        <v/>
      </c>
      <c r="AQ46" s="20">
        <f>IF(AP46="NC",1,0)</f>
        <v/>
      </c>
      <c r="AR46" s="20">
        <f>IF(UPPER(TRIM(P46))="AFF",1,0)</f>
        <v/>
      </c>
      <c r="AS46" s="20">
        <f>IF(UPPER(TRIM(P46))="BAF",1,0)</f>
        <v/>
      </c>
      <c r="AT46" s="20">
        <f>IF(UPPER(TRIM(P46))="MKT",1,0)</f>
        <v/>
      </c>
      <c r="AU46" s="20">
        <f>IF(AO46="221d4",1,0)</f>
        <v/>
      </c>
      <c r="AV46" s="20">
        <f>IF(AO46="223a7",1,0)</f>
        <v/>
      </c>
      <c r="AW46" s="20">
        <f>IF(AO46="232",1,0)</f>
        <v/>
      </c>
      <c r="AX46" s="20">
        <f>IF(AO46="538",1,0)</f>
        <v/>
      </c>
      <c r="AY46" s="20">
        <f>IF(AO46="241",1,0)</f>
        <v/>
      </c>
      <c r="AZ46" s="20">
        <f>IF(AO46="220",1,0)</f>
        <v/>
      </c>
      <c r="BA46" s="20">
        <f>IF(AO46="OTHER",1,0)</f>
        <v/>
      </c>
      <c r="BB46" s="20">
        <f>IF(UPPER(TRIM(C46))="LM",1,0)</f>
        <v/>
      </c>
      <c r="BC46" s="20">
        <f>IF(UPPER(TRIM(C46))="PN",1,0)</f>
        <v/>
      </c>
      <c r="BD46" s="20">
        <f>IF(UPPER(TRIM(C46))="LS",1,0)</f>
        <v/>
      </c>
      <c r="BE46" s="20">
        <f>IF(UPPER(TRIM(C46))="RX",1,0)</f>
        <v/>
      </c>
      <c r="BF46" s="22">
        <f>IFERROR((Parameters!$C$6*AM46+Parameters!$C$7*MAX(AM46-(-150),0)+Parameters!$C$8*MAX(AM46-(-50),0)+Parameters!$C$9*MAX(AM46-(0),0)+Parameters!$C$10*MAX(AM46-(50),0)+Parameters!$C$11*MAX(AM46-(100),0)+Parameters!$C$12*MAX(AM46-(150),0)+Parameters!$C$13*MAX(AM46-(250),0)),0)</f>
        <v/>
      </c>
      <c r="BG46" s="22">
        <f>IFERROR((Parameters!$C$14*AA46+Parameters!$C$15*MAX(AA46-(12),0)+Parameters!$C$16*MAX(AA46-(36),0)+Parameters!$C$17*MAX(AA46-(60),0)+Parameters!$C$18*MAX(AA46-(84),0)+Parameters!$C$19*MAX(AA46-(120),0)+Parameters!$C$20*MAX(AA46-(180),0)),0)</f>
        <v/>
      </c>
      <c r="BH46" s="22">
        <f>IFERROR((Parameters!$C$21*AK46+Parameters!$C$22*MAX(AK46-(0),0)+Parameters!$C$23*MAX(AK46-(2),0)+Parameters!$C$24*MAX(AK46-(5),0)+Parameters!$C$25*MAX(AK46-(8),0)),0)</f>
        <v/>
      </c>
      <c r="BI46" s="22">
        <f>IFERROR((Parameters!$C$26*AI46+Parameters!$C$27*MAX(AI46-(-100),0)+Parameters!$C$28*MAX(AI46-(-25),0)+Parameters!$C$29*MAX(AI46-(25),0)+Parameters!$C$30*MAX(AI46-(100),0)),0)</f>
        <v/>
      </c>
      <c r="BJ46" s="22">
        <f>IFERROR((Parameters!$C$31*AN46+Parameters!$C$32*MAX(AN46-(2),0)+Parameters!$C$33*MAX(AN46-(10),0)+Parameters!$C$34*MAX(AN46-(25),0)),0)</f>
        <v/>
      </c>
      <c r="BK46" s="22">
        <f>IFERROR((Parameters!$C$35*AB46+Parameters!$C$36*MAX(AB46-(12),0)+Parameters!$C$37*MAX(AB46-(24),0)+Parameters!$C$38*MAX(AB46-(60),0)),0)</f>
        <v/>
      </c>
      <c r="BL46" s="22">
        <f>IFERROR((Parameters!$C$39*AC46+Parameters!$C$40*MAX(AC46-(6),0)+Parameters!$C$41*MAX(AC46-(12),0)+Parameters!$C$42*MAX(AC46-(24),0)),0)</f>
        <v/>
      </c>
      <c r="BM46" s="22">
        <f>IFERROR(Parameters!$C$43*(MAX(AM46,0)*MIN(MAX(AK46,0),10))/100,0)</f>
        <v/>
      </c>
      <c r="BN46" s="22">
        <f>Parameters!$C$44*AE46</f>
        <v/>
      </c>
      <c r="BO46" s="22">
        <f>Parameters!$C$45*AU46 + Parameters!$C$46*AV46 + Parameters!$C$47*AW46 + Parameters!$C$48*AX46 + Parameters!$C$49*AY46 + Parameters!$C$50*AZ46 + Parameters!$C$51*BA46</f>
        <v/>
      </c>
      <c r="BP46" s="22">
        <f>Parameters!$C$52*AQ46</f>
        <v/>
      </c>
      <c r="BQ46" s="22">
        <f>Parameters!$C$53*AR46+Parameters!$C$54*AS46+Parameters!$C$55*AT46</f>
        <v/>
      </c>
      <c r="BR46" s="22">
        <f>Parameters!$C$56*BB46+Parameters!$C$57*BC46+Parameters!$C$58*BD46+Parameters!$C$59*BE46</f>
        <v/>
      </c>
      <c r="BS46" s="23">
        <f>Parameters!$B$2</f>
        <v/>
      </c>
      <c r="BT46" s="23">
        <f>BS46+BF46 + BG46 + BH46 + BI46 + BJ46 + BK46 + BL46 + BM46 + BN46 + BO46 + BP46 + BQ46 + BR46</f>
        <v/>
      </c>
      <c r="BU46" s="24">
        <f>IF(AD46=1,0,1/(1+EXP(-BT46))*Parameters!$B$3)</f>
        <v/>
      </c>
      <c r="BV46" s="25">
        <f>(1-(1-BU46)^12)*100</f>
        <v/>
      </c>
      <c r="BW46" s="25">
        <f>IF(AD46=1,0,(1-(1-1/(1+EXP(-Parameters!$B$2)))^12)*100)</f>
        <v/>
      </c>
      <c r="BX46" s="25">
        <f>IF(AD46=1,0,BV46-(1-(1-(1/(1+EXP(-(BT46-BF46)))*Parameters!$B$3))^12)*100)</f>
        <v/>
      </c>
      <c r="BY46" s="25">
        <f>IF(AD46=1,0,BV46-(1-(1-(1/(1+EXP(-(BT46-BG46)))*Parameters!$B$3))^12)*100)</f>
        <v/>
      </c>
      <c r="BZ46" s="25">
        <f>IF(AD46=1,0,BV46-(1-(1-(1/(1+EXP(-(BT46-BH46)))*Parameters!$B$3))^12)*100)</f>
        <v/>
      </c>
      <c r="CA46" s="25">
        <f>IF(AD46=1,0,BV46-(1-(1-(1/(1+EXP(-(BT46-BI46)))*Parameters!$B$3))^12)*100)</f>
        <v/>
      </c>
      <c r="CB46" s="25">
        <f>IF(AD46=1,0,BV46-(1-(1-(1/(1+EXP(-(BT46-BJ46)))*Parameters!$B$3))^12)*100)</f>
        <v/>
      </c>
      <c r="CC46" s="25">
        <f>IF(AD46=1,0,BV46-(1-(1-(1/(1+EXP(-(BT46-BK46)))*Parameters!$B$3))^12)*100)</f>
        <v/>
      </c>
      <c r="CD46" s="25">
        <f>IF(AD46=1,0,BV46-(1-(1-(1/(1+EXP(-(BT46-BL46)))*Parameters!$B$3))^12)*100)</f>
        <v/>
      </c>
      <c r="CE46" s="25">
        <f>IF(AD46=1,0,BV46-(1-(1-(1/(1+EXP(-(BT46-BM46)))*Parameters!$B$3))^12)*100)</f>
        <v/>
      </c>
      <c r="CF46" s="25">
        <f>IF(AD46=1,0,BV46-(1-(1-(1/(1+EXP(-(BT46-BN46)))*Parameters!$B$3))^12)*100)</f>
        <v/>
      </c>
      <c r="CG46" s="25">
        <f>IF(AD46=1,0,BV46-(1-(1-(1/(1+EXP(-(BT46-BO46)))*Parameters!$B$3))^12)*100)</f>
        <v/>
      </c>
      <c r="CH46" s="25">
        <f>IF(AD46=1,0,BV46-(1-(1-(1/(1+EXP(-(BT46-BP46)))*Parameters!$B$3))^12)*100)</f>
        <v/>
      </c>
      <c r="CI46" s="25">
        <f>IF(AD46=1,0,BV46-(1-(1-(1/(1+EXP(-(BT46-BQ46)))*Parameters!$B$3))^12)*100)</f>
        <v/>
      </c>
      <c r="CJ46" s="25">
        <f>IF(AD46=1,0,BV46-(1-(1-(1/(1+EXP(-(BT46-BR46)))*Parameters!$B$3))^12)*100)</f>
        <v/>
      </c>
    </row>
    <row r="47">
      <c r="A47" s="17" t="inlineStr">
        <is>
          <t>GNR_2024_NEW</t>
        </is>
      </c>
      <c r="B47" s="17" t="inlineStr">
        <is>
          <t>3618LKK31</t>
        </is>
      </c>
      <c r="C47" s="17" t="inlineStr">
        <is>
          <t>PN</t>
        </is>
      </c>
      <c r="D47" s="17" t="inlineStr">
        <is>
          <t>BERKADIA COMMERCIAL MORTGAGE, LLC</t>
        </is>
      </c>
      <c r="E47" s="17" t="inlineStr">
        <is>
          <t>3618LKK31_000000001722222</t>
        </is>
      </c>
      <c r="F47" s="17" t="n">
        <v>202603</v>
      </c>
      <c r="G47" s="18" t="n">
        <v>5.75</v>
      </c>
      <c r="H47" s="19" t="n">
        <v>9663509.810000001</v>
      </c>
      <c r="I47" s="17" t="n">
        <v>396</v>
      </c>
      <c r="J47" s="17" t="n">
        <v>20250904</v>
      </c>
      <c r="K47" s="17" t="n">
        <v>20590101</v>
      </c>
      <c r="L47" s="17" t="n"/>
      <c r="M47" s="17" t="n">
        <v>20360201</v>
      </c>
      <c r="N47" s="17" t="n">
        <v>10</v>
      </c>
      <c r="O47" s="17" t="inlineStr">
        <is>
          <t>232/223(F)</t>
        </is>
      </c>
      <c r="P47" s="17" t="n"/>
      <c r="Q47" s="17" t="n"/>
      <c r="R47" s="17" t="n"/>
      <c r="S47" s="17" t="n"/>
      <c r="T47" s="17" t="inlineStr">
        <is>
          <t>CT</t>
        </is>
      </c>
      <c r="U47" s="17" t="n">
        <v>45</v>
      </c>
      <c r="V47" s="17" t="n">
        <v>490.5</v>
      </c>
      <c r="W47" s="17" t="n">
        <v>6</v>
      </c>
      <c r="X47" s="17" t="n">
        <v>2025</v>
      </c>
      <c r="Y47" s="17" t="n">
        <v>-7</v>
      </c>
      <c r="Z47" s="17" t="n">
        <v>0</v>
      </c>
      <c r="AA47" s="20">
        <f>IF(ISNUMBER(W47),W47,IFERROR(MAX(0,(VALUE(LEFT(F47,4))-VALUE(LEFT(TEXT(J47,"00000000"),4)))*12+(VALUE(MID(F47,5,2))-VALUE(MID(TEXT(J47,"00000000"),5,2)))),""))</f>
        <v/>
      </c>
      <c r="AB47" s="20">
        <f>IFERROR((VALUE(LEFT(TEXT(K47,"00000000"),4))-VALUE(LEFT(F47,4)))*12+(VALUE(MID(TEXT(K47,"00000000"),5,2))-VALUE(MID(F47,5,2))),"")</f>
        <v/>
      </c>
      <c r="AC47" s="20">
        <f>IF(OR(L47="",NOT(ISNUMBER(L47))),0,MAX(0,MIN(60,(VALUE(LEFT(F47,4))-VALUE(LEFT(TEXT(L47,"00000000"),4)))*12+(VALUE(MID(F47,5,2))-VALUE(MID(TEXT(L47,"00000000"),5,2))))))</f>
        <v/>
      </c>
      <c r="AD47" s="20">
        <f>IF(OR(L47="",NOT(ISNUMBER(L47))),0,IF(VALUE(F47)&lt;VALUE(LEFT(TEXT(L47,"00000000"),6)),1,0))</f>
        <v/>
      </c>
      <c r="AE47" s="20">
        <f>IF(OR(M47="",NOT(ISNUMBER(M47))),0,IF(VALUE(F47)&lt;VALUE(LEFT(TEXT(M47,"00000000"),6)),1,0))</f>
        <v/>
      </c>
      <c r="AF47" s="20">
        <f>IF(AND(AD47=0,AE47=0),1,0)</f>
        <v/>
      </c>
      <c r="AG47" s="20">
        <f>IF(ISNUMBER(X47),X47,IFERROR(VALUE(LEFT(TEXT(J47,"00000000"),4)),""))</f>
        <v/>
      </c>
      <c r="AH47" s="20">
        <f>IFERROR(XLOOKUP(AG47,Vintage_Rates!$A$2:$A$1000,Vintage_Rates!$B$2:$B$1000,""),"")</f>
        <v/>
      </c>
      <c r="AI47" s="20">
        <f>IF(ISNUMBER(Y47),Y47,IFERROR((G47-AH47)*100,""))</f>
        <v/>
      </c>
      <c r="AJ47" s="20">
        <f>IF(ISNUMBER(V47),V47,IFERROR(XLOOKUP(VALUE(F47),PLC_Rates!$A$2:$A$1000,PLC_Rates!$B$2:$B$1000,""),""))</f>
        <v/>
      </c>
      <c r="AK47" s="20">
        <f>IF(ISNUMBER(Z47),Z47,IF(AE47=0,0,MAX(0,MIN(10,((VALUE(LEFT(TEXT(M47,"00000000"),4))-VALUE(LEFT(F47,4)))*12+(VALUE(MID(TEXT(M47,"00000000"),5,2))-VALUE(MID(F47,5,2))))/12))))</f>
        <v/>
      </c>
      <c r="AL47" s="20">
        <f>IFERROR(G47*100-AJ47,"")</f>
        <v/>
      </c>
      <c r="AM47" s="20">
        <f>IFERROR(G47*100-(AJ47+(1+AK47)*12.5),"")</f>
        <v/>
      </c>
      <c r="AN47" s="21">
        <f>IFERROR(MIN(H47/1000000,100),"")</f>
        <v/>
      </c>
      <c r="AO47" s="20">
        <f>IFERROR(INDEX(FHA_Lookup!$B$2:$B$11,MATCH(TRUE,ISNUMBER(SEARCH(FHA_Lookup!$A$2:$A$11,UPPER(SUBSTITUTE(O47," ","")))),0)),"OTHER")</f>
        <v/>
      </c>
      <c r="AP47" s="20">
        <f>IFERROR(INDEX(FHA_Lookup!$C$2:$C$11,MATCH(TRUE,ISNUMBER(SEARCH(FHA_Lookup!$A$2:$A$11,UPPER(SUBSTITUTE(O47," ","")))),0)),"OTHER")</f>
        <v/>
      </c>
      <c r="AQ47" s="20">
        <f>IF(AP47="NC",1,0)</f>
        <v/>
      </c>
      <c r="AR47" s="20">
        <f>IF(UPPER(TRIM(P47))="AFF",1,0)</f>
        <v/>
      </c>
      <c r="AS47" s="20">
        <f>IF(UPPER(TRIM(P47))="BAF",1,0)</f>
        <v/>
      </c>
      <c r="AT47" s="20">
        <f>IF(UPPER(TRIM(P47))="MKT",1,0)</f>
        <v/>
      </c>
      <c r="AU47" s="20">
        <f>IF(AO47="221d4",1,0)</f>
        <v/>
      </c>
      <c r="AV47" s="20">
        <f>IF(AO47="223a7",1,0)</f>
        <v/>
      </c>
      <c r="AW47" s="20">
        <f>IF(AO47="232",1,0)</f>
        <v/>
      </c>
      <c r="AX47" s="20">
        <f>IF(AO47="538",1,0)</f>
        <v/>
      </c>
      <c r="AY47" s="20">
        <f>IF(AO47="241",1,0)</f>
        <v/>
      </c>
      <c r="AZ47" s="20">
        <f>IF(AO47="220",1,0)</f>
        <v/>
      </c>
      <c r="BA47" s="20">
        <f>IF(AO47="OTHER",1,0)</f>
        <v/>
      </c>
      <c r="BB47" s="20">
        <f>IF(UPPER(TRIM(C47))="LM",1,0)</f>
        <v/>
      </c>
      <c r="BC47" s="20">
        <f>IF(UPPER(TRIM(C47))="PN",1,0)</f>
        <v/>
      </c>
      <c r="BD47" s="20">
        <f>IF(UPPER(TRIM(C47))="LS",1,0)</f>
        <v/>
      </c>
      <c r="BE47" s="20">
        <f>IF(UPPER(TRIM(C47))="RX",1,0)</f>
        <v/>
      </c>
      <c r="BF47" s="22">
        <f>IFERROR((Parameters!$C$6*AM47+Parameters!$C$7*MAX(AM47-(-150),0)+Parameters!$C$8*MAX(AM47-(-50),0)+Parameters!$C$9*MAX(AM47-(0),0)+Parameters!$C$10*MAX(AM47-(50),0)+Parameters!$C$11*MAX(AM47-(100),0)+Parameters!$C$12*MAX(AM47-(150),0)+Parameters!$C$13*MAX(AM47-(250),0)),0)</f>
        <v/>
      </c>
      <c r="BG47" s="22">
        <f>IFERROR((Parameters!$C$14*AA47+Parameters!$C$15*MAX(AA47-(12),0)+Parameters!$C$16*MAX(AA47-(36),0)+Parameters!$C$17*MAX(AA47-(60),0)+Parameters!$C$18*MAX(AA47-(84),0)+Parameters!$C$19*MAX(AA47-(120),0)+Parameters!$C$20*MAX(AA47-(180),0)),0)</f>
        <v/>
      </c>
      <c r="BH47" s="22">
        <f>IFERROR((Parameters!$C$21*AK47+Parameters!$C$22*MAX(AK47-(0),0)+Parameters!$C$23*MAX(AK47-(2),0)+Parameters!$C$24*MAX(AK47-(5),0)+Parameters!$C$25*MAX(AK47-(8),0)),0)</f>
        <v/>
      </c>
      <c r="BI47" s="22">
        <f>IFERROR((Parameters!$C$26*AI47+Parameters!$C$27*MAX(AI47-(-100),0)+Parameters!$C$28*MAX(AI47-(-25),0)+Parameters!$C$29*MAX(AI47-(25),0)+Parameters!$C$30*MAX(AI47-(100),0)),0)</f>
        <v/>
      </c>
      <c r="BJ47" s="22">
        <f>IFERROR((Parameters!$C$31*AN47+Parameters!$C$32*MAX(AN47-(2),0)+Parameters!$C$33*MAX(AN47-(10),0)+Parameters!$C$34*MAX(AN47-(25),0)),0)</f>
        <v/>
      </c>
      <c r="BK47" s="22">
        <f>IFERROR((Parameters!$C$35*AB47+Parameters!$C$36*MAX(AB47-(12),0)+Parameters!$C$37*MAX(AB47-(24),0)+Parameters!$C$38*MAX(AB47-(60),0)),0)</f>
        <v/>
      </c>
      <c r="BL47" s="22">
        <f>IFERROR((Parameters!$C$39*AC47+Parameters!$C$40*MAX(AC47-(6),0)+Parameters!$C$41*MAX(AC47-(12),0)+Parameters!$C$42*MAX(AC47-(24),0)),0)</f>
        <v/>
      </c>
      <c r="BM47" s="22">
        <f>IFERROR(Parameters!$C$43*(MAX(AM47,0)*MIN(MAX(AK47,0),10))/100,0)</f>
        <v/>
      </c>
      <c r="BN47" s="22">
        <f>Parameters!$C$44*AE47</f>
        <v/>
      </c>
      <c r="BO47" s="22">
        <f>Parameters!$C$45*AU47 + Parameters!$C$46*AV47 + Parameters!$C$47*AW47 + Parameters!$C$48*AX47 + Parameters!$C$49*AY47 + Parameters!$C$50*AZ47 + Parameters!$C$51*BA47</f>
        <v/>
      </c>
      <c r="BP47" s="22">
        <f>Parameters!$C$52*AQ47</f>
        <v/>
      </c>
      <c r="BQ47" s="22">
        <f>Parameters!$C$53*AR47+Parameters!$C$54*AS47+Parameters!$C$55*AT47</f>
        <v/>
      </c>
      <c r="BR47" s="22">
        <f>Parameters!$C$56*BB47+Parameters!$C$57*BC47+Parameters!$C$58*BD47+Parameters!$C$59*BE47</f>
        <v/>
      </c>
      <c r="BS47" s="23">
        <f>Parameters!$B$2</f>
        <v/>
      </c>
      <c r="BT47" s="23">
        <f>BS47+BF47 + BG47 + BH47 + BI47 + BJ47 + BK47 + BL47 + BM47 + BN47 + BO47 + BP47 + BQ47 + BR47</f>
        <v/>
      </c>
      <c r="BU47" s="24">
        <f>IF(AD47=1,0,1/(1+EXP(-BT47))*Parameters!$B$3)</f>
        <v/>
      </c>
      <c r="BV47" s="25">
        <f>(1-(1-BU47)^12)*100</f>
        <v/>
      </c>
      <c r="BW47" s="25">
        <f>IF(AD47=1,0,(1-(1-1/(1+EXP(-Parameters!$B$2)))^12)*100)</f>
        <v/>
      </c>
      <c r="BX47" s="25">
        <f>IF(AD47=1,0,BV47-(1-(1-(1/(1+EXP(-(BT47-BF47)))*Parameters!$B$3))^12)*100)</f>
        <v/>
      </c>
      <c r="BY47" s="25">
        <f>IF(AD47=1,0,BV47-(1-(1-(1/(1+EXP(-(BT47-BG47)))*Parameters!$B$3))^12)*100)</f>
        <v/>
      </c>
      <c r="BZ47" s="25">
        <f>IF(AD47=1,0,BV47-(1-(1-(1/(1+EXP(-(BT47-BH47)))*Parameters!$B$3))^12)*100)</f>
        <v/>
      </c>
      <c r="CA47" s="25">
        <f>IF(AD47=1,0,BV47-(1-(1-(1/(1+EXP(-(BT47-BI47)))*Parameters!$B$3))^12)*100)</f>
        <v/>
      </c>
      <c r="CB47" s="25">
        <f>IF(AD47=1,0,BV47-(1-(1-(1/(1+EXP(-(BT47-BJ47)))*Parameters!$B$3))^12)*100)</f>
        <v/>
      </c>
      <c r="CC47" s="25">
        <f>IF(AD47=1,0,BV47-(1-(1-(1/(1+EXP(-(BT47-BK47)))*Parameters!$B$3))^12)*100)</f>
        <v/>
      </c>
      <c r="CD47" s="25">
        <f>IF(AD47=1,0,BV47-(1-(1-(1/(1+EXP(-(BT47-BL47)))*Parameters!$B$3))^12)*100)</f>
        <v/>
      </c>
      <c r="CE47" s="25">
        <f>IF(AD47=1,0,BV47-(1-(1-(1/(1+EXP(-(BT47-BM47)))*Parameters!$B$3))^12)*100)</f>
        <v/>
      </c>
      <c r="CF47" s="25">
        <f>IF(AD47=1,0,BV47-(1-(1-(1/(1+EXP(-(BT47-BN47)))*Parameters!$B$3))^12)*100)</f>
        <v/>
      </c>
      <c r="CG47" s="25">
        <f>IF(AD47=1,0,BV47-(1-(1-(1/(1+EXP(-(BT47-BO47)))*Parameters!$B$3))^12)*100)</f>
        <v/>
      </c>
      <c r="CH47" s="25">
        <f>IF(AD47=1,0,BV47-(1-(1-(1/(1+EXP(-(BT47-BP47)))*Parameters!$B$3))^12)*100)</f>
        <v/>
      </c>
      <c r="CI47" s="25">
        <f>IF(AD47=1,0,BV47-(1-(1-(1/(1+EXP(-(BT47-BQ47)))*Parameters!$B$3))^12)*100)</f>
        <v/>
      </c>
      <c r="CJ47" s="25">
        <f>IF(AD47=1,0,BV47-(1-(1-(1/(1+EXP(-(BT47-BR47)))*Parameters!$B$3))^12)*100)</f>
        <v/>
      </c>
    </row>
    <row r="48">
      <c r="A48" s="17" t="inlineStr">
        <is>
          <t>GNR_2024_NEW</t>
        </is>
      </c>
      <c r="B48" s="17" t="inlineStr">
        <is>
          <t>3618V2JP3</t>
        </is>
      </c>
      <c r="C48" s="17" t="inlineStr">
        <is>
          <t>PN</t>
        </is>
      </c>
      <c r="D48" s="17" t="inlineStr">
        <is>
          <t>GREYSTONE FUNDING COMPANY LLC</t>
        </is>
      </c>
      <c r="E48" s="17" t="inlineStr">
        <is>
          <t>3618V2JP3_000000007522309</t>
        </is>
      </c>
      <c r="F48" s="17" t="n">
        <v>202603</v>
      </c>
      <c r="G48" s="18" t="n">
        <v>5.63</v>
      </c>
      <c r="H48" s="19" t="n">
        <v>8699921</v>
      </c>
      <c r="I48" s="17" t="n">
        <v>420</v>
      </c>
      <c r="J48" s="17" t="n">
        <v>20251201</v>
      </c>
      <c r="K48" s="17" t="n">
        <v>20610101</v>
      </c>
      <c r="L48" s="17" t="n"/>
      <c r="M48" s="17" t="n">
        <v>20360201</v>
      </c>
      <c r="N48" s="17" t="n">
        <v>10</v>
      </c>
      <c r="O48" s="17" t="inlineStr">
        <is>
          <t>232/223(F)</t>
        </is>
      </c>
      <c r="P48" s="17" t="n"/>
      <c r="Q48" s="17" t="n"/>
      <c r="R48" s="17" t="n"/>
      <c r="S48" s="17" t="n"/>
      <c r="T48" s="17" t="inlineStr">
        <is>
          <t>WI</t>
        </is>
      </c>
      <c r="U48" s="17" t="n">
        <v>44</v>
      </c>
      <c r="V48" s="17" t="n">
        <v>490.5</v>
      </c>
      <c r="W48" s="17" t="n">
        <v>3</v>
      </c>
      <c r="X48" s="17" t="n">
        <v>2025</v>
      </c>
      <c r="Y48" s="17" t="n">
        <v>-19</v>
      </c>
      <c r="Z48" s="17" t="n">
        <v>10</v>
      </c>
      <c r="AA48" s="20">
        <f>IF(ISNUMBER(W48),W48,IFERROR(MAX(0,(VALUE(LEFT(F48,4))-VALUE(LEFT(TEXT(J48,"00000000"),4)))*12+(VALUE(MID(F48,5,2))-VALUE(MID(TEXT(J48,"00000000"),5,2)))),""))</f>
        <v/>
      </c>
      <c r="AB48" s="20">
        <f>IFERROR((VALUE(LEFT(TEXT(K48,"00000000"),4))-VALUE(LEFT(F48,4)))*12+(VALUE(MID(TEXT(K48,"00000000"),5,2))-VALUE(MID(F48,5,2))),"")</f>
        <v/>
      </c>
      <c r="AC48" s="20">
        <f>IF(OR(L48="",NOT(ISNUMBER(L48))),0,MAX(0,MIN(60,(VALUE(LEFT(F48,4))-VALUE(LEFT(TEXT(L48,"00000000"),4)))*12+(VALUE(MID(F48,5,2))-VALUE(MID(TEXT(L48,"00000000"),5,2))))))</f>
        <v/>
      </c>
      <c r="AD48" s="20">
        <f>IF(OR(L48="",NOT(ISNUMBER(L48))),0,IF(VALUE(F48)&lt;VALUE(LEFT(TEXT(L48,"00000000"),6)),1,0))</f>
        <v/>
      </c>
      <c r="AE48" s="20">
        <f>IF(OR(M48="",NOT(ISNUMBER(M48))),0,IF(VALUE(F48)&lt;VALUE(LEFT(TEXT(M48,"00000000"),6)),1,0))</f>
        <v/>
      </c>
      <c r="AF48" s="20">
        <f>IF(AND(AD48=0,AE48=0),1,0)</f>
        <v/>
      </c>
      <c r="AG48" s="20">
        <f>IF(ISNUMBER(X48),X48,IFERROR(VALUE(LEFT(TEXT(J48,"00000000"),4)),""))</f>
        <v/>
      </c>
      <c r="AH48" s="20">
        <f>IFERROR(XLOOKUP(AG48,Vintage_Rates!$A$2:$A$1000,Vintage_Rates!$B$2:$B$1000,""),"")</f>
        <v/>
      </c>
      <c r="AI48" s="20">
        <f>IF(ISNUMBER(Y48),Y48,IFERROR((G48-AH48)*100,""))</f>
        <v/>
      </c>
      <c r="AJ48" s="20">
        <f>IF(ISNUMBER(V48),V48,IFERROR(XLOOKUP(VALUE(F48),PLC_Rates!$A$2:$A$1000,PLC_Rates!$B$2:$B$1000,""),""))</f>
        <v/>
      </c>
      <c r="AK48" s="20">
        <f>IF(ISNUMBER(Z48),Z48,IF(AE48=0,0,MAX(0,MIN(10,((VALUE(LEFT(TEXT(M48,"00000000"),4))-VALUE(LEFT(F48,4)))*12+(VALUE(MID(TEXT(M48,"00000000"),5,2))-VALUE(MID(F48,5,2))))/12))))</f>
        <v/>
      </c>
      <c r="AL48" s="20">
        <f>IFERROR(G48*100-AJ48,"")</f>
        <v/>
      </c>
      <c r="AM48" s="20">
        <f>IFERROR(G48*100-(AJ48+(1+AK48)*12.5),"")</f>
        <v/>
      </c>
      <c r="AN48" s="21">
        <f>IFERROR(MIN(H48/1000000,100),"")</f>
        <v/>
      </c>
      <c r="AO48" s="20">
        <f>IFERROR(INDEX(FHA_Lookup!$B$2:$B$11,MATCH(TRUE,ISNUMBER(SEARCH(FHA_Lookup!$A$2:$A$11,UPPER(SUBSTITUTE(O48," ","")))),0)),"OTHER")</f>
        <v/>
      </c>
      <c r="AP48" s="20">
        <f>IFERROR(INDEX(FHA_Lookup!$C$2:$C$11,MATCH(TRUE,ISNUMBER(SEARCH(FHA_Lookup!$A$2:$A$11,UPPER(SUBSTITUTE(O48," ","")))),0)),"OTHER")</f>
        <v/>
      </c>
      <c r="AQ48" s="20">
        <f>IF(AP48="NC",1,0)</f>
        <v/>
      </c>
      <c r="AR48" s="20">
        <f>IF(UPPER(TRIM(P48))="AFF",1,0)</f>
        <v/>
      </c>
      <c r="AS48" s="20">
        <f>IF(UPPER(TRIM(P48))="BAF",1,0)</f>
        <v/>
      </c>
      <c r="AT48" s="20">
        <f>IF(UPPER(TRIM(P48))="MKT",1,0)</f>
        <v/>
      </c>
      <c r="AU48" s="20">
        <f>IF(AO48="221d4",1,0)</f>
        <v/>
      </c>
      <c r="AV48" s="20">
        <f>IF(AO48="223a7",1,0)</f>
        <v/>
      </c>
      <c r="AW48" s="20">
        <f>IF(AO48="232",1,0)</f>
        <v/>
      </c>
      <c r="AX48" s="20">
        <f>IF(AO48="538",1,0)</f>
        <v/>
      </c>
      <c r="AY48" s="20">
        <f>IF(AO48="241",1,0)</f>
        <v/>
      </c>
      <c r="AZ48" s="20">
        <f>IF(AO48="220",1,0)</f>
        <v/>
      </c>
      <c r="BA48" s="20">
        <f>IF(AO48="OTHER",1,0)</f>
        <v/>
      </c>
      <c r="BB48" s="20">
        <f>IF(UPPER(TRIM(C48))="LM",1,0)</f>
        <v/>
      </c>
      <c r="BC48" s="20">
        <f>IF(UPPER(TRIM(C48))="PN",1,0)</f>
        <v/>
      </c>
      <c r="BD48" s="20">
        <f>IF(UPPER(TRIM(C48))="LS",1,0)</f>
        <v/>
      </c>
      <c r="BE48" s="20">
        <f>IF(UPPER(TRIM(C48))="RX",1,0)</f>
        <v/>
      </c>
      <c r="BF48" s="22">
        <f>IFERROR((Parameters!$C$6*AM48+Parameters!$C$7*MAX(AM48-(-150),0)+Parameters!$C$8*MAX(AM48-(-50),0)+Parameters!$C$9*MAX(AM48-(0),0)+Parameters!$C$10*MAX(AM48-(50),0)+Parameters!$C$11*MAX(AM48-(100),0)+Parameters!$C$12*MAX(AM48-(150),0)+Parameters!$C$13*MAX(AM48-(250),0)),0)</f>
        <v/>
      </c>
      <c r="BG48" s="22">
        <f>IFERROR((Parameters!$C$14*AA48+Parameters!$C$15*MAX(AA48-(12),0)+Parameters!$C$16*MAX(AA48-(36),0)+Parameters!$C$17*MAX(AA48-(60),0)+Parameters!$C$18*MAX(AA48-(84),0)+Parameters!$C$19*MAX(AA48-(120),0)+Parameters!$C$20*MAX(AA48-(180),0)),0)</f>
        <v/>
      </c>
      <c r="BH48" s="22">
        <f>IFERROR((Parameters!$C$21*AK48+Parameters!$C$22*MAX(AK48-(0),0)+Parameters!$C$23*MAX(AK48-(2),0)+Parameters!$C$24*MAX(AK48-(5),0)+Parameters!$C$25*MAX(AK48-(8),0)),0)</f>
        <v/>
      </c>
      <c r="BI48" s="22">
        <f>IFERROR((Parameters!$C$26*AI48+Parameters!$C$27*MAX(AI48-(-100),0)+Parameters!$C$28*MAX(AI48-(-25),0)+Parameters!$C$29*MAX(AI48-(25),0)+Parameters!$C$30*MAX(AI48-(100),0)),0)</f>
        <v/>
      </c>
      <c r="BJ48" s="22">
        <f>IFERROR((Parameters!$C$31*AN48+Parameters!$C$32*MAX(AN48-(2),0)+Parameters!$C$33*MAX(AN48-(10),0)+Parameters!$C$34*MAX(AN48-(25),0)),0)</f>
        <v/>
      </c>
      <c r="BK48" s="22">
        <f>IFERROR((Parameters!$C$35*AB48+Parameters!$C$36*MAX(AB48-(12),0)+Parameters!$C$37*MAX(AB48-(24),0)+Parameters!$C$38*MAX(AB48-(60),0)),0)</f>
        <v/>
      </c>
      <c r="BL48" s="22">
        <f>IFERROR((Parameters!$C$39*AC48+Parameters!$C$40*MAX(AC48-(6),0)+Parameters!$C$41*MAX(AC48-(12),0)+Parameters!$C$42*MAX(AC48-(24),0)),0)</f>
        <v/>
      </c>
      <c r="BM48" s="22">
        <f>IFERROR(Parameters!$C$43*(MAX(AM48,0)*MIN(MAX(AK48,0),10))/100,0)</f>
        <v/>
      </c>
      <c r="BN48" s="22">
        <f>Parameters!$C$44*AE48</f>
        <v/>
      </c>
      <c r="BO48" s="22">
        <f>Parameters!$C$45*AU48 + Parameters!$C$46*AV48 + Parameters!$C$47*AW48 + Parameters!$C$48*AX48 + Parameters!$C$49*AY48 + Parameters!$C$50*AZ48 + Parameters!$C$51*BA48</f>
        <v/>
      </c>
      <c r="BP48" s="22">
        <f>Parameters!$C$52*AQ48</f>
        <v/>
      </c>
      <c r="BQ48" s="22">
        <f>Parameters!$C$53*AR48+Parameters!$C$54*AS48+Parameters!$C$55*AT48</f>
        <v/>
      </c>
      <c r="BR48" s="22">
        <f>Parameters!$C$56*BB48+Parameters!$C$57*BC48+Parameters!$C$58*BD48+Parameters!$C$59*BE48</f>
        <v/>
      </c>
      <c r="BS48" s="23">
        <f>Parameters!$B$2</f>
        <v/>
      </c>
      <c r="BT48" s="23">
        <f>BS48+BF48 + BG48 + BH48 + BI48 + BJ48 + BK48 + BL48 + BM48 + BN48 + BO48 + BP48 + BQ48 + BR48</f>
        <v/>
      </c>
      <c r="BU48" s="24">
        <f>IF(AD48=1,0,1/(1+EXP(-BT48))*Parameters!$B$3)</f>
        <v/>
      </c>
      <c r="BV48" s="25">
        <f>(1-(1-BU48)^12)*100</f>
        <v/>
      </c>
      <c r="BW48" s="25">
        <f>IF(AD48=1,0,(1-(1-1/(1+EXP(-Parameters!$B$2)))^12)*100)</f>
        <v/>
      </c>
      <c r="BX48" s="25">
        <f>IF(AD48=1,0,BV48-(1-(1-(1/(1+EXP(-(BT48-BF48)))*Parameters!$B$3))^12)*100)</f>
        <v/>
      </c>
      <c r="BY48" s="25">
        <f>IF(AD48=1,0,BV48-(1-(1-(1/(1+EXP(-(BT48-BG48)))*Parameters!$B$3))^12)*100)</f>
        <v/>
      </c>
      <c r="BZ48" s="25">
        <f>IF(AD48=1,0,BV48-(1-(1-(1/(1+EXP(-(BT48-BH48)))*Parameters!$B$3))^12)*100)</f>
        <v/>
      </c>
      <c r="CA48" s="25">
        <f>IF(AD48=1,0,BV48-(1-(1-(1/(1+EXP(-(BT48-BI48)))*Parameters!$B$3))^12)*100)</f>
        <v/>
      </c>
      <c r="CB48" s="25">
        <f>IF(AD48=1,0,BV48-(1-(1-(1/(1+EXP(-(BT48-BJ48)))*Parameters!$B$3))^12)*100)</f>
        <v/>
      </c>
      <c r="CC48" s="25">
        <f>IF(AD48=1,0,BV48-(1-(1-(1/(1+EXP(-(BT48-BK48)))*Parameters!$B$3))^12)*100)</f>
        <v/>
      </c>
      <c r="CD48" s="25">
        <f>IF(AD48=1,0,BV48-(1-(1-(1/(1+EXP(-(BT48-BL48)))*Parameters!$B$3))^12)*100)</f>
        <v/>
      </c>
      <c r="CE48" s="25">
        <f>IF(AD48=1,0,BV48-(1-(1-(1/(1+EXP(-(BT48-BM48)))*Parameters!$B$3))^12)*100)</f>
        <v/>
      </c>
      <c r="CF48" s="25">
        <f>IF(AD48=1,0,BV48-(1-(1-(1/(1+EXP(-(BT48-BN48)))*Parameters!$B$3))^12)*100)</f>
        <v/>
      </c>
      <c r="CG48" s="25">
        <f>IF(AD48=1,0,BV48-(1-(1-(1/(1+EXP(-(BT48-BO48)))*Parameters!$B$3))^12)*100)</f>
        <v/>
      </c>
      <c r="CH48" s="25">
        <f>IF(AD48=1,0,BV48-(1-(1-(1/(1+EXP(-(BT48-BP48)))*Parameters!$B$3))^12)*100)</f>
        <v/>
      </c>
      <c r="CI48" s="25">
        <f>IF(AD48=1,0,BV48-(1-(1-(1/(1+EXP(-(BT48-BQ48)))*Parameters!$B$3))^12)*100)</f>
        <v/>
      </c>
      <c r="CJ48" s="25">
        <f>IF(AD48=1,0,BV48-(1-(1-(1/(1+EXP(-(BT48-BR48)))*Parameters!$B$3))^12)*100)</f>
        <v/>
      </c>
    </row>
    <row r="49">
      <c r="A49" s="17" t="inlineStr">
        <is>
          <t>GNR_2024_NEW</t>
        </is>
      </c>
      <c r="B49" s="17" t="inlineStr">
        <is>
          <t>3618KLNY9</t>
        </is>
      </c>
      <c r="C49" s="17" t="inlineStr">
        <is>
          <t>PN</t>
        </is>
      </c>
      <c r="D49" s="17" t="inlineStr">
        <is>
          <t>LUMENT REAL ESTATE CAPITAL,LLC</t>
        </is>
      </c>
      <c r="E49" s="17" t="inlineStr">
        <is>
          <t>3618KLNY9_000000011511448</t>
        </is>
      </c>
      <c r="F49" s="17" t="n">
        <v>202603</v>
      </c>
      <c r="G49" s="18" t="n">
        <v>4.44</v>
      </c>
      <c r="H49" s="19" t="n">
        <v>59622500</v>
      </c>
      <c r="I49" s="17" t="n">
        <v>420</v>
      </c>
      <c r="J49" s="17" t="n">
        <v>20260313</v>
      </c>
      <c r="K49" s="17" t="n">
        <v>20610401</v>
      </c>
      <c r="L49" s="17" t="n"/>
      <c r="M49" s="17" t="n">
        <v>20360501</v>
      </c>
      <c r="N49" s="17" t="n">
        <v>10</v>
      </c>
      <c r="O49" s="17" t="inlineStr">
        <is>
          <t>207/223(F)</t>
        </is>
      </c>
      <c r="P49" s="17" t="n"/>
      <c r="Q49" s="17" t="n"/>
      <c r="R49" s="17" t="n"/>
      <c r="S49" s="17" t="n"/>
      <c r="T49" s="17" t="inlineStr">
        <is>
          <t>TX</t>
        </is>
      </c>
      <c r="U49" s="17" t="n">
        <v>358</v>
      </c>
      <c r="V49" s="17" t="n">
        <v>490.5</v>
      </c>
      <c r="W49" s="17" t="n">
        <v>0</v>
      </c>
      <c r="X49" s="17" t="n">
        <v>2026</v>
      </c>
      <c r="Y49" s="17" t="n">
        <v>-97</v>
      </c>
      <c r="Z49" s="17" t="n">
        <v>10</v>
      </c>
      <c r="AA49" s="20">
        <f>IF(ISNUMBER(W49),W49,IFERROR(MAX(0,(VALUE(LEFT(F49,4))-VALUE(LEFT(TEXT(J49,"00000000"),4)))*12+(VALUE(MID(F49,5,2))-VALUE(MID(TEXT(J49,"00000000"),5,2)))),""))</f>
        <v/>
      </c>
      <c r="AB49" s="20">
        <f>IFERROR((VALUE(LEFT(TEXT(K49,"00000000"),4))-VALUE(LEFT(F49,4)))*12+(VALUE(MID(TEXT(K49,"00000000"),5,2))-VALUE(MID(F49,5,2))),"")</f>
        <v/>
      </c>
      <c r="AC49" s="20">
        <f>IF(OR(L49="",NOT(ISNUMBER(L49))),0,MAX(0,MIN(60,(VALUE(LEFT(F49,4))-VALUE(LEFT(TEXT(L49,"00000000"),4)))*12+(VALUE(MID(F49,5,2))-VALUE(MID(TEXT(L49,"00000000"),5,2))))))</f>
        <v/>
      </c>
      <c r="AD49" s="20">
        <f>IF(OR(L49="",NOT(ISNUMBER(L49))),0,IF(VALUE(F49)&lt;VALUE(LEFT(TEXT(L49,"00000000"),6)),1,0))</f>
        <v/>
      </c>
      <c r="AE49" s="20">
        <f>IF(OR(M49="",NOT(ISNUMBER(M49))),0,IF(VALUE(F49)&lt;VALUE(LEFT(TEXT(M49,"00000000"),6)),1,0))</f>
        <v/>
      </c>
      <c r="AF49" s="20">
        <f>IF(AND(AD49=0,AE49=0),1,0)</f>
        <v/>
      </c>
      <c r="AG49" s="20">
        <f>IF(ISNUMBER(X49),X49,IFERROR(VALUE(LEFT(TEXT(J49,"00000000"),4)),""))</f>
        <v/>
      </c>
      <c r="AH49" s="20">
        <f>IFERROR(XLOOKUP(AG49,Vintage_Rates!$A$2:$A$1000,Vintage_Rates!$B$2:$B$1000,""),"")</f>
        <v/>
      </c>
      <c r="AI49" s="20">
        <f>IF(ISNUMBER(Y49),Y49,IFERROR((G49-AH49)*100,""))</f>
        <v/>
      </c>
      <c r="AJ49" s="20">
        <f>IF(ISNUMBER(V49),V49,IFERROR(XLOOKUP(VALUE(F49),PLC_Rates!$A$2:$A$1000,PLC_Rates!$B$2:$B$1000,""),""))</f>
        <v/>
      </c>
      <c r="AK49" s="20">
        <f>IF(ISNUMBER(Z49),Z49,IF(AE49=0,0,MAX(0,MIN(10,((VALUE(LEFT(TEXT(M49,"00000000"),4))-VALUE(LEFT(F49,4)))*12+(VALUE(MID(TEXT(M49,"00000000"),5,2))-VALUE(MID(F49,5,2))))/12))))</f>
        <v/>
      </c>
      <c r="AL49" s="20">
        <f>IFERROR(G49*100-AJ49,"")</f>
        <v/>
      </c>
      <c r="AM49" s="20">
        <f>IFERROR(G49*100-(AJ49+(1+AK49)*12.5),"")</f>
        <v/>
      </c>
      <c r="AN49" s="21">
        <f>IFERROR(MIN(H49/1000000,100),"")</f>
        <v/>
      </c>
      <c r="AO49" s="20">
        <f>IFERROR(INDEX(FHA_Lookup!$B$2:$B$11,MATCH(TRUE,ISNUMBER(SEARCH(FHA_Lookup!$A$2:$A$11,UPPER(SUBSTITUTE(O49," ","")))),0)),"OTHER")</f>
        <v/>
      </c>
      <c r="AP49" s="20">
        <f>IFERROR(INDEX(FHA_Lookup!$C$2:$C$11,MATCH(TRUE,ISNUMBER(SEARCH(FHA_Lookup!$A$2:$A$11,UPPER(SUBSTITUTE(O49," ","")))),0)),"OTHER")</f>
        <v/>
      </c>
      <c r="AQ49" s="20">
        <f>IF(AP49="NC",1,0)</f>
        <v/>
      </c>
      <c r="AR49" s="20">
        <f>IF(UPPER(TRIM(P49))="AFF",1,0)</f>
        <v/>
      </c>
      <c r="AS49" s="20">
        <f>IF(UPPER(TRIM(P49))="BAF",1,0)</f>
        <v/>
      </c>
      <c r="AT49" s="20">
        <f>IF(UPPER(TRIM(P49))="MKT",1,0)</f>
        <v/>
      </c>
      <c r="AU49" s="20">
        <f>IF(AO49="221d4",1,0)</f>
        <v/>
      </c>
      <c r="AV49" s="20">
        <f>IF(AO49="223a7",1,0)</f>
        <v/>
      </c>
      <c r="AW49" s="20">
        <f>IF(AO49="232",1,0)</f>
        <v/>
      </c>
      <c r="AX49" s="20">
        <f>IF(AO49="538",1,0)</f>
        <v/>
      </c>
      <c r="AY49" s="20">
        <f>IF(AO49="241",1,0)</f>
        <v/>
      </c>
      <c r="AZ49" s="20">
        <f>IF(AO49="220",1,0)</f>
        <v/>
      </c>
      <c r="BA49" s="20">
        <f>IF(AO49="OTHER",1,0)</f>
        <v/>
      </c>
      <c r="BB49" s="20">
        <f>IF(UPPER(TRIM(C49))="LM",1,0)</f>
        <v/>
      </c>
      <c r="BC49" s="20">
        <f>IF(UPPER(TRIM(C49))="PN",1,0)</f>
        <v/>
      </c>
      <c r="BD49" s="20">
        <f>IF(UPPER(TRIM(C49))="LS",1,0)</f>
        <v/>
      </c>
      <c r="BE49" s="20">
        <f>IF(UPPER(TRIM(C49))="RX",1,0)</f>
        <v/>
      </c>
      <c r="BF49" s="22">
        <f>IFERROR((Parameters!$C$6*AM49+Parameters!$C$7*MAX(AM49-(-150),0)+Parameters!$C$8*MAX(AM49-(-50),0)+Parameters!$C$9*MAX(AM49-(0),0)+Parameters!$C$10*MAX(AM49-(50),0)+Parameters!$C$11*MAX(AM49-(100),0)+Parameters!$C$12*MAX(AM49-(150),0)+Parameters!$C$13*MAX(AM49-(250),0)),0)</f>
        <v/>
      </c>
      <c r="BG49" s="22">
        <f>IFERROR((Parameters!$C$14*AA49+Parameters!$C$15*MAX(AA49-(12),0)+Parameters!$C$16*MAX(AA49-(36),0)+Parameters!$C$17*MAX(AA49-(60),0)+Parameters!$C$18*MAX(AA49-(84),0)+Parameters!$C$19*MAX(AA49-(120),0)+Parameters!$C$20*MAX(AA49-(180),0)),0)</f>
        <v/>
      </c>
      <c r="BH49" s="22">
        <f>IFERROR((Parameters!$C$21*AK49+Parameters!$C$22*MAX(AK49-(0),0)+Parameters!$C$23*MAX(AK49-(2),0)+Parameters!$C$24*MAX(AK49-(5),0)+Parameters!$C$25*MAX(AK49-(8),0)),0)</f>
        <v/>
      </c>
      <c r="BI49" s="22">
        <f>IFERROR((Parameters!$C$26*AI49+Parameters!$C$27*MAX(AI49-(-100),0)+Parameters!$C$28*MAX(AI49-(-25),0)+Parameters!$C$29*MAX(AI49-(25),0)+Parameters!$C$30*MAX(AI49-(100),0)),0)</f>
        <v/>
      </c>
      <c r="BJ49" s="22">
        <f>IFERROR((Parameters!$C$31*AN49+Parameters!$C$32*MAX(AN49-(2),0)+Parameters!$C$33*MAX(AN49-(10),0)+Parameters!$C$34*MAX(AN49-(25),0)),0)</f>
        <v/>
      </c>
      <c r="BK49" s="22">
        <f>IFERROR((Parameters!$C$35*AB49+Parameters!$C$36*MAX(AB49-(12),0)+Parameters!$C$37*MAX(AB49-(24),0)+Parameters!$C$38*MAX(AB49-(60),0)),0)</f>
        <v/>
      </c>
      <c r="BL49" s="22">
        <f>IFERROR((Parameters!$C$39*AC49+Parameters!$C$40*MAX(AC49-(6),0)+Parameters!$C$41*MAX(AC49-(12),0)+Parameters!$C$42*MAX(AC49-(24),0)),0)</f>
        <v/>
      </c>
      <c r="BM49" s="22">
        <f>IFERROR(Parameters!$C$43*(MAX(AM49,0)*MIN(MAX(AK49,0),10))/100,0)</f>
        <v/>
      </c>
      <c r="BN49" s="22">
        <f>Parameters!$C$44*AE49</f>
        <v/>
      </c>
      <c r="BO49" s="22">
        <f>Parameters!$C$45*AU49 + Parameters!$C$46*AV49 + Parameters!$C$47*AW49 + Parameters!$C$48*AX49 + Parameters!$C$49*AY49 + Parameters!$C$50*AZ49 + Parameters!$C$51*BA49</f>
        <v/>
      </c>
      <c r="BP49" s="22">
        <f>Parameters!$C$52*AQ49</f>
        <v/>
      </c>
      <c r="BQ49" s="22">
        <f>Parameters!$C$53*AR49+Parameters!$C$54*AS49+Parameters!$C$55*AT49</f>
        <v/>
      </c>
      <c r="BR49" s="22">
        <f>Parameters!$C$56*BB49+Parameters!$C$57*BC49+Parameters!$C$58*BD49+Parameters!$C$59*BE49</f>
        <v/>
      </c>
      <c r="BS49" s="23">
        <f>Parameters!$B$2</f>
        <v/>
      </c>
      <c r="BT49" s="23">
        <f>BS49+BF49 + BG49 + BH49 + BI49 + BJ49 + BK49 + BL49 + BM49 + BN49 + BO49 + BP49 + BQ49 + BR49</f>
        <v/>
      </c>
      <c r="BU49" s="24">
        <f>IF(AD49=1,0,1/(1+EXP(-BT49))*Parameters!$B$3)</f>
        <v/>
      </c>
      <c r="BV49" s="25">
        <f>(1-(1-BU49)^12)*100</f>
        <v/>
      </c>
      <c r="BW49" s="25">
        <f>IF(AD49=1,0,(1-(1-1/(1+EXP(-Parameters!$B$2)))^12)*100)</f>
        <v/>
      </c>
      <c r="BX49" s="25">
        <f>IF(AD49=1,0,BV49-(1-(1-(1/(1+EXP(-(BT49-BF49)))*Parameters!$B$3))^12)*100)</f>
        <v/>
      </c>
      <c r="BY49" s="25">
        <f>IF(AD49=1,0,BV49-(1-(1-(1/(1+EXP(-(BT49-BG49)))*Parameters!$B$3))^12)*100)</f>
        <v/>
      </c>
      <c r="BZ49" s="25">
        <f>IF(AD49=1,0,BV49-(1-(1-(1/(1+EXP(-(BT49-BH49)))*Parameters!$B$3))^12)*100)</f>
        <v/>
      </c>
      <c r="CA49" s="25">
        <f>IF(AD49=1,0,BV49-(1-(1-(1/(1+EXP(-(BT49-BI49)))*Parameters!$B$3))^12)*100)</f>
        <v/>
      </c>
      <c r="CB49" s="25">
        <f>IF(AD49=1,0,BV49-(1-(1-(1/(1+EXP(-(BT49-BJ49)))*Parameters!$B$3))^12)*100)</f>
        <v/>
      </c>
      <c r="CC49" s="25">
        <f>IF(AD49=1,0,BV49-(1-(1-(1/(1+EXP(-(BT49-BK49)))*Parameters!$B$3))^12)*100)</f>
        <v/>
      </c>
      <c r="CD49" s="25">
        <f>IF(AD49=1,0,BV49-(1-(1-(1/(1+EXP(-(BT49-BL49)))*Parameters!$B$3))^12)*100)</f>
        <v/>
      </c>
      <c r="CE49" s="25">
        <f>IF(AD49=1,0,BV49-(1-(1-(1/(1+EXP(-(BT49-BM49)))*Parameters!$B$3))^12)*100)</f>
        <v/>
      </c>
      <c r="CF49" s="25">
        <f>IF(AD49=1,0,BV49-(1-(1-(1/(1+EXP(-(BT49-BN49)))*Parameters!$B$3))^12)*100)</f>
        <v/>
      </c>
      <c r="CG49" s="25">
        <f>IF(AD49=1,0,BV49-(1-(1-(1/(1+EXP(-(BT49-BO49)))*Parameters!$B$3))^12)*100)</f>
        <v/>
      </c>
      <c r="CH49" s="25">
        <f>IF(AD49=1,0,BV49-(1-(1-(1/(1+EXP(-(BT49-BP49)))*Parameters!$B$3))^12)*100)</f>
        <v/>
      </c>
      <c r="CI49" s="25">
        <f>IF(AD49=1,0,BV49-(1-(1-(1/(1+EXP(-(BT49-BQ49)))*Parameters!$B$3))^12)*100)</f>
        <v/>
      </c>
      <c r="CJ49" s="25">
        <f>IF(AD49=1,0,BV49-(1-(1-(1/(1+EXP(-(BT49-BR49)))*Parameters!$B$3))^12)*100)</f>
        <v/>
      </c>
    </row>
    <row r="50">
      <c r="A50" s="17" t="inlineStr">
        <is>
          <t>GNR_2024_NEW</t>
        </is>
      </c>
      <c r="B50" s="17" t="inlineStr">
        <is>
          <t>3618G0RE0</t>
        </is>
      </c>
      <c r="C50" s="17" t="inlineStr">
        <is>
          <t>PN</t>
        </is>
      </c>
      <c r="D50" s="17" t="inlineStr">
        <is>
          <t>VIUM CAPITAL MORTGAGE, LLC.</t>
        </is>
      </c>
      <c r="E50" s="17" t="inlineStr">
        <is>
          <t>3618G0RE0_000000004322176</t>
        </is>
      </c>
      <c r="F50" s="17" t="n">
        <v>202603</v>
      </c>
      <c r="G50" s="18" t="n">
        <v>5.75</v>
      </c>
      <c r="H50" s="19" t="n">
        <v>15649279.89</v>
      </c>
      <c r="I50" s="17" t="n">
        <v>420</v>
      </c>
      <c r="J50" s="17" t="n">
        <v>20240301</v>
      </c>
      <c r="K50" s="17" t="n">
        <v>20590401</v>
      </c>
      <c r="L50" s="17" t="n"/>
      <c r="M50" s="17" t="n">
        <v>20340501</v>
      </c>
      <c r="N50" s="17" t="n">
        <v>10</v>
      </c>
      <c r="O50" s="17" t="inlineStr">
        <is>
          <t>232/223(F)</t>
        </is>
      </c>
      <c r="P50" s="17" t="inlineStr">
        <is>
          <t>MKT</t>
        </is>
      </c>
      <c r="Q50" s="17" t="n"/>
      <c r="R50" s="17" t="n"/>
      <c r="S50" s="17" t="n"/>
      <c r="T50" s="17" t="inlineStr">
        <is>
          <t>OH</t>
        </is>
      </c>
      <c r="U50" s="17" t="n">
        <v>92</v>
      </c>
      <c r="V50" s="17" t="n">
        <v>490.5</v>
      </c>
      <c r="W50" s="17" t="n">
        <v>24</v>
      </c>
      <c r="X50" s="17" t="n">
        <v>2024</v>
      </c>
      <c r="Y50" s="17" t="n">
        <v>-3</v>
      </c>
      <c r="Z50" s="17" t="n">
        <v>9</v>
      </c>
      <c r="AA50" s="20">
        <f>IF(ISNUMBER(W50),W50,IFERROR(MAX(0,(VALUE(LEFT(F50,4))-VALUE(LEFT(TEXT(J50,"00000000"),4)))*12+(VALUE(MID(F50,5,2))-VALUE(MID(TEXT(J50,"00000000"),5,2)))),""))</f>
        <v/>
      </c>
      <c r="AB50" s="20">
        <f>IFERROR((VALUE(LEFT(TEXT(K50,"00000000"),4))-VALUE(LEFT(F50,4)))*12+(VALUE(MID(TEXT(K50,"00000000"),5,2))-VALUE(MID(F50,5,2))),"")</f>
        <v/>
      </c>
      <c r="AC50" s="20">
        <f>IF(OR(L50="",NOT(ISNUMBER(L50))),0,MAX(0,MIN(60,(VALUE(LEFT(F50,4))-VALUE(LEFT(TEXT(L50,"00000000"),4)))*12+(VALUE(MID(F50,5,2))-VALUE(MID(TEXT(L50,"00000000"),5,2))))))</f>
        <v/>
      </c>
      <c r="AD50" s="20">
        <f>IF(OR(L50="",NOT(ISNUMBER(L50))),0,IF(VALUE(F50)&lt;VALUE(LEFT(TEXT(L50,"00000000"),6)),1,0))</f>
        <v/>
      </c>
      <c r="AE50" s="20">
        <f>IF(OR(M50="",NOT(ISNUMBER(M50))),0,IF(VALUE(F50)&lt;VALUE(LEFT(TEXT(M50,"00000000"),6)),1,0))</f>
        <v/>
      </c>
      <c r="AF50" s="20">
        <f>IF(AND(AD50=0,AE50=0),1,0)</f>
        <v/>
      </c>
      <c r="AG50" s="20">
        <f>IF(ISNUMBER(X50),X50,IFERROR(VALUE(LEFT(TEXT(J50,"00000000"),4)),""))</f>
        <v/>
      </c>
      <c r="AH50" s="20">
        <f>IFERROR(XLOOKUP(AG50,Vintage_Rates!$A$2:$A$1000,Vintage_Rates!$B$2:$B$1000,""),"")</f>
        <v/>
      </c>
      <c r="AI50" s="20">
        <f>IF(ISNUMBER(Y50),Y50,IFERROR((G50-AH50)*100,""))</f>
        <v/>
      </c>
      <c r="AJ50" s="20">
        <f>IF(ISNUMBER(V50),V50,IFERROR(XLOOKUP(VALUE(F50),PLC_Rates!$A$2:$A$1000,PLC_Rates!$B$2:$B$1000,""),""))</f>
        <v/>
      </c>
      <c r="AK50" s="20">
        <f>IF(ISNUMBER(Z50),Z50,IF(AE50=0,0,MAX(0,MIN(10,((VALUE(LEFT(TEXT(M50,"00000000"),4))-VALUE(LEFT(F50,4)))*12+(VALUE(MID(TEXT(M50,"00000000"),5,2))-VALUE(MID(F50,5,2))))/12))))</f>
        <v/>
      </c>
      <c r="AL50" s="20">
        <f>IFERROR(G50*100-AJ50,"")</f>
        <v/>
      </c>
      <c r="AM50" s="20">
        <f>IFERROR(G50*100-(AJ50+(1+AK50)*12.5),"")</f>
        <v/>
      </c>
      <c r="AN50" s="21">
        <f>IFERROR(MIN(H50/1000000,100),"")</f>
        <v/>
      </c>
      <c r="AO50" s="20">
        <f>IFERROR(INDEX(FHA_Lookup!$B$2:$B$11,MATCH(TRUE,ISNUMBER(SEARCH(FHA_Lookup!$A$2:$A$11,UPPER(SUBSTITUTE(O50," ","")))),0)),"OTHER")</f>
        <v/>
      </c>
      <c r="AP50" s="20">
        <f>IFERROR(INDEX(FHA_Lookup!$C$2:$C$11,MATCH(TRUE,ISNUMBER(SEARCH(FHA_Lookup!$A$2:$A$11,UPPER(SUBSTITUTE(O50," ","")))),0)),"OTHER")</f>
        <v/>
      </c>
      <c r="AQ50" s="20">
        <f>IF(AP50="NC",1,0)</f>
        <v/>
      </c>
      <c r="AR50" s="20">
        <f>IF(UPPER(TRIM(P50))="AFF",1,0)</f>
        <v/>
      </c>
      <c r="AS50" s="20">
        <f>IF(UPPER(TRIM(P50))="BAF",1,0)</f>
        <v/>
      </c>
      <c r="AT50" s="20">
        <f>IF(UPPER(TRIM(P50))="MKT",1,0)</f>
        <v/>
      </c>
      <c r="AU50" s="20">
        <f>IF(AO50="221d4",1,0)</f>
        <v/>
      </c>
      <c r="AV50" s="20">
        <f>IF(AO50="223a7",1,0)</f>
        <v/>
      </c>
      <c r="AW50" s="20">
        <f>IF(AO50="232",1,0)</f>
        <v/>
      </c>
      <c r="AX50" s="20">
        <f>IF(AO50="538",1,0)</f>
        <v/>
      </c>
      <c r="AY50" s="20">
        <f>IF(AO50="241",1,0)</f>
        <v/>
      </c>
      <c r="AZ50" s="20">
        <f>IF(AO50="220",1,0)</f>
        <v/>
      </c>
      <c r="BA50" s="20">
        <f>IF(AO50="OTHER",1,0)</f>
        <v/>
      </c>
      <c r="BB50" s="20">
        <f>IF(UPPER(TRIM(C50))="LM",1,0)</f>
        <v/>
      </c>
      <c r="BC50" s="20">
        <f>IF(UPPER(TRIM(C50))="PN",1,0)</f>
        <v/>
      </c>
      <c r="BD50" s="20">
        <f>IF(UPPER(TRIM(C50))="LS",1,0)</f>
        <v/>
      </c>
      <c r="BE50" s="20">
        <f>IF(UPPER(TRIM(C50))="RX",1,0)</f>
        <v/>
      </c>
      <c r="BF50" s="22">
        <f>IFERROR((Parameters!$C$6*AM50+Parameters!$C$7*MAX(AM50-(-150),0)+Parameters!$C$8*MAX(AM50-(-50),0)+Parameters!$C$9*MAX(AM50-(0),0)+Parameters!$C$10*MAX(AM50-(50),0)+Parameters!$C$11*MAX(AM50-(100),0)+Parameters!$C$12*MAX(AM50-(150),0)+Parameters!$C$13*MAX(AM50-(250),0)),0)</f>
        <v/>
      </c>
      <c r="BG50" s="22">
        <f>IFERROR((Parameters!$C$14*AA50+Parameters!$C$15*MAX(AA50-(12),0)+Parameters!$C$16*MAX(AA50-(36),0)+Parameters!$C$17*MAX(AA50-(60),0)+Parameters!$C$18*MAX(AA50-(84),0)+Parameters!$C$19*MAX(AA50-(120),0)+Parameters!$C$20*MAX(AA50-(180),0)),0)</f>
        <v/>
      </c>
      <c r="BH50" s="22">
        <f>IFERROR((Parameters!$C$21*AK50+Parameters!$C$22*MAX(AK50-(0),0)+Parameters!$C$23*MAX(AK50-(2),0)+Parameters!$C$24*MAX(AK50-(5),0)+Parameters!$C$25*MAX(AK50-(8),0)),0)</f>
        <v/>
      </c>
      <c r="BI50" s="22">
        <f>IFERROR((Parameters!$C$26*AI50+Parameters!$C$27*MAX(AI50-(-100),0)+Parameters!$C$28*MAX(AI50-(-25),0)+Parameters!$C$29*MAX(AI50-(25),0)+Parameters!$C$30*MAX(AI50-(100),0)),0)</f>
        <v/>
      </c>
      <c r="BJ50" s="22">
        <f>IFERROR((Parameters!$C$31*AN50+Parameters!$C$32*MAX(AN50-(2),0)+Parameters!$C$33*MAX(AN50-(10),0)+Parameters!$C$34*MAX(AN50-(25),0)),0)</f>
        <v/>
      </c>
      <c r="BK50" s="22">
        <f>IFERROR((Parameters!$C$35*AB50+Parameters!$C$36*MAX(AB50-(12),0)+Parameters!$C$37*MAX(AB50-(24),0)+Parameters!$C$38*MAX(AB50-(60),0)),0)</f>
        <v/>
      </c>
      <c r="BL50" s="22">
        <f>IFERROR((Parameters!$C$39*AC50+Parameters!$C$40*MAX(AC50-(6),0)+Parameters!$C$41*MAX(AC50-(12),0)+Parameters!$C$42*MAX(AC50-(24),0)),0)</f>
        <v/>
      </c>
      <c r="BM50" s="22">
        <f>IFERROR(Parameters!$C$43*(MAX(AM50,0)*MIN(MAX(AK50,0),10))/100,0)</f>
        <v/>
      </c>
      <c r="BN50" s="22">
        <f>Parameters!$C$44*AE50</f>
        <v/>
      </c>
      <c r="BO50" s="22">
        <f>Parameters!$C$45*AU50 + Parameters!$C$46*AV50 + Parameters!$C$47*AW50 + Parameters!$C$48*AX50 + Parameters!$C$49*AY50 + Parameters!$C$50*AZ50 + Parameters!$C$51*BA50</f>
        <v/>
      </c>
      <c r="BP50" s="22">
        <f>Parameters!$C$52*AQ50</f>
        <v/>
      </c>
      <c r="BQ50" s="22">
        <f>Parameters!$C$53*AR50+Parameters!$C$54*AS50+Parameters!$C$55*AT50</f>
        <v/>
      </c>
      <c r="BR50" s="22">
        <f>Parameters!$C$56*BB50+Parameters!$C$57*BC50+Parameters!$C$58*BD50+Parameters!$C$59*BE50</f>
        <v/>
      </c>
      <c r="BS50" s="23">
        <f>Parameters!$B$2</f>
        <v/>
      </c>
      <c r="BT50" s="23">
        <f>BS50+BF50 + BG50 + BH50 + BI50 + BJ50 + BK50 + BL50 + BM50 + BN50 + BO50 + BP50 + BQ50 + BR50</f>
        <v/>
      </c>
      <c r="BU50" s="24">
        <f>IF(AD50=1,0,1/(1+EXP(-BT50))*Parameters!$B$3)</f>
        <v/>
      </c>
      <c r="BV50" s="25">
        <f>(1-(1-BU50)^12)*100</f>
        <v/>
      </c>
      <c r="BW50" s="25">
        <f>IF(AD50=1,0,(1-(1-1/(1+EXP(-Parameters!$B$2)))^12)*100)</f>
        <v/>
      </c>
      <c r="BX50" s="25">
        <f>IF(AD50=1,0,BV50-(1-(1-(1/(1+EXP(-(BT50-BF50)))*Parameters!$B$3))^12)*100)</f>
        <v/>
      </c>
      <c r="BY50" s="25">
        <f>IF(AD50=1,0,BV50-(1-(1-(1/(1+EXP(-(BT50-BG50)))*Parameters!$B$3))^12)*100)</f>
        <v/>
      </c>
      <c r="BZ50" s="25">
        <f>IF(AD50=1,0,BV50-(1-(1-(1/(1+EXP(-(BT50-BH50)))*Parameters!$B$3))^12)*100)</f>
        <v/>
      </c>
      <c r="CA50" s="25">
        <f>IF(AD50=1,0,BV50-(1-(1-(1/(1+EXP(-(BT50-BI50)))*Parameters!$B$3))^12)*100)</f>
        <v/>
      </c>
      <c r="CB50" s="25">
        <f>IF(AD50=1,0,BV50-(1-(1-(1/(1+EXP(-(BT50-BJ50)))*Parameters!$B$3))^12)*100)</f>
        <v/>
      </c>
      <c r="CC50" s="25">
        <f>IF(AD50=1,0,BV50-(1-(1-(1/(1+EXP(-(BT50-BK50)))*Parameters!$B$3))^12)*100)</f>
        <v/>
      </c>
      <c r="CD50" s="25">
        <f>IF(AD50=1,0,BV50-(1-(1-(1/(1+EXP(-(BT50-BL50)))*Parameters!$B$3))^12)*100)</f>
        <v/>
      </c>
      <c r="CE50" s="25">
        <f>IF(AD50=1,0,BV50-(1-(1-(1/(1+EXP(-(BT50-BM50)))*Parameters!$B$3))^12)*100)</f>
        <v/>
      </c>
      <c r="CF50" s="25">
        <f>IF(AD50=1,0,BV50-(1-(1-(1/(1+EXP(-(BT50-BN50)))*Parameters!$B$3))^12)*100)</f>
        <v/>
      </c>
      <c r="CG50" s="25">
        <f>IF(AD50=1,0,BV50-(1-(1-(1/(1+EXP(-(BT50-BO50)))*Parameters!$B$3))^12)*100)</f>
        <v/>
      </c>
      <c r="CH50" s="25">
        <f>IF(AD50=1,0,BV50-(1-(1-(1/(1+EXP(-(BT50-BP50)))*Parameters!$B$3))^12)*100)</f>
        <v/>
      </c>
      <c r="CI50" s="25">
        <f>IF(AD50=1,0,BV50-(1-(1-(1/(1+EXP(-(BT50-BQ50)))*Parameters!$B$3))^12)*100)</f>
        <v/>
      </c>
      <c r="CJ50" s="25">
        <f>IF(AD50=1,0,BV50-(1-(1-(1/(1+EXP(-(BT50-BR50)))*Parameters!$B$3))^12)*100)</f>
        <v/>
      </c>
    </row>
    <row r="51">
      <c r="A51" s="17" t="inlineStr">
        <is>
          <t>GNR_2024_NEW</t>
        </is>
      </c>
      <c r="B51" s="17" t="inlineStr">
        <is>
          <t>3618JBE64</t>
        </is>
      </c>
      <c r="C51" s="17" t="inlineStr">
        <is>
          <t>PN</t>
        </is>
      </c>
      <c r="D51" s="17" t="inlineStr">
        <is>
          <t>GREYSTONE FUNDING COMPANY LLC</t>
        </is>
      </c>
      <c r="E51" s="17" t="inlineStr">
        <is>
          <t>3618JBE64_000000005111547</t>
        </is>
      </c>
      <c r="F51" s="17" t="n">
        <v>202603</v>
      </c>
      <c r="G51" s="18" t="n">
        <v>5.5</v>
      </c>
      <c r="H51" s="19" t="n">
        <v>8189153.05</v>
      </c>
      <c r="I51" s="17" t="n">
        <v>420</v>
      </c>
      <c r="J51" s="17" t="n">
        <v>20241101</v>
      </c>
      <c r="K51" s="17" t="n">
        <v>20591201</v>
      </c>
      <c r="L51" s="17" t="n"/>
      <c r="M51" s="17" t="n">
        <v>20350101</v>
      </c>
      <c r="N51" s="17" t="n">
        <v>10</v>
      </c>
      <c r="O51" s="17" t="inlineStr">
        <is>
          <t>207/223(F)</t>
        </is>
      </c>
      <c r="P51" s="17" t="n"/>
      <c r="Q51" s="17" t="n"/>
      <c r="R51" s="17" t="n"/>
      <c r="S51" s="17" t="n"/>
      <c r="T51" s="17" t="inlineStr">
        <is>
          <t>VA</t>
        </is>
      </c>
      <c r="U51" s="17" t="n">
        <v>40</v>
      </c>
      <c r="V51" s="17" t="n">
        <v>490.5</v>
      </c>
      <c r="W51" s="17" t="n">
        <v>16</v>
      </c>
      <c r="X51" s="17" t="n">
        <v>2024</v>
      </c>
      <c r="Y51" s="17" t="n">
        <v>-28</v>
      </c>
      <c r="Z51" s="17" t="n">
        <v>10</v>
      </c>
      <c r="AA51" s="20">
        <f>IF(ISNUMBER(W51),W51,IFERROR(MAX(0,(VALUE(LEFT(F51,4))-VALUE(LEFT(TEXT(J51,"00000000"),4)))*12+(VALUE(MID(F51,5,2))-VALUE(MID(TEXT(J51,"00000000"),5,2)))),""))</f>
        <v/>
      </c>
      <c r="AB51" s="20">
        <f>IFERROR((VALUE(LEFT(TEXT(K51,"00000000"),4))-VALUE(LEFT(F51,4)))*12+(VALUE(MID(TEXT(K51,"00000000"),5,2))-VALUE(MID(F51,5,2))),"")</f>
        <v/>
      </c>
      <c r="AC51" s="20">
        <f>IF(OR(L51="",NOT(ISNUMBER(L51))),0,MAX(0,MIN(60,(VALUE(LEFT(F51,4))-VALUE(LEFT(TEXT(L51,"00000000"),4)))*12+(VALUE(MID(F51,5,2))-VALUE(MID(TEXT(L51,"00000000"),5,2))))))</f>
        <v/>
      </c>
      <c r="AD51" s="20">
        <f>IF(OR(L51="",NOT(ISNUMBER(L51))),0,IF(VALUE(F51)&lt;VALUE(LEFT(TEXT(L51,"00000000"),6)),1,0))</f>
        <v/>
      </c>
      <c r="AE51" s="20">
        <f>IF(OR(M51="",NOT(ISNUMBER(M51))),0,IF(VALUE(F51)&lt;VALUE(LEFT(TEXT(M51,"00000000"),6)),1,0))</f>
        <v/>
      </c>
      <c r="AF51" s="20">
        <f>IF(AND(AD51=0,AE51=0),1,0)</f>
        <v/>
      </c>
      <c r="AG51" s="20">
        <f>IF(ISNUMBER(X51),X51,IFERROR(VALUE(LEFT(TEXT(J51,"00000000"),4)),""))</f>
        <v/>
      </c>
      <c r="AH51" s="20">
        <f>IFERROR(XLOOKUP(AG51,Vintage_Rates!$A$2:$A$1000,Vintage_Rates!$B$2:$B$1000,""),"")</f>
        <v/>
      </c>
      <c r="AI51" s="20">
        <f>IF(ISNUMBER(Y51),Y51,IFERROR((G51-AH51)*100,""))</f>
        <v/>
      </c>
      <c r="AJ51" s="20">
        <f>IF(ISNUMBER(V51),V51,IFERROR(XLOOKUP(VALUE(F51),PLC_Rates!$A$2:$A$1000,PLC_Rates!$B$2:$B$1000,""),""))</f>
        <v/>
      </c>
      <c r="AK51" s="20">
        <f>IF(ISNUMBER(Z51),Z51,IF(AE51=0,0,MAX(0,MIN(10,((VALUE(LEFT(TEXT(M51,"00000000"),4))-VALUE(LEFT(F51,4)))*12+(VALUE(MID(TEXT(M51,"00000000"),5,2))-VALUE(MID(F51,5,2))))/12))))</f>
        <v/>
      </c>
      <c r="AL51" s="20">
        <f>IFERROR(G51*100-AJ51,"")</f>
        <v/>
      </c>
      <c r="AM51" s="20">
        <f>IFERROR(G51*100-(AJ51+(1+AK51)*12.5),"")</f>
        <v/>
      </c>
      <c r="AN51" s="21">
        <f>IFERROR(MIN(H51/1000000,100),"")</f>
        <v/>
      </c>
      <c r="AO51" s="20">
        <f>IFERROR(INDEX(FHA_Lookup!$B$2:$B$11,MATCH(TRUE,ISNUMBER(SEARCH(FHA_Lookup!$A$2:$A$11,UPPER(SUBSTITUTE(O51," ","")))),0)),"OTHER")</f>
        <v/>
      </c>
      <c r="AP51" s="20">
        <f>IFERROR(INDEX(FHA_Lookup!$C$2:$C$11,MATCH(TRUE,ISNUMBER(SEARCH(FHA_Lookup!$A$2:$A$11,UPPER(SUBSTITUTE(O51," ","")))),0)),"OTHER")</f>
        <v/>
      </c>
      <c r="AQ51" s="20">
        <f>IF(AP51="NC",1,0)</f>
        <v/>
      </c>
      <c r="AR51" s="20">
        <f>IF(UPPER(TRIM(P51))="AFF",1,0)</f>
        <v/>
      </c>
      <c r="AS51" s="20">
        <f>IF(UPPER(TRIM(P51))="BAF",1,0)</f>
        <v/>
      </c>
      <c r="AT51" s="20">
        <f>IF(UPPER(TRIM(P51))="MKT",1,0)</f>
        <v/>
      </c>
      <c r="AU51" s="20">
        <f>IF(AO51="221d4",1,0)</f>
        <v/>
      </c>
      <c r="AV51" s="20">
        <f>IF(AO51="223a7",1,0)</f>
        <v/>
      </c>
      <c r="AW51" s="20">
        <f>IF(AO51="232",1,0)</f>
        <v/>
      </c>
      <c r="AX51" s="20">
        <f>IF(AO51="538",1,0)</f>
        <v/>
      </c>
      <c r="AY51" s="20">
        <f>IF(AO51="241",1,0)</f>
        <v/>
      </c>
      <c r="AZ51" s="20">
        <f>IF(AO51="220",1,0)</f>
        <v/>
      </c>
      <c r="BA51" s="20">
        <f>IF(AO51="OTHER",1,0)</f>
        <v/>
      </c>
      <c r="BB51" s="20">
        <f>IF(UPPER(TRIM(C51))="LM",1,0)</f>
        <v/>
      </c>
      <c r="BC51" s="20">
        <f>IF(UPPER(TRIM(C51))="PN",1,0)</f>
        <v/>
      </c>
      <c r="BD51" s="20">
        <f>IF(UPPER(TRIM(C51))="LS",1,0)</f>
        <v/>
      </c>
      <c r="BE51" s="20">
        <f>IF(UPPER(TRIM(C51))="RX",1,0)</f>
        <v/>
      </c>
      <c r="BF51" s="22">
        <f>IFERROR((Parameters!$C$6*AM51+Parameters!$C$7*MAX(AM51-(-150),0)+Parameters!$C$8*MAX(AM51-(-50),0)+Parameters!$C$9*MAX(AM51-(0),0)+Parameters!$C$10*MAX(AM51-(50),0)+Parameters!$C$11*MAX(AM51-(100),0)+Parameters!$C$12*MAX(AM51-(150),0)+Parameters!$C$13*MAX(AM51-(250),0)),0)</f>
        <v/>
      </c>
      <c r="BG51" s="22">
        <f>IFERROR((Parameters!$C$14*AA51+Parameters!$C$15*MAX(AA51-(12),0)+Parameters!$C$16*MAX(AA51-(36),0)+Parameters!$C$17*MAX(AA51-(60),0)+Parameters!$C$18*MAX(AA51-(84),0)+Parameters!$C$19*MAX(AA51-(120),0)+Parameters!$C$20*MAX(AA51-(180),0)),0)</f>
        <v/>
      </c>
      <c r="BH51" s="22">
        <f>IFERROR((Parameters!$C$21*AK51+Parameters!$C$22*MAX(AK51-(0),0)+Parameters!$C$23*MAX(AK51-(2),0)+Parameters!$C$24*MAX(AK51-(5),0)+Parameters!$C$25*MAX(AK51-(8),0)),0)</f>
        <v/>
      </c>
      <c r="BI51" s="22">
        <f>IFERROR((Parameters!$C$26*AI51+Parameters!$C$27*MAX(AI51-(-100),0)+Parameters!$C$28*MAX(AI51-(-25),0)+Parameters!$C$29*MAX(AI51-(25),0)+Parameters!$C$30*MAX(AI51-(100),0)),0)</f>
        <v/>
      </c>
      <c r="BJ51" s="22">
        <f>IFERROR((Parameters!$C$31*AN51+Parameters!$C$32*MAX(AN51-(2),0)+Parameters!$C$33*MAX(AN51-(10),0)+Parameters!$C$34*MAX(AN51-(25),0)),0)</f>
        <v/>
      </c>
      <c r="BK51" s="22">
        <f>IFERROR((Parameters!$C$35*AB51+Parameters!$C$36*MAX(AB51-(12),0)+Parameters!$C$37*MAX(AB51-(24),0)+Parameters!$C$38*MAX(AB51-(60),0)),0)</f>
        <v/>
      </c>
      <c r="BL51" s="22">
        <f>IFERROR((Parameters!$C$39*AC51+Parameters!$C$40*MAX(AC51-(6),0)+Parameters!$C$41*MAX(AC51-(12),0)+Parameters!$C$42*MAX(AC51-(24),0)),0)</f>
        <v/>
      </c>
      <c r="BM51" s="22">
        <f>IFERROR(Parameters!$C$43*(MAX(AM51,0)*MIN(MAX(AK51,0),10))/100,0)</f>
        <v/>
      </c>
      <c r="BN51" s="22">
        <f>Parameters!$C$44*AE51</f>
        <v/>
      </c>
      <c r="BO51" s="22">
        <f>Parameters!$C$45*AU51 + Parameters!$C$46*AV51 + Parameters!$C$47*AW51 + Parameters!$C$48*AX51 + Parameters!$C$49*AY51 + Parameters!$C$50*AZ51 + Parameters!$C$51*BA51</f>
        <v/>
      </c>
      <c r="BP51" s="22">
        <f>Parameters!$C$52*AQ51</f>
        <v/>
      </c>
      <c r="BQ51" s="22">
        <f>Parameters!$C$53*AR51+Parameters!$C$54*AS51+Parameters!$C$55*AT51</f>
        <v/>
      </c>
      <c r="BR51" s="22">
        <f>Parameters!$C$56*BB51+Parameters!$C$57*BC51+Parameters!$C$58*BD51+Parameters!$C$59*BE51</f>
        <v/>
      </c>
      <c r="BS51" s="23">
        <f>Parameters!$B$2</f>
        <v/>
      </c>
      <c r="BT51" s="23">
        <f>BS51+BF51 + BG51 + BH51 + BI51 + BJ51 + BK51 + BL51 + BM51 + BN51 + BO51 + BP51 + BQ51 + BR51</f>
        <v/>
      </c>
      <c r="BU51" s="24">
        <f>IF(AD51=1,0,1/(1+EXP(-BT51))*Parameters!$B$3)</f>
        <v/>
      </c>
      <c r="BV51" s="25">
        <f>(1-(1-BU51)^12)*100</f>
        <v/>
      </c>
      <c r="BW51" s="25">
        <f>IF(AD51=1,0,(1-(1-1/(1+EXP(-Parameters!$B$2)))^12)*100)</f>
        <v/>
      </c>
      <c r="BX51" s="25">
        <f>IF(AD51=1,0,BV51-(1-(1-(1/(1+EXP(-(BT51-BF51)))*Parameters!$B$3))^12)*100)</f>
        <v/>
      </c>
      <c r="BY51" s="25">
        <f>IF(AD51=1,0,BV51-(1-(1-(1/(1+EXP(-(BT51-BG51)))*Parameters!$B$3))^12)*100)</f>
        <v/>
      </c>
      <c r="BZ51" s="25">
        <f>IF(AD51=1,0,BV51-(1-(1-(1/(1+EXP(-(BT51-BH51)))*Parameters!$B$3))^12)*100)</f>
        <v/>
      </c>
      <c r="CA51" s="25">
        <f>IF(AD51=1,0,BV51-(1-(1-(1/(1+EXP(-(BT51-BI51)))*Parameters!$B$3))^12)*100)</f>
        <v/>
      </c>
      <c r="CB51" s="25">
        <f>IF(AD51=1,0,BV51-(1-(1-(1/(1+EXP(-(BT51-BJ51)))*Parameters!$B$3))^12)*100)</f>
        <v/>
      </c>
      <c r="CC51" s="25">
        <f>IF(AD51=1,0,BV51-(1-(1-(1/(1+EXP(-(BT51-BK51)))*Parameters!$B$3))^12)*100)</f>
        <v/>
      </c>
      <c r="CD51" s="25">
        <f>IF(AD51=1,0,BV51-(1-(1-(1/(1+EXP(-(BT51-BL51)))*Parameters!$B$3))^12)*100)</f>
        <v/>
      </c>
      <c r="CE51" s="25">
        <f>IF(AD51=1,0,BV51-(1-(1-(1/(1+EXP(-(BT51-BM51)))*Parameters!$B$3))^12)*100)</f>
        <v/>
      </c>
      <c r="CF51" s="25">
        <f>IF(AD51=1,0,BV51-(1-(1-(1/(1+EXP(-(BT51-BN51)))*Parameters!$B$3))^12)*100)</f>
        <v/>
      </c>
      <c r="CG51" s="25">
        <f>IF(AD51=1,0,BV51-(1-(1-(1/(1+EXP(-(BT51-BO51)))*Parameters!$B$3))^12)*100)</f>
        <v/>
      </c>
      <c r="CH51" s="25">
        <f>IF(AD51=1,0,BV51-(1-(1-(1/(1+EXP(-(BT51-BP51)))*Parameters!$B$3))^12)*100)</f>
        <v/>
      </c>
      <c r="CI51" s="25">
        <f>IF(AD51=1,0,BV51-(1-(1-(1/(1+EXP(-(BT51-BQ51)))*Parameters!$B$3))^12)*100)</f>
        <v/>
      </c>
      <c r="CJ51" s="25">
        <f>IF(AD51=1,0,BV51-(1-(1-(1/(1+EXP(-(BT51-BR51)))*Parameters!$B$3))^12)*100)</f>
        <v/>
      </c>
    </row>
    <row r="52">
      <c r="A52" s="17" t="inlineStr">
        <is>
          <t>GNR_2024_NEW</t>
        </is>
      </c>
      <c r="B52" s="17" t="inlineStr">
        <is>
          <t>3618H6UR3</t>
        </is>
      </c>
      <c r="C52" s="17" t="inlineStr">
        <is>
          <t>PN</t>
        </is>
      </c>
      <c r="D52" s="17" t="inlineStr">
        <is>
          <t>VIUM CAPITAL MORTGAGE, LLC.</t>
        </is>
      </c>
      <c r="E52" s="17" t="inlineStr">
        <is>
          <t>3618H6UR3_000000007322367</t>
        </is>
      </c>
      <c r="F52" s="17" t="n">
        <v>202603</v>
      </c>
      <c r="G52" s="18" t="n">
        <v>5.45</v>
      </c>
      <c r="H52" s="19" t="n">
        <v>11774815.48</v>
      </c>
      <c r="I52" s="17" t="n">
        <v>420</v>
      </c>
      <c r="J52" s="17" t="n">
        <v>20240801</v>
      </c>
      <c r="K52" s="17" t="n">
        <v>20590901</v>
      </c>
      <c r="L52" s="17" t="n"/>
      <c r="M52" s="17" t="n">
        <v>20341001</v>
      </c>
      <c r="N52" s="17" t="n">
        <v>10</v>
      </c>
      <c r="O52" s="17" t="inlineStr">
        <is>
          <t>232/223(F)</t>
        </is>
      </c>
      <c r="P52" s="17" t="inlineStr">
        <is>
          <t>MKT</t>
        </is>
      </c>
      <c r="Q52" s="17" t="n"/>
      <c r="R52" s="17" t="n"/>
      <c r="S52" s="17" t="n"/>
      <c r="T52" s="17" t="inlineStr">
        <is>
          <t>IN</t>
        </is>
      </c>
      <c r="U52" s="17" t="n">
        <v>95</v>
      </c>
      <c r="V52" s="17" t="n">
        <v>490.5</v>
      </c>
      <c r="W52" s="17" t="n">
        <v>19</v>
      </c>
      <c r="X52" s="17" t="n">
        <v>2024</v>
      </c>
      <c r="Y52" s="17" t="n">
        <v>-33</v>
      </c>
      <c r="Z52" s="17" t="n">
        <v>9</v>
      </c>
      <c r="AA52" s="20">
        <f>IF(ISNUMBER(W52),W52,IFERROR(MAX(0,(VALUE(LEFT(F52,4))-VALUE(LEFT(TEXT(J52,"00000000"),4)))*12+(VALUE(MID(F52,5,2))-VALUE(MID(TEXT(J52,"00000000"),5,2)))),""))</f>
        <v/>
      </c>
      <c r="AB52" s="20">
        <f>IFERROR((VALUE(LEFT(TEXT(K52,"00000000"),4))-VALUE(LEFT(F52,4)))*12+(VALUE(MID(TEXT(K52,"00000000"),5,2))-VALUE(MID(F52,5,2))),"")</f>
        <v/>
      </c>
      <c r="AC52" s="20">
        <f>IF(OR(L52="",NOT(ISNUMBER(L52))),0,MAX(0,MIN(60,(VALUE(LEFT(F52,4))-VALUE(LEFT(TEXT(L52,"00000000"),4)))*12+(VALUE(MID(F52,5,2))-VALUE(MID(TEXT(L52,"00000000"),5,2))))))</f>
        <v/>
      </c>
      <c r="AD52" s="20">
        <f>IF(OR(L52="",NOT(ISNUMBER(L52))),0,IF(VALUE(F52)&lt;VALUE(LEFT(TEXT(L52,"00000000"),6)),1,0))</f>
        <v/>
      </c>
      <c r="AE52" s="20">
        <f>IF(OR(M52="",NOT(ISNUMBER(M52))),0,IF(VALUE(F52)&lt;VALUE(LEFT(TEXT(M52,"00000000"),6)),1,0))</f>
        <v/>
      </c>
      <c r="AF52" s="20">
        <f>IF(AND(AD52=0,AE52=0),1,0)</f>
        <v/>
      </c>
      <c r="AG52" s="20">
        <f>IF(ISNUMBER(X52),X52,IFERROR(VALUE(LEFT(TEXT(J52,"00000000"),4)),""))</f>
        <v/>
      </c>
      <c r="AH52" s="20">
        <f>IFERROR(XLOOKUP(AG52,Vintage_Rates!$A$2:$A$1000,Vintage_Rates!$B$2:$B$1000,""),"")</f>
        <v/>
      </c>
      <c r="AI52" s="20">
        <f>IF(ISNUMBER(Y52),Y52,IFERROR((G52-AH52)*100,""))</f>
        <v/>
      </c>
      <c r="AJ52" s="20">
        <f>IF(ISNUMBER(V52),V52,IFERROR(XLOOKUP(VALUE(F52),PLC_Rates!$A$2:$A$1000,PLC_Rates!$B$2:$B$1000,""),""))</f>
        <v/>
      </c>
      <c r="AK52" s="20">
        <f>IF(ISNUMBER(Z52),Z52,IF(AE52=0,0,MAX(0,MIN(10,((VALUE(LEFT(TEXT(M52,"00000000"),4))-VALUE(LEFT(F52,4)))*12+(VALUE(MID(TEXT(M52,"00000000"),5,2))-VALUE(MID(F52,5,2))))/12))))</f>
        <v/>
      </c>
      <c r="AL52" s="20">
        <f>IFERROR(G52*100-AJ52,"")</f>
        <v/>
      </c>
      <c r="AM52" s="20">
        <f>IFERROR(G52*100-(AJ52+(1+AK52)*12.5),"")</f>
        <v/>
      </c>
      <c r="AN52" s="21">
        <f>IFERROR(MIN(H52/1000000,100),"")</f>
        <v/>
      </c>
      <c r="AO52" s="20">
        <f>IFERROR(INDEX(FHA_Lookup!$B$2:$B$11,MATCH(TRUE,ISNUMBER(SEARCH(FHA_Lookup!$A$2:$A$11,UPPER(SUBSTITUTE(O52," ","")))),0)),"OTHER")</f>
        <v/>
      </c>
      <c r="AP52" s="20">
        <f>IFERROR(INDEX(FHA_Lookup!$C$2:$C$11,MATCH(TRUE,ISNUMBER(SEARCH(FHA_Lookup!$A$2:$A$11,UPPER(SUBSTITUTE(O52," ","")))),0)),"OTHER")</f>
        <v/>
      </c>
      <c r="AQ52" s="20">
        <f>IF(AP52="NC",1,0)</f>
        <v/>
      </c>
      <c r="AR52" s="20">
        <f>IF(UPPER(TRIM(P52))="AFF",1,0)</f>
        <v/>
      </c>
      <c r="AS52" s="20">
        <f>IF(UPPER(TRIM(P52))="BAF",1,0)</f>
        <v/>
      </c>
      <c r="AT52" s="20">
        <f>IF(UPPER(TRIM(P52))="MKT",1,0)</f>
        <v/>
      </c>
      <c r="AU52" s="20">
        <f>IF(AO52="221d4",1,0)</f>
        <v/>
      </c>
      <c r="AV52" s="20">
        <f>IF(AO52="223a7",1,0)</f>
        <v/>
      </c>
      <c r="AW52" s="20">
        <f>IF(AO52="232",1,0)</f>
        <v/>
      </c>
      <c r="AX52" s="20">
        <f>IF(AO52="538",1,0)</f>
        <v/>
      </c>
      <c r="AY52" s="20">
        <f>IF(AO52="241",1,0)</f>
        <v/>
      </c>
      <c r="AZ52" s="20">
        <f>IF(AO52="220",1,0)</f>
        <v/>
      </c>
      <c r="BA52" s="20">
        <f>IF(AO52="OTHER",1,0)</f>
        <v/>
      </c>
      <c r="BB52" s="20">
        <f>IF(UPPER(TRIM(C52))="LM",1,0)</f>
        <v/>
      </c>
      <c r="BC52" s="20">
        <f>IF(UPPER(TRIM(C52))="PN",1,0)</f>
        <v/>
      </c>
      <c r="BD52" s="20">
        <f>IF(UPPER(TRIM(C52))="LS",1,0)</f>
        <v/>
      </c>
      <c r="BE52" s="20">
        <f>IF(UPPER(TRIM(C52))="RX",1,0)</f>
        <v/>
      </c>
      <c r="BF52" s="22">
        <f>IFERROR((Parameters!$C$6*AM52+Parameters!$C$7*MAX(AM52-(-150),0)+Parameters!$C$8*MAX(AM52-(-50),0)+Parameters!$C$9*MAX(AM52-(0),0)+Parameters!$C$10*MAX(AM52-(50),0)+Parameters!$C$11*MAX(AM52-(100),0)+Parameters!$C$12*MAX(AM52-(150),0)+Parameters!$C$13*MAX(AM52-(250),0)),0)</f>
        <v/>
      </c>
      <c r="BG52" s="22">
        <f>IFERROR((Parameters!$C$14*AA52+Parameters!$C$15*MAX(AA52-(12),0)+Parameters!$C$16*MAX(AA52-(36),0)+Parameters!$C$17*MAX(AA52-(60),0)+Parameters!$C$18*MAX(AA52-(84),0)+Parameters!$C$19*MAX(AA52-(120),0)+Parameters!$C$20*MAX(AA52-(180),0)),0)</f>
        <v/>
      </c>
      <c r="BH52" s="22">
        <f>IFERROR((Parameters!$C$21*AK52+Parameters!$C$22*MAX(AK52-(0),0)+Parameters!$C$23*MAX(AK52-(2),0)+Parameters!$C$24*MAX(AK52-(5),0)+Parameters!$C$25*MAX(AK52-(8),0)),0)</f>
        <v/>
      </c>
      <c r="BI52" s="22">
        <f>IFERROR((Parameters!$C$26*AI52+Parameters!$C$27*MAX(AI52-(-100),0)+Parameters!$C$28*MAX(AI52-(-25),0)+Parameters!$C$29*MAX(AI52-(25),0)+Parameters!$C$30*MAX(AI52-(100),0)),0)</f>
        <v/>
      </c>
      <c r="BJ52" s="22">
        <f>IFERROR((Parameters!$C$31*AN52+Parameters!$C$32*MAX(AN52-(2),0)+Parameters!$C$33*MAX(AN52-(10),0)+Parameters!$C$34*MAX(AN52-(25),0)),0)</f>
        <v/>
      </c>
      <c r="BK52" s="22">
        <f>IFERROR((Parameters!$C$35*AB52+Parameters!$C$36*MAX(AB52-(12),0)+Parameters!$C$37*MAX(AB52-(24),0)+Parameters!$C$38*MAX(AB52-(60),0)),0)</f>
        <v/>
      </c>
      <c r="BL52" s="22">
        <f>IFERROR((Parameters!$C$39*AC52+Parameters!$C$40*MAX(AC52-(6),0)+Parameters!$C$41*MAX(AC52-(12),0)+Parameters!$C$42*MAX(AC52-(24),0)),0)</f>
        <v/>
      </c>
      <c r="BM52" s="22">
        <f>IFERROR(Parameters!$C$43*(MAX(AM52,0)*MIN(MAX(AK52,0),10))/100,0)</f>
        <v/>
      </c>
      <c r="BN52" s="22">
        <f>Parameters!$C$44*AE52</f>
        <v/>
      </c>
      <c r="BO52" s="22">
        <f>Parameters!$C$45*AU52 + Parameters!$C$46*AV52 + Parameters!$C$47*AW52 + Parameters!$C$48*AX52 + Parameters!$C$49*AY52 + Parameters!$C$50*AZ52 + Parameters!$C$51*BA52</f>
        <v/>
      </c>
      <c r="BP52" s="22">
        <f>Parameters!$C$52*AQ52</f>
        <v/>
      </c>
      <c r="BQ52" s="22">
        <f>Parameters!$C$53*AR52+Parameters!$C$54*AS52+Parameters!$C$55*AT52</f>
        <v/>
      </c>
      <c r="BR52" s="22">
        <f>Parameters!$C$56*BB52+Parameters!$C$57*BC52+Parameters!$C$58*BD52+Parameters!$C$59*BE52</f>
        <v/>
      </c>
      <c r="BS52" s="23">
        <f>Parameters!$B$2</f>
        <v/>
      </c>
      <c r="BT52" s="23">
        <f>BS52+BF52 + BG52 + BH52 + BI52 + BJ52 + BK52 + BL52 + BM52 + BN52 + BO52 + BP52 + BQ52 + BR52</f>
        <v/>
      </c>
      <c r="BU52" s="24">
        <f>IF(AD52=1,0,1/(1+EXP(-BT52))*Parameters!$B$3)</f>
        <v/>
      </c>
      <c r="BV52" s="25">
        <f>(1-(1-BU52)^12)*100</f>
        <v/>
      </c>
      <c r="BW52" s="25">
        <f>IF(AD52=1,0,(1-(1-1/(1+EXP(-Parameters!$B$2)))^12)*100)</f>
        <v/>
      </c>
      <c r="BX52" s="25">
        <f>IF(AD52=1,0,BV52-(1-(1-(1/(1+EXP(-(BT52-BF52)))*Parameters!$B$3))^12)*100)</f>
        <v/>
      </c>
      <c r="BY52" s="25">
        <f>IF(AD52=1,0,BV52-(1-(1-(1/(1+EXP(-(BT52-BG52)))*Parameters!$B$3))^12)*100)</f>
        <v/>
      </c>
      <c r="BZ52" s="25">
        <f>IF(AD52=1,0,BV52-(1-(1-(1/(1+EXP(-(BT52-BH52)))*Parameters!$B$3))^12)*100)</f>
        <v/>
      </c>
      <c r="CA52" s="25">
        <f>IF(AD52=1,0,BV52-(1-(1-(1/(1+EXP(-(BT52-BI52)))*Parameters!$B$3))^12)*100)</f>
        <v/>
      </c>
      <c r="CB52" s="25">
        <f>IF(AD52=1,0,BV52-(1-(1-(1/(1+EXP(-(BT52-BJ52)))*Parameters!$B$3))^12)*100)</f>
        <v/>
      </c>
      <c r="CC52" s="25">
        <f>IF(AD52=1,0,BV52-(1-(1-(1/(1+EXP(-(BT52-BK52)))*Parameters!$B$3))^12)*100)</f>
        <v/>
      </c>
      <c r="CD52" s="25">
        <f>IF(AD52=1,0,BV52-(1-(1-(1/(1+EXP(-(BT52-BL52)))*Parameters!$B$3))^12)*100)</f>
        <v/>
      </c>
      <c r="CE52" s="25">
        <f>IF(AD52=1,0,BV52-(1-(1-(1/(1+EXP(-(BT52-BM52)))*Parameters!$B$3))^12)*100)</f>
        <v/>
      </c>
      <c r="CF52" s="25">
        <f>IF(AD52=1,0,BV52-(1-(1-(1/(1+EXP(-(BT52-BN52)))*Parameters!$B$3))^12)*100)</f>
        <v/>
      </c>
      <c r="CG52" s="25">
        <f>IF(AD52=1,0,BV52-(1-(1-(1/(1+EXP(-(BT52-BO52)))*Parameters!$B$3))^12)*100)</f>
        <v/>
      </c>
      <c r="CH52" s="25">
        <f>IF(AD52=1,0,BV52-(1-(1-(1/(1+EXP(-(BT52-BP52)))*Parameters!$B$3))^12)*100)</f>
        <v/>
      </c>
      <c r="CI52" s="25">
        <f>IF(AD52=1,0,BV52-(1-(1-(1/(1+EXP(-(BT52-BQ52)))*Parameters!$B$3))^12)*100)</f>
        <v/>
      </c>
      <c r="CJ52" s="25">
        <f>IF(AD52=1,0,BV52-(1-(1-(1/(1+EXP(-(BT52-BR52)))*Parameters!$B$3))^12)*100)</f>
        <v/>
      </c>
    </row>
    <row r="53">
      <c r="A53" s="17" t="inlineStr">
        <is>
          <t>GNR_2014_SEASONED</t>
        </is>
      </c>
      <c r="B53" s="17" t="inlineStr">
        <is>
          <t>36192SA34</t>
        </is>
      </c>
      <c r="C53" s="17" t="inlineStr">
        <is>
          <t>PN</t>
        </is>
      </c>
      <c r="D53" s="17" t="inlineStr">
        <is>
          <t>WALKER &amp; DUNLOP, LLC</t>
        </is>
      </c>
      <c r="E53" s="17" t="inlineStr">
        <is>
          <t>36192SA34_000000008235471</t>
        </is>
      </c>
      <c r="F53" s="17" t="n">
        <v>202603</v>
      </c>
      <c r="G53" s="18" t="n">
        <v>3.8</v>
      </c>
      <c r="H53" s="19" t="n">
        <v>2404834.66</v>
      </c>
      <c r="I53" s="17" t="n">
        <v>496</v>
      </c>
      <c r="J53" s="17" t="n">
        <v>20160125</v>
      </c>
      <c r="K53" s="17" t="n">
        <v>20570701</v>
      </c>
      <c r="L53" s="17" t="n"/>
      <c r="M53" s="17" t="n">
        <v>20270801</v>
      </c>
      <c r="N53" s="17" t="n">
        <v>10</v>
      </c>
      <c r="O53" s="17" t="inlineStr">
        <is>
          <t>221(D)(4)</t>
        </is>
      </c>
      <c r="P53" s="17" t="inlineStr">
        <is>
          <t>MKT</t>
        </is>
      </c>
      <c r="Q53" s="17" t="n"/>
      <c r="R53" s="17" t="n"/>
      <c r="S53" s="17" t="n"/>
      <c r="T53" s="17" t="inlineStr">
        <is>
          <t>AR</t>
        </is>
      </c>
      <c r="U53" s="17" t="n">
        <v>49</v>
      </c>
      <c r="V53" s="17" t="n">
        <v>490.5</v>
      </c>
      <c r="W53" s="17" t="n">
        <v>122</v>
      </c>
      <c r="X53" s="17" t="n">
        <v>2016</v>
      </c>
      <c r="Y53" s="17" t="n">
        <v>35</v>
      </c>
      <c r="Z53" s="17" t="n">
        <v>2</v>
      </c>
      <c r="AA53" s="20">
        <f>IF(ISNUMBER(W53),W53,IFERROR(MAX(0,(VALUE(LEFT(F53,4))-VALUE(LEFT(TEXT(J53,"00000000"),4)))*12+(VALUE(MID(F53,5,2))-VALUE(MID(TEXT(J53,"00000000"),5,2)))),""))</f>
        <v/>
      </c>
      <c r="AB53" s="20">
        <f>IFERROR((VALUE(LEFT(TEXT(K53,"00000000"),4))-VALUE(LEFT(F53,4)))*12+(VALUE(MID(TEXT(K53,"00000000"),5,2))-VALUE(MID(F53,5,2))),"")</f>
        <v/>
      </c>
      <c r="AC53" s="20">
        <f>IF(OR(L53="",NOT(ISNUMBER(L53))),0,MAX(0,MIN(60,(VALUE(LEFT(F53,4))-VALUE(LEFT(TEXT(L53,"00000000"),4)))*12+(VALUE(MID(F53,5,2))-VALUE(MID(TEXT(L53,"00000000"),5,2))))))</f>
        <v/>
      </c>
      <c r="AD53" s="20">
        <f>IF(OR(L53="",NOT(ISNUMBER(L53))),0,IF(VALUE(F53)&lt;VALUE(LEFT(TEXT(L53,"00000000"),6)),1,0))</f>
        <v/>
      </c>
      <c r="AE53" s="20">
        <f>IF(OR(M53="",NOT(ISNUMBER(M53))),0,IF(VALUE(F53)&lt;VALUE(LEFT(TEXT(M53,"00000000"),6)),1,0))</f>
        <v/>
      </c>
      <c r="AF53" s="20">
        <f>IF(AND(AD53=0,AE53=0),1,0)</f>
        <v/>
      </c>
      <c r="AG53" s="20">
        <f>IF(ISNUMBER(X53),X53,IFERROR(VALUE(LEFT(TEXT(J53,"00000000"),4)),""))</f>
        <v/>
      </c>
      <c r="AH53" s="20">
        <f>IFERROR(XLOOKUP(AG53,Vintage_Rates!$A$2:$A$1000,Vintage_Rates!$B$2:$B$1000,""),"")</f>
        <v/>
      </c>
      <c r="AI53" s="20">
        <f>IF(ISNUMBER(Y53),Y53,IFERROR((G53-AH53)*100,""))</f>
        <v/>
      </c>
      <c r="AJ53" s="20">
        <f>IF(ISNUMBER(V53),V53,IFERROR(XLOOKUP(VALUE(F53),PLC_Rates!$A$2:$A$1000,PLC_Rates!$B$2:$B$1000,""),""))</f>
        <v/>
      </c>
      <c r="AK53" s="20">
        <f>IF(ISNUMBER(Z53),Z53,IF(AE53=0,0,MAX(0,MIN(10,((VALUE(LEFT(TEXT(M53,"00000000"),4))-VALUE(LEFT(F53,4)))*12+(VALUE(MID(TEXT(M53,"00000000"),5,2))-VALUE(MID(F53,5,2))))/12))))</f>
        <v/>
      </c>
      <c r="AL53" s="20">
        <f>IFERROR(G53*100-AJ53,"")</f>
        <v/>
      </c>
      <c r="AM53" s="20">
        <f>IFERROR(G53*100-(AJ53+(1+AK53)*12.5),"")</f>
        <v/>
      </c>
      <c r="AN53" s="21">
        <f>IFERROR(MIN(H53/1000000,100),"")</f>
        <v/>
      </c>
      <c r="AO53" s="20">
        <f>IFERROR(INDEX(FHA_Lookup!$B$2:$B$11,MATCH(TRUE,ISNUMBER(SEARCH(FHA_Lookup!$A$2:$A$11,UPPER(SUBSTITUTE(O53," ","")))),0)),"OTHER")</f>
        <v/>
      </c>
      <c r="AP53" s="20">
        <f>IFERROR(INDEX(FHA_Lookup!$C$2:$C$11,MATCH(TRUE,ISNUMBER(SEARCH(FHA_Lookup!$A$2:$A$11,UPPER(SUBSTITUTE(O53," ","")))),0)),"OTHER")</f>
        <v/>
      </c>
      <c r="AQ53" s="20">
        <f>IF(AP53="NC",1,0)</f>
        <v/>
      </c>
      <c r="AR53" s="20">
        <f>IF(UPPER(TRIM(P53))="AFF",1,0)</f>
        <v/>
      </c>
      <c r="AS53" s="20">
        <f>IF(UPPER(TRIM(P53))="BAF",1,0)</f>
        <v/>
      </c>
      <c r="AT53" s="20">
        <f>IF(UPPER(TRIM(P53))="MKT",1,0)</f>
        <v/>
      </c>
      <c r="AU53" s="20">
        <f>IF(AO53="221d4",1,0)</f>
        <v/>
      </c>
      <c r="AV53" s="20">
        <f>IF(AO53="223a7",1,0)</f>
        <v/>
      </c>
      <c r="AW53" s="20">
        <f>IF(AO53="232",1,0)</f>
        <v/>
      </c>
      <c r="AX53" s="20">
        <f>IF(AO53="538",1,0)</f>
        <v/>
      </c>
      <c r="AY53" s="20">
        <f>IF(AO53="241",1,0)</f>
        <v/>
      </c>
      <c r="AZ53" s="20">
        <f>IF(AO53="220",1,0)</f>
        <v/>
      </c>
      <c r="BA53" s="20">
        <f>IF(AO53="OTHER",1,0)</f>
        <v/>
      </c>
      <c r="BB53" s="20">
        <f>IF(UPPER(TRIM(C53))="LM",1,0)</f>
        <v/>
      </c>
      <c r="BC53" s="20">
        <f>IF(UPPER(TRIM(C53))="PN",1,0)</f>
        <v/>
      </c>
      <c r="BD53" s="20">
        <f>IF(UPPER(TRIM(C53))="LS",1,0)</f>
        <v/>
      </c>
      <c r="BE53" s="20">
        <f>IF(UPPER(TRIM(C53))="RX",1,0)</f>
        <v/>
      </c>
      <c r="BF53" s="22">
        <f>IFERROR((Parameters!$C$6*AM53+Parameters!$C$7*MAX(AM53-(-150),0)+Parameters!$C$8*MAX(AM53-(-50),0)+Parameters!$C$9*MAX(AM53-(0),0)+Parameters!$C$10*MAX(AM53-(50),0)+Parameters!$C$11*MAX(AM53-(100),0)+Parameters!$C$12*MAX(AM53-(150),0)+Parameters!$C$13*MAX(AM53-(250),0)),0)</f>
        <v/>
      </c>
      <c r="BG53" s="22">
        <f>IFERROR((Parameters!$C$14*AA53+Parameters!$C$15*MAX(AA53-(12),0)+Parameters!$C$16*MAX(AA53-(36),0)+Parameters!$C$17*MAX(AA53-(60),0)+Parameters!$C$18*MAX(AA53-(84),0)+Parameters!$C$19*MAX(AA53-(120),0)+Parameters!$C$20*MAX(AA53-(180),0)),0)</f>
        <v/>
      </c>
      <c r="BH53" s="22">
        <f>IFERROR((Parameters!$C$21*AK53+Parameters!$C$22*MAX(AK53-(0),0)+Parameters!$C$23*MAX(AK53-(2),0)+Parameters!$C$24*MAX(AK53-(5),0)+Parameters!$C$25*MAX(AK53-(8),0)),0)</f>
        <v/>
      </c>
      <c r="BI53" s="22">
        <f>IFERROR((Parameters!$C$26*AI53+Parameters!$C$27*MAX(AI53-(-100),0)+Parameters!$C$28*MAX(AI53-(-25),0)+Parameters!$C$29*MAX(AI53-(25),0)+Parameters!$C$30*MAX(AI53-(100),0)),0)</f>
        <v/>
      </c>
      <c r="BJ53" s="22">
        <f>IFERROR((Parameters!$C$31*AN53+Parameters!$C$32*MAX(AN53-(2),0)+Parameters!$C$33*MAX(AN53-(10),0)+Parameters!$C$34*MAX(AN53-(25),0)),0)</f>
        <v/>
      </c>
      <c r="BK53" s="22">
        <f>IFERROR((Parameters!$C$35*AB53+Parameters!$C$36*MAX(AB53-(12),0)+Parameters!$C$37*MAX(AB53-(24),0)+Parameters!$C$38*MAX(AB53-(60),0)),0)</f>
        <v/>
      </c>
      <c r="BL53" s="22">
        <f>IFERROR((Parameters!$C$39*AC53+Parameters!$C$40*MAX(AC53-(6),0)+Parameters!$C$41*MAX(AC53-(12),0)+Parameters!$C$42*MAX(AC53-(24),0)),0)</f>
        <v/>
      </c>
      <c r="BM53" s="22">
        <f>IFERROR(Parameters!$C$43*(MAX(AM53,0)*MIN(MAX(AK53,0),10))/100,0)</f>
        <v/>
      </c>
      <c r="BN53" s="22">
        <f>Parameters!$C$44*AE53</f>
        <v/>
      </c>
      <c r="BO53" s="22">
        <f>Parameters!$C$45*AU53 + Parameters!$C$46*AV53 + Parameters!$C$47*AW53 + Parameters!$C$48*AX53 + Parameters!$C$49*AY53 + Parameters!$C$50*AZ53 + Parameters!$C$51*BA53</f>
        <v/>
      </c>
      <c r="BP53" s="22">
        <f>Parameters!$C$52*AQ53</f>
        <v/>
      </c>
      <c r="BQ53" s="22">
        <f>Parameters!$C$53*AR53+Parameters!$C$54*AS53+Parameters!$C$55*AT53</f>
        <v/>
      </c>
      <c r="BR53" s="22">
        <f>Parameters!$C$56*BB53+Parameters!$C$57*BC53+Parameters!$C$58*BD53+Parameters!$C$59*BE53</f>
        <v/>
      </c>
      <c r="BS53" s="23">
        <f>Parameters!$B$2</f>
        <v/>
      </c>
      <c r="BT53" s="23">
        <f>BS53+BF53 + BG53 + BH53 + BI53 + BJ53 + BK53 + BL53 + BM53 + BN53 + BO53 + BP53 + BQ53 + BR53</f>
        <v/>
      </c>
      <c r="BU53" s="24">
        <f>IF(AD53=1,0,1/(1+EXP(-BT53))*Parameters!$B$3)</f>
        <v/>
      </c>
      <c r="BV53" s="25">
        <f>(1-(1-BU53)^12)*100</f>
        <v/>
      </c>
      <c r="BW53" s="25">
        <f>IF(AD53=1,0,(1-(1-1/(1+EXP(-Parameters!$B$2)))^12)*100)</f>
        <v/>
      </c>
      <c r="BX53" s="25">
        <f>IF(AD53=1,0,BV53-(1-(1-(1/(1+EXP(-(BT53-BF53)))*Parameters!$B$3))^12)*100)</f>
        <v/>
      </c>
      <c r="BY53" s="25">
        <f>IF(AD53=1,0,BV53-(1-(1-(1/(1+EXP(-(BT53-BG53)))*Parameters!$B$3))^12)*100)</f>
        <v/>
      </c>
      <c r="BZ53" s="25">
        <f>IF(AD53=1,0,BV53-(1-(1-(1/(1+EXP(-(BT53-BH53)))*Parameters!$B$3))^12)*100)</f>
        <v/>
      </c>
      <c r="CA53" s="25">
        <f>IF(AD53=1,0,BV53-(1-(1-(1/(1+EXP(-(BT53-BI53)))*Parameters!$B$3))^12)*100)</f>
        <v/>
      </c>
      <c r="CB53" s="25">
        <f>IF(AD53=1,0,BV53-(1-(1-(1/(1+EXP(-(BT53-BJ53)))*Parameters!$B$3))^12)*100)</f>
        <v/>
      </c>
      <c r="CC53" s="25">
        <f>IF(AD53=1,0,BV53-(1-(1-(1/(1+EXP(-(BT53-BK53)))*Parameters!$B$3))^12)*100)</f>
        <v/>
      </c>
      <c r="CD53" s="25">
        <f>IF(AD53=1,0,BV53-(1-(1-(1/(1+EXP(-(BT53-BL53)))*Parameters!$B$3))^12)*100)</f>
        <v/>
      </c>
      <c r="CE53" s="25">
        <f>IF(AD53=1,0,BV53-(1-(1-(1/(1+EXP(-(BT53-BM53)))*Parameters!$B$3))^12)*100)</f>
        <v/>
      </c>
      <c r="CF53" s="25">
        <f>IF(AD53=1,0,BV53-(1-(1-(1/(1+EXP(-(BT53-BN53)))*Parameters!$B$3))^12)*100)</f>
        <v/>
      </c>
      <c r="CG53" s="25">
        <f>IF(AD53=1,0,BV53-(1-(1-(1/(1+EXP(-(BT53-BO53)))*Parameters!$B$3))^12)*100)</f>
        <v/>
      </c>
      <c r="CH53" s="25">
        <f>IF(AD53=1,0,BV53-(1-(1-(1/(1+EXP(-(BT53-BP53)))*Parameters!$B$3))^12)*100)</f>
        <v/>
      </c>
      <c r="CI53" s="25">
        <f>IF(AD53=1,0,BV53-(1-(1-(1/(1+EXP(-(BT53-BQ53)))*Parameters!$B$3))^12)*100)</f>
        <v/>
      </c>
      <c r="CJ53" s="25">
        <f>IF(AD53=1,0,BV53-(1-(1-(1/(1+EXP(-(BT53-BR53)))*Parameters!$B$3))^12)*100)</f>
        <v/>
      </c>
    </row>
    <row r="54">
      <c r="A54" s="17" t="inlineStr">
        <is>
          <t>GNR_2014_SEASONED</t>
        </is>
      </c>
      <c r="B54" s="17" t="inlineStr">
        <is>
          <t>36183CJM9</t>
        </is>
      </c>
      <c r="C54" s="17" t="inlineStr">
        <is>
          <t>PN</t>
        </is>
      </c>
      <c r="D54" s="17" t="inlineStr">
        <is>
          <t>MERCHANTS CAPITAL CORP.</t>
        </is>
      </c>
      <c r="E54" s="17" t="inlineStr">
        <is>
          <t>36183CJM9_000000007311806</t>
        </is>
      </c>
      <c r="F54" s="17" t="n">
        <v>202603</v>
      </c>
      <c r="G54" s="18" t="n">
        <v>3.35</v>
      </c>
      <c r="H54" s="19" t="n">
        <v>718423.12</v>
      </c>
      <c r="I54" s="17" t="n">
        <v>420</v>
      </c>
      <c r="J54" s="17" t="n">
        <v>20150101</v>
      </c>
      <c r="K54" s="17" t="n">
        <v>20500201</v>
      </c>
      <c r="L54" s="17" t="n"/>
      <c r="M54" s="17" t="n">
        <v>20250301</v>
      </c>
      <c r="N54" s="17" t="n">
        <v>10</v>
      </c>
      <c r="O54" s="17" t="inlineStr">
        <is>
          <t>207/223(f)</t>
        </is>
      </c>
      <c r="P54" s="17" t="inlineStr">
        <is>
          <t>MKT</t>
        </is>
      </c>
      <c r="Q54" s="17" t="n"/>
      <c r="R54" s="17" t="n"/>
      <c r="S54" s="17" t="n"/>
      <c r="T54" s="17" t="inlineStr">
        <is>
          <t>IN</t>
        </is>
      </c>
      <c r="U54" s="17" t="n">
        <v>48</v>
      </c>
      <c r="V54" s="17" t="n">
        <v>490.5</v>
      </c>
      <c r="W54" s="17" t="n">
        <v>134</v>
      </c>
      <c r="X54" s="17" t="n">
        <v>2015</v>
      </c>
      <c r="Y54" s="17" t="n">
        <v>-20</v>
      </c>
      <c r="Z54" s="17" t="n">
        <v>0</v>
      </c>
      <c r="AA54" s="20">
        <f>IF(ISNUMBER(W54),W54,IFERROR(MAX(0,(VALUE(LEFT(F54,4))-VALUE(LEFT(TEXT(J54,"00000000"),4)))*12+(VALUE(MID(F54,5,2))-VALUE(MID(TEXT(J54,"00000000"),5,2)))),""))</f>
        <v/>
      </c>
      <c r="AB54" s="20">
        <f>IFERROR((VALUE(LEFT(TEXT(K54,"00000000"),4))-VALUE(LEFT(F54,4)))*12+(VALUE(MID(TEXT(K54,"00000000"),5,2))-VALUE(MID(F54,5,2))),"")</f>
        <v/>
      </c>
      <c r="AC54" s="20">
        <f>IF(OR(L54="",NOT(ISNUMBER(L54))),0,MAX(0,MIN(60,(VALUE(LEFT(F54,4))-VALUE(LEFT(TEXT(L54,"00000000"),4)))*12+(VALUE(MID(F54,5,2))-VALUE(MID(TEXT(L54,"00000000"),5,2))))))</f>
        <v/>
      </c>
      <c r="AD54" s="20">
        <f>IF(OR(L54="",NOT(ISNUMBER(L54))),0,IF(VALUE(F54)&lt;VALUE(LEFT(TEXT(L54,"00000000"),6)),1,0))</f>
        <v/>
      </c>
      <c r="AE54" s="20">
        <f>IF(OR(M54="",NOT(ISNUMBER(M54))),0,IF(VALUE(F54)&lt;VALUE(LEFT(TEXT(M54,"00000000"),6)),1,0))</f>
        <v/>
      </c>
      <c r="AF54" s="20">
        <f>IF(AND(AD54=0,AE54=0),1,0)</f>
        <v/>
      </c>
      <c r="AG54" s="20">
        <f>IF(ISNUMBER(X54),X54,IFERROR(VALUE(LEFT(TEXT(J54,"00000000"),4)),""))</f>
        <v/>
      </c>
      <c r="AH54" s="20">
        <f>IFERROR(XLOOKUP(AG54,Vintage_Rates!$A$2:$A$1000,Vintage_Rates!$B$2:$B$1000,""),"")</f>
        <v/>
      </c>
      <c r="AI54" s="20">
        <f>IF(ISNUMBER(Y54),Y54,IFERROR((G54-AH54)*100,""))</f>
        <v/>
      </c>
      <c r="AJ54" s="20">
        <f>IF(ISNUMBER(V54),V54,IFERROR(XLOOKUP(VALUE(F54),PLC_Rates!$A$2:$A$1000,PLC_Rates!$B$2:$B$1000,""),""))</f>
        <v/>
      </c>
      <c r="AK54" s="20">
        <f>IF(ISNUMBER(Z54),Z54,IF(AE54=0,0,MAX(0,MIN(10,((VALUE(LEFT(TEXT(M54,"00000000"),4))-VALUE(LEFT(F54,4)))*12+(VALUE(MID(TEXT(M54,"00000000"),5,2))-VALUE(MID(F54,5,2))))/12))))</f>
        <v/>
      </c>
      <c r="AL54" s="20">
        <f>IFERROR(G54*100-AJ54,"")</f>
        <v/>
      </c>
      <c r="AM54" s="20">
        <f>IFERROR(G54*100-(AJ54+(1+AK54)*12.5),"")</f>
        <v/>
      </c>
      <c r="AN54" s="21">
        <f>IFERROR(MIN(H54/1000000,100),"")</f>
        <v/>
      </c>
      <c r="AO54" s="20">
        <f>IFERROR(INDEX(FHA_Lookup!$B$2:$B$11,MATCH(TRUE,ISNUMBER(SEARCH(FHA_Lookup!$A$2:$A$11,UPPER(SUBSTITUTE(O54," ","")))),0)),"OTHER")</f>
        <v/>
      </c>
      <c r="AP54" s="20">
        <f>IFERROR(INDEX(FHA_Lookup!$C$2:$C$11,MATCH(TRUE,ISNUMBER(SEARCH(FHA_Lookup!$A$2:$A$11,UPPER(SUBSTITUTE(O54," ","")))),0)),"OTHER")</f>
        <v/>
      </c>
      <c r="AQ54" s="20">
        <f>IF(AP54="NC",1,0)</f>
        <v/>
      </c>
      <c r="AR54" s="20">
        <f>IF(UPPER(TRIM(P54))="AFF",1,0)</f>
        <v/>
      </c>
      <c r="AS54" s="20">
        <f>IF(UPPER(TRIM(P54))="BAF",1,0)</f>
        <v/>
      </c>
      <c r="AT54" s="20">
        <f>IF(UPPER(TRIM(P54))="MKT",1,0)</f>
        <v/>
      </c>
      <c r="AU54" s="20">
        <f>IF(AO54="221d4",1,0)</f>
        <v/>
      </c>
      <c r="AV54" s="20">
        <f>IF(AO54="223a7",1,0)</f>
        <v/>
      </c>
      <c r="AW54" s="20">
        <f>IF(AO54="232",1,0)</f>
        <v/>
      </c>
      <c r="AX54" s="20">
        <f>IF(AO54="538",1,0)</f>
        <v/>
      </c>
      <c r="AY54" s="20">
        <f>IF(AO54="241",1,0)</f>
        <v/>
      </c>
      <c r="AZ54" s="20">
        <f>IF(AO54="220",1,0)</f>
        <v/>
      </c>
      <c r="BA54" s="20">
        <f>IF(AO54="OTHER",1,0)</f>
        <v/>
      </c>
      <c r="BB54" s="20">
        <f>IF(UPPER(TRIM(C54))="LM",1,0)</f>
        <v/>
      </c>
      <c r="BC54" s="20">
        <f>IF(UPPER(TRIM(C54))="PN",1,0)</f>
        <v/>
      </c>
      <c r="BD54" s="20">
        <f>IF(UPPER(TRIM(C54))="LS",1,0)</f>
        <v/>
      </c>
      <c r="BE54" s="20">
        <f>IF(UPPER(TRIM(C54))="RX",1,0)</f>
        <v/>
      </c>
      <c r="BF54" s="22">
        <f>IFERROR((Parameters!$C$6*AM54+Parameters!$C$7*MAX(AM54-(-150),0)+Parameters!$C$8*MAX(AM54-(-50),0)+Parameters!$C$9*MAX(AM54-(0),0)+Parameters!$C$10*MAX(AM54-(50),0)+Parameters!$C$11*MAX(AM54-(100),0)+Parameters!$C$12*MAX(AM54-(150),0)+Parameters!$C$13*MAX(AM54-(250),0)),0)</f>
        <v/>
      </c>
      <c r="BG54" s="22">
        <f>IFERROR((Parameters!$C$14*AA54+Parameters!$C$15*MAX(AA54-(12),0)+Parameters!$C$16*MAX(AA54-(36),0)+Parameters!$C$17*MAX(AA54-(60),0)+Parameters!$C$18*MAX(AA54-(84),0)+Parameters!$C$19*MAX(AA54-(120),0)+Parameters!$C$20*MAX(AA54-(180),0)),0)</f>
        <v/>
      </c>
      <c r="BH54" s="22">
        <f>IFERROR((Parameters!$C$21*AK54+Parameters!$C$22*MAX(AK54-(0),0)+Parameters!$C$23*MAX(AK54-(2),0)+Parameters!$C$24*MAX(AK54-(5),0)+Parameters!$C$25*MAX(AK54-(8),0)),0)</f>
        <v/>
      </c>
      <c r="BI54" s="22">
        <f>IFERROR((Parameters!$C$26*AI54+Parameters!$C$27*MAX(AI54-(-100),0)+Parameters!$C$28*MAX(AI54-(-25),0)+Parameters!$C$29*MAX(AI54-(25),0)+Parameters!$C$30*MAX(AI54-(100),0)),0)</f>
        <v/>
      </c>
      <c r="BJ54" s="22">
        <f>IFERROR((Parameters!$C$31*AN54+Parameters!$C$32*MAX(AN54-(2),0)+Parameters!$C$33*MAX(AN54-(10),0)+Parameters!$C$34*MAX(AN54-(25),0)),0)</f>
        <v/>
      </c>
      <c r="BK54" s="22">
        <f>IFERROR((Parameters!$C$35*AB54+Parameters!$C$36*MAX(AB54-(12),0)+Parameters!$C$37*MAX(AB54-(24),0)+Parameters!$C$38*MAX(AB54-(60),0)),0)</f>
        <v/>
      </c>
      <c r="BL54" s="22">
        <f>IFERROR((Parameters!$C$39*AC54+Parameters!$C$40*MAX(AC54-(6),0)+Parameters!$C$41*MAX(AC54-(12),0)+Parameters!$C$42*MAX(AC54-(24),0)),0)</f>
        <v/>
      </c>
      <c r="BM54" s="22">
        <f>IFERROR(Parameters!$C$43*(MAX(AM54,0)*MIN(MAX(AK54,0),10))/100,0)</f>
        <v/>
      </c>
      <c r="BN54" s="22">
        <f>Parameters!$C$44*AE54</f>
        <v/>
      </c>
      <c r="BO54" s="22">
        <f>Parameters!$C$45*AU54 + Parameters!$C$46*AV54 + Parameters!$C$47*AW54 + Parameters!$C$48*AX54 + Parameters!$C$49*AY54 + Parameters!$C$50*AZ54 + Parameters!$C$51*BA54</f>
        <v/>
      </c>
      <c r="BP54" s="22">
        <f>Parameters!$C$52*AQ54</f>
        <v/>
      </c>
      <c r="BQ54" s="22">
        <f>Parameters!$C$53*AR54+Parameters!$C$54*AS54+Parameters!$C$55*AT54</f>
        <v/>
      </c>
      <c r="BR54" s="22">
        <f>Parameters!$C$56*BB54+Parameters!$C$57*BC54+Parameters!$C$58*BD54+Parameters!$C$59*BE54</f>
        <v/>
      </c>
      <c r="BS54" s="23">
        <f>Parameters!$B$2</f>
        <v/>
      </c>
      <c r="BT54" s="23">
        <f>BS54+BF54 + BG54 + BH54 + BI54 + BJ54 + BK54 + BL54 + BM54 + BN54 + BO54 + BP54 + BQ54 + BR54</f>
        <v/>
      </c>
      <c r="BU54" s="24">
        <f>IF(AD54=1,0,1/(1+EXP(-BT54))*Parameters!$B$3)</f>
        <v/>
      </c>
      <c r="BV54" s="25">
        <f>(1-(1-BU54)^12)*100</f>
        <v/>
      </c>
      <c r="BW54" s="25">
        <f>IF(AD54=1,0,(1-(1-1/(1+EXP(-Parameters!$B$2)))^12)*100)</f>
        <v/>
      </c>
      <c r="BX54" s="25">
        <f>IF(AD54=1,0,BV54-(1-(1-(1/(1+EXP(-(BT54-BF54)))*Parameters!$B$3))^12)*100)</f>
        <v/>
      </c>
      <c r="BY54" s="25">
        <f>IF(AD54=1,0,BV54-(1-(1-(1/(1+EXP(-(BT54-BG54)))*Parameters!$B$3))^12)*100)</f>
        <v/>
      </c>
      <c r="BZ54" s="25">
        <f>IF(AD54=1,0,BV54-(1-(1-(1/(1+EXP(-(BT54-BH54)))*Parameters!$B$3))^12)*100)</f>
        <v/>
      </c>
      <c r="CA54" s="25">
        <f>IF(AD54=1,0,BV54-(1-(1-(1/(1+EXP(-(BT54-BI54)))*Parameters!$B$3))^12)*100)</f>
        <v/>
      </c>
      <c r="CB54" s="25">
        <f>IF(AD54=1,0,BV54-(1-(1-(1/(1+EXP(-(BT54-BJ54)))*Parameters!$B$3))^12)*100)</f>
        <v/>
      </c>
      <c r="CC54" s="25">
        <f>IF(AD54=1,0,BV54-(1-(1-(1/(1+EXP(-(BT54-BK54)))*Parameters!$B$3))^12)*100)</f>
        <v/>
      </c>
      <c r="CD54" s="25">
        <f>IF(AD54=1,0,BV54-(1-(1-(1/(1+EXP(-(BT54-BL54)))*Parameters!$B$3))^12)*100)</f>
        <v/>
      </c>
      <c r="CE54" s="25">
        <f>IF(AD54=1,0,BV54-(1-(1-(1/(1+EXP(-(BT54-BM54)))*Parameters!$B$3))^12)*100)</f>
        <v/>
      </c>
      <c r="CF54" s="25">
        <f>IF(AD54=1,0,BV54-(1-(1-(1/(1+EXP(-(BT54-BN54)))*Parameters!$B$3))^12)*100)</f>
        <v/>
      </c>
      <c r="CG54" s="25">
        <f>IF(AD54=1,0,BV54-(1-(1-(1/(1+EXP(-(BT54-BO54)))*Parameters!$B$3))^12)*100)</f>
        <v/>
      </c>
      <c r="CH54" s="25">
        <f>IF(AD54=1,0,BV54-(1-(1-(1/(1+EXP(-(BT54-BP54)))*Parameters!$B$3))^12)*100)</f>
        <v/>
      </c>
      <c r="CI54" s="25">
        <f>IF(AD54=1,0,BV54-(1-(1-(1/(1+EXP(-(BT54-BQ54)))*Parameters!$B$3))^12)*100)</f>
        <v/>
      </c>
      <c r="CJ54" s="25">
        <f>IF(AD54=1,0,BV54-(1-(1-(1/(1+EXP(-(BT54-BR54)))*Parameters!$B$3))^12)*100)</f>
        <v/>
      </c>
    </row>
    <row r="55">
      <c r="A55" s="17" t="inlineStr">
        <is>
          <t>GNR_2014_SEASONED</t>
        </is>
      </c>
      <c r="B55" s="17" t="inlineStr">
        <is>
          <t>36186QE81</t>
        </is>
      </c>
      <c r="C55" s="17" t="inlineStr">
        <is>
          <t>PN</t>
        </is>
      </c>
      <c r="D55" s="17" t="inlineStr">
        <is>
          <t>BERKADIA COMMERCIAL MORTGAGE, LLC</t>
        </is>
      </c>
      <c r="E55" s="17" t="inlineStr">
        <is>
          <t>36186QE81_000000011535728</t>
        </is>
      </c>
      <c r="F55" s="17" t="n">
        <v>202603</v>
      </c>
      <c r="G55" s="18" t="n">
        <v>3.25</v>
      </c>
      <c r="H55" s="19" t="n">
        <v>31526270</v>
      </c>
      <c r="I55" s="17" t="n">
        <v>462</v>
      </c>
      <c r="J55" s="17" t="n">
        <v>20150623</v>
      </c>
      <c r="K55" s="17" t="n">
        <v>20570901</v>
      </c>
      <c r="L55" s="17" t="n"/>
      <c r="M55" s="17" t="n">
        <v>20280401</v>
      </c>
      <c r="N55" s="17" t="n">
        <v>10</v>
      </c>
      <c r="O55" s="17" t="inlineStr">
        <is>
          <t>221(d)(4)</t>
        </is>
      </c>
      <c r="P55" s="17" t="inlineStr">
        <is>
          <t>MKT</t>
        </is>
      </c>
      <c r="Q55" s="17" t="n"/>
      <c r="R55" s="17" t="n"/>
      <c r="S55" s="17" t="n"/>
      <c r="T55" s="17" t="inlineStr">
        <is>
          <t>TX</t>
        </is>
      </c>
      <c r="U55" s="17" t="n">
        <v>292</v>
      </c>
      <c r="V55" s="17" t="n">
        <v>490.5</v>
      </c>
      <c r="W55" s="17" t="n">
        <v>129</v>
      </c>
      <c r="X55" s="17" t="n">
        <v>2015</v>
      </c>
      <c r="Y55" s="17" t="n">
        <v>-30</v>
      </c>
      <c r="Z55" s="17" t="n">
        <v>4</v>
      </c>
      <c r="AA55" s="20">
        <f>IF(ISNUMBER(W55),W55,IFERROR(MAX(0,(VALUE(LEFT(F55,4))-VALUE(LEFT(TEXT(J55,"00000000"),4)))*12+(VALUE(MID(F55,5,2))-VALUE(MID(TEXT(J55,"00000000"),5,2)))),""))</f>
        <v/>
      </c>
      <c r="AB55" s="20">
        <f>IFERROR((VALUE(LEFT(TEXT(K55,"00000000"),4))-VALUE(LEFT(F55,4)))*12+(VALUE(MID(TEXT(K55,"00000000"),5,2))-VALUE(MID(F55,5,2))),"")</f>
        <v/>
      </c>
      <c r="AC55" s="20">
        <f>IF(OR(L55="",NOT(ISNUMBER(L55))),0,MAX(0,MIN(60,(VALUE(LEFT(F55,4))-VALUE(LEFT(TEXT(L55,"00000000"),4)))*12+(VALUE(MID(F55,5,2))-VALUE(MID(TEXT(L55,"00000000"),5,2))))))</f>
        <v/>
      </c>
      <c r="AD55" s="20">
        <f>IF(OR(L55="",NOT(ISNUMBER(L55))),0,IF(VALUE(F55)&lt;VALUE(LEFT(TEXT(L55,"00000000"),6)),1,0))</f>
        <v/>
      </c>
      <c r="AE55" s="20">
        <f>IF(OR(M55="",NOT(ISNUMBER(M55))),0,IF(VALUE(F55)&lt;VALUE(LEFT(TEXT(M55,"00000000"),6)),1,0))</f>
        <v/>
      </c>
      <c r="AF55" s="20">
        <f>IF(AND(AD55=0,AE55=0),1,0)</f>
        <v/>
      </c>
      <c r="AG55" s="20">
        <f>IF(ISNUMBER(X55),X55,IFERROR(VALUE(LEFT(TEXT(J55,"00000000"),4)),""))</f>
        <v/>
      </c>
      <c r="AH55" s="20">
        <f>IFERROR(XLOOKUP(AG55,Vintage_Rates!$A$2:$A$1000,Vintage_Rates!$B$2:$B$1000,""),"")</f>
        <v/>
      </c>
      <c r="AI55" s="20">
        <f>IF(ISNUMBER(Y55),Y55,IFERROR((G55-AH55)*100,""))</f>
        <v/>
      </c>
      <c r="AJ55" s="20">
        <f>IF(ISNUMBER(V55),V55,IFERROR(XLOOKUP(VALUE(F55),PLC_Rates!$A$2:$A$1000,PLC_Rates!$B$2:$B$1000,""),""))</f>
        <v/>
      </c>
      <c r="AK55" s="20">
        <f>IF(ISNUMBER(Z55),Z55,IF(AE55=0,0,MAX(0,MIN(10,((VALUE(LEFT(TEXT(M55,"00000000"),4))-VALUE(LEFT(F55,4)))*12+(VALUE(MID(TEXT(M55,"00000000"),5,2))-VALUE(MID(F55,5,2))))/12))))</f>
        <v/>
      </c>
      <c r="AL55" s="20">
        <f>IFERROR(G55*100-AJ55,"")</f>
        <v/>
      </c>
      <c r="AM55" s="20">
        <f>IFERROR(G55*100-(AJ55+(1+AK55)*12.5),"")</f>
        <v/>
      </c>
      <c r="AN55" s="21">
        <f>IFERROR(MIN(H55/1000000,100),"")</f>
        <v/>
      </c>
      <c r="AO55" s="20">
        <f>IFERROR(INDEX(FHA_Lookup!$B$2:$B$11,MATCH(TRUE,ISNUMBER(SEARCH(FHA_Lookup!$A$2:$A$11,UPPER(SUBSTITUTE(O55," ","")))),0)),"OTHER")</f>
        <v/>
      </c>
      <c r="AP55" s="20">
        <f>IFERROR(INDEX(FHA_Lookup!$C$2:$C$11,MATCH(TRUE,ISNUMBER(SEARCH(FHA_Lookup!$A$2:$A$11,UPPER(SUBSTITUTE(O55," ","")))),0)),"OTHER")</f>
        <v/>
      </c>
      <c r="AQ55" s="20">
        <f>IF(AP55="NC",1,0)</f>
        <v/>
      </c>
      <c r="AR55" s="20">
        <f>IF(UPPER(TRIM(P55))="AFF",1,0)</f>
        <v/>
      </c>
      <c r="AS55" s="20">
        <f>IF(UPPER(TRIM(P55))="BAF",1,0)</f>
        <v/>
      </c>
      <c r="AT55" s="20">
        <f>IF(UPPER(TRIM(P55))="MKT",1,0)</f>
        <v/>
      </c>
      <c r="AU55" s="20">
        <f>IF(AO55="221d4",1,0)</f>
        <v/>
      </c>
      <c r="AV55" s="20">
        <f>IF(AO55="223a7",1,0)</f>
        <v/>
      </c>
      <c r="AW55" s="20">
        <f>IF(AO55="232",1,0)</f>
        <v/>
      </c>
      <c r="AX55" s="20">
        <f>IF(AO55="538",1,0)</f>
        <v/>
      </c>
      <c r="AY55" s="20">
        <f>IF(AO55="241",1,0)</f>
        <v/>
      </c>
      <c r="AZ55" s="20">
        <f>IF(AO55="220",1,0)</f>
        <v/>
      </c>
      <c r="BA55" s="20">
        <f>IF(AO55="OTHER",1,0)</f>
        <v/>
      </c>
      <c r="BB55" s="20">
        <f>IF(UPPER(TRIM(C55))="LM",1,0)</f>
        <v/>
      </c>
      <c r="BC55" s="20">
        <f>IF(UPPER(TRIM(C55))="PN",1,0)</f>
        <v/>
      </c>
      <c r="BD55" s="20">
        <f>IF(UPPER(TRIM(C55))="LS",1,0)</f>
        <v/>
      </c>
      <c r="BE55" s="20">
        <f>IF(UPPER(TRIM(C55))="RX",1,0)</f>
        <v/>
      </c>
      <c r="BF55" s="22">
        <f>IFERROR((Parameters!$C$6*AM55+Parameters!$C$7*MAX(AM55-(-150),0)+Parameters!$C$8*MAX(AM55-(-50),0)+Parameters!$C$9*MAX(AM55-(0),0)+Parameters!$C$10*MAX(AM55-(50),0)+Parameters!$C$11*MAX(AM55-(100),0)+Parameters!$C$12*MAX(AM55-(150),0)+Parameters!$C$13*MAX(AM55-(250),0)),0)</f>
        <v/>
      </c>
      <c r="BG55" s="22">
        <f>IFERROR((Parameters!$C$14*AA55+Parameters!$C$15*MAX(AA55-(12),0)+Parameters!$C$16*MAX(AA55-(36),0)+Parameters!$C$17*MAX(AA55-(60),0)+Parameters!$C$18*MAX(AA55-(84),0)+Parameters!$C$19*MAX(AA55-(120),0)+Parameters!$C$20*MAX(AA55-(180),0)),0)</f>
        <v/>
      </c>
      <c r="BH55" s="22">
        <f>IFERROR((Parameters!$C$21*AK55+Parameters!$C$22*MAX(AK55-(0),0)+Parameters!$C$23*MAX(AK55-(2),0)+Parameters!$C$24*MAX(AK55-(5),0)+Parameters!$C$25*MAX(AK55-(8),0)),0)</f>
        <v/>
      </c>
      <c r="BI55" s="22">
        <f>IFERROR((Parameters!$C$26*AI55+Parameters!$C$27*MAX(AI55-(-100),0)+Parameters!$C$28*MAX(AI55-(-25),0)+Parameters!$C$29*MAX(AI55-(25),0)+Parameters!$C$30*MAX(AI55-(100),0)),0)</f>
        <v/>
      </c>
      <c r="BJ55" s="22">
        <f>IFERROR((Parameters!$C$31*AN55+Parameters!$C$32*MAX(AN55-(2),0)+Parameters!$C$33*MAX(AN55-(10),0)+Parameters!$C$34*MAX(AN55-(25),0)),0)</f>
        <v/>
      </c>
      <c r="BK55" s="22">
        <f>IFERROR((Parameters!$C$35*AB55+Parameters!$C$36*MAX(AB55-(12),0)+Parameters!$C$37*MAX(AB55-(24),0)+Parameters!$C$38*MAX(AB55-(60),0)),0)</f>
        <v/>
      </c>
      <c r="BL55" s="22">
        <f>IFERROR((Parameters!$C$39*AC55+Parameters!$C$40*MAX(AC55-(6),0)+Parameters!$C$41*MAX(AC55-(12),0)+Parameters!$C$42*MAX(AC55-(24),0)),0)</f>
        <v/>
      </c>
      <c r="BM55" s="22">
        <f>IFERROR(Parameters!$C$43*(MAX(AM55,0)*MIN(MAX(AK55,0),10))/100,0)</f>
        <v/>
      </c>
      <c r="BN55" s="22">
        <f>Parameters!$C$44*AE55</f>
        <v/>
      </c>
      <c r="BO55" s="22">
        <f>Parameters!$C$45*AU55 + Parameters!$C$46*AV55 + Parameters!$C$47*AW55 + Parameters!$C$48*AX55 + Parameters!$C$49*AY55 + Parameters!$C$50*AZ55 + Parameters!$C$51*BA55</f>
        <v/>
      </c>
      <c r="BP55" s="22">
        <f>Parameters!$C$52*AQ55</f>
        <v/>
      </c>
      <c r="BQ55" s="22">
        <f>Parameters!$C$53*AR55+Parameters!$C$54*AS55+Parameters!$C$55*AT55</f>
        <v/>
      </c>
      <c r="BR55" s="22">
        <f>Parameters!$C$56*BB55+Parameters!$C$57*BC55+Parameters!$C$58*BD55+Parameters!$C$59*BE55</f>
        <v/>
      </c>
      <c r="BS55" s="23">
        <f>Parameters!$B$2</f>
        <v/>
      </c>
      <c r="BT55" s="23">
        <f>BS55+BF55 + BG55 + BH55 + BI55 + BJ55 + BK55 + BL55 + BM55 + BN55 + BO55 + BP55 + BQ55 + BR55</f>
        <v/>
      </c>
      <c r="BU55" s="24">
        <f>IF(AD55=1,0,1/(1+EXP(-BT55))*Parameters!$B$3)</f>
        <v/>
      </c>
      <c r="BV55" s="25">
        <f>(1-(1-BU55)^12)*100</f>
        <v/>
      </c>
      <c r="BW55" s="25">
        <f>IF(AD55=1,0,(1-(1-1/(1+EXP(-Parameters!$B$2)))^12)*100)</f>
        <v/>
      </c>
      <c r="BX55" s="25">
        <f>IF(AD55=1,0,BV55-(1-(1-(1/(1+EXP(-(BT55-BF55)))*Parameters!$B$3))^12)*100)</f>
        <v/>
      </c>
      <c r="BY55" s="25">
        <f>IF(AD55=1,0,BV55-(1-(1-(1/(1+EXP(-(BT55-BG55)))*Parameters!$B$3))^12)*100)</f>
        <v/>
      </c>
      <c r="BZ55" s="25">
        <f>IF(AD55=1,0,BV55-(1-(1-(1/(1+EXP(-(BT55-BH55)))*Parameters!$B$3))^12)*100)</f>
        <v/>
      </c>
      <c r="CA55" s="25">
        <f>IF(AD55=1,0,BV55-(1-(1-(1/(1+EXP(-(BT55-BI55)))*Parameters!$B$3))^12)*100)</f>
        <v/>
      </c>
      <c r="CB55" s="25">
        <f>IF(AD55=1,0,BV55-(1-(1-(1/(1+EXP(-(BT55-BJ55)))*Parameters!$B$3))^12)*100)</f>
        <v/>
      </c>
      <c r="CC55" s="25">
        <f>IF(AD55=1,0,BV55-(1-(1-(1/(1+EXP(-(BT55-BK55)))*Parameters!$B$3))^12)*100)</f>
        <v/>
      </c>
      <c r="CD55" s="25">
        <f>IF(AD55=1,0,BV55-(1-(1-(1/(1+EXP(-(BT55-BL55)))*Parameters!$B$3))^12)*100)</f>
        <v/>
      </c>
      <c r="CE55" s="25">
        <f>IF(AD55=1,0,BV55-(1-(1-(1/(1+EXP(-(BT55-BM55)))*Parameters!$B$3))^12)*100)</f>
        <v/>
      </c>
      <c r="CF55" s="25">
        <f>IF(AD55=1,0,BV55-(1-(1-(1/(1+EXP(-(BT55-BN55)))*Parameters!$B$3))^12)*100)</f>
        <v/>
      </c>
      <c r="CG55" s="25">
        <f>IF(AD55=1,0,BV55-(1-(1-(1/(1+EXP(-(BT55-BO55)))*Parameters!$B$3))^12)*100)</f>
        <v/>
      </c>
      <c r="CH55" s="25">
        <f>IF(AD55=1,0,BV55-(1-(1-(1/(1+EXP(-(BT55-BP55)))*Parameters!$B$3))^12)*100)</f>
        <v/>
      </c>
      <c r="CI55" s="25">
        <f>IF(AD55=1,0,BV55-(1-(1-(1/(1+EXP(-(BT55-BQ55)))*Parameters!$B$3))^12)*100)</f>
        <v/>
      </c>
      <c r="CJ55" s="25">
        <f>IF(AD55=1,0,BV55-(1-(1-(1/(1+EXP(-(BT55-BR55)))*Parameters!$B$3))^12)*100)</f>
        <v/>
      </c>
    </row>
    <row r="56">
      <c r="A56" s="17" t="inlineStr">
        <is>
          <t>GNR_2014_SEASONED</t>
        </is>
      </c>
      <c r="B56" s="17" t="inlineStr">
        <is>
          <t>36184ATH2</t>
        </is>
      </c>
      <c r="C56" s="17" t="inlineStr">
        <is>
          <t>PN</t>
        </is>
      </c>
      <c r="D56" s="17" t="inlineStr">
        <is>
          <t>PGIM REAL ESTATE AGENCY FINANCING, LLC.</t>
        </is>
      </c>
      <c r="E56" s="17" t="inlineStr">
        <is>
          <t>36184ATH2_000000003411201</t>
        </is>
      </c>
      <c r="F56" s="17" t="n">
        <v>202603</v>
      </c>
      <c r="G56" s="18" t="n">
        <v>3.34</v>
      </c>
      <c r="H56" s="19" t="n">
        <v>6737220.93</v>
      </c>
      <c r="I56" s="17" t="n">
        <v>420</v>
      </c>
      <c r="J56" s="17" t="n">
        <v>20141230</v>
      </c>
      <c r="K56" s="17" t="n">
        <v>20500101</v>
      </c>
      <c r="L56" s="17" t="n"/>
      <c r="M56" s="17" t="n">
        <v>20250201</v>
      </c>
      <c r="N56" s="17" t="n">
        <v>10</v>
      </c>
      <c r="O56" s="17" t="inlineStr">
        <is>
          <t>207/223F</t>
        </is>
      </c>
      <c r="P56" s="17" t="inlineStr">
        <is>
          <t>MKT</t>
        </is>
      </c>
      <c r="Q56" s="17" t="n"/>
      <c r="R56" s="17" t="n"/>
      <c r="S56" s="17" t="n"/>
      <c r="T56" s="17" t="inlineStr">
        <is>
          <t>PA</t>
        </is>
      </c>
      <c r="U56" s="17" t="n">
        <v>141</v>
      </c>
      <c r="V56" s="17" t="n">
        <v>490.5</v>
      </c>
      <c r="W56" s="17" t="n">
        <v>135</v>
      </c>
      <c r="X56" s="17" t="n">
        <v>2014</v>
      </c>
      <c r="Y56" s="17" t="n">
        <v>-51</v>
      </c>
      <c r="Z56" s="17" t="n">
        <v>0</v>
      </c>
      <c r="AA56" s="20">
        <f>IF(ISNUMBER(W56),W56,IFERROR(MAX(0,(VALUE(LEFT(F56,4))-VALUE(LEFT(TEXT(J56,"00000000"),4)))*12+(VALUE(MID(F56,5,2))-VALUE(MID(TEXT(J56,"00000000"),5,2)))),""))</f>
        <v/>
      </c>
      <c r="AB56" s="20">
        <f>IFERROR((VALUE(LEFT(TEXT(K56,"00000000"),4))-VALUE(LEFT(F56,4)))*12+(VALUE(MID(TEXT(K56,"00000000"),5,2))-VALUE(MID(F56,5,2))),"")</f>
        <v/>
      </c>
      <c r="AC56" s="20">
        <f>IF(OR(L56="",NOT(ISNUMBER(L56))),0,MAX(0,MIN(60,(VALUE(LEFT(F56,4))-VALUE(LEFT(TEXT(L56,"00000000"),4)))*12+(VALUE(MID(F56,5,2))-VALUE(MID(TEXT(L56,"00000000"),5,2))))))</f>
        <v/>
      </c>
      <c r="AD56" s="20">
        <f>IF(OR(L56="",NOT(ISNUMBER(L56))),0,IF(VALUE(F56)&lt;VALUE(LEFT(TEXT(L56,"00000000"),6)),1,0))</f>
        <v/>
      </c>
      <c r="AE56" s="20">
        <f>IF(OR(M56="",NOT(ISNUMBER(M56))),0,IF(VALUE(F56)&lt;VALUE(LEFT(TEXT(M56,"00000000"),6)),1,0))</f>
        <v/>
      </c>
      <c r="AF56" s="20">
        <f>IF(AND(AD56=0,AE56=0),1,0)</f>
        <v/>
      </c>
      <c r="AG56" s="20">
        <f>IF(ISNUMBER(X56),X56,IFERROR(VALUE(LEFT(TEXT(J56,"00000000"),4)),""))</f>
        <v/>
      </c>
      <c r="AH56" s="20">
        <f>IFERROR(XLOOKUP(AG56,Vintage_Rates!$A$2:$A$1000,Vintage_Rates!$B$2:$B$1000,""),"")</f>
        <v/>
      </c>
      <c r="AI56" s="20">
        <f>IF(ISNUMBER(Y56),Y56,IFERROR((G56-AH56)*100,""))</f>
        <v/>
      </c>
      <c r="AJ56" s="20">
        <f>IF(ISNUMBER(V56),V56,IFERROR(XLOOKUP(VALUE(F56),PLC_Rates!$A$2:$A$1000,PLC_Rates!$B$2:$B$1000,""),""))</f>
        <v/>
      </c>
      <c r="AK56" s="20">
        <f>IF(ISNUMBER(Z56),Z56,IF(AE56=0,0,MAX(0,MIN(10,((VALUE(LEFT(TEXT(M56,"00000000"),4))-VALUE(LEFT(F56,4)))*12+(VALUE(MID(TEXT(M56,"00000000"),5,2))-VALUE(MID(F56,5,2))))/12))))</f>
        <v/>
      </c>
      <c r="AL56" s="20">
        <f>IFERROR(G56*100-AJ56,"")</f>
        <v/>
      </c>
      <c r="AM56" s="20">
        <f>IFERROR(G56*100-(AJ56+(1+AK56)*12.5),"")</f>
        <v/>
      </c>
      <c r="AN56" s="21">
        <f>IFERROR(MIN(H56/1000000,100),"")</f>
        <v/>
      </c>
      <c r="AO56" s="20">
        <f>IFERROR(INDEX(FHA_Lookup!$B$2:$B$11,MATCH(TRUE,ISNUMBER(SEARCH(FHA_Lookup!$A$2:$A$11,UPPER(SUBSTITUTE(O56," ","")))),0)),"OTHER")</f>
        <v/>
      </c>
      <c r="AP56" s="20">
        <f>IFERROR(INDEX(FHA_Lookup!$C$2:$C$11,MATCH(TRUE,ISNUMBER(SEARCH(FHA_Lookup!$A$2:$A$11,UPPER(SUBSTITUTE(O56," ","")))),0)),"OTHER")</f>
        <v/>
      </c>
      <c r="AQ56" s="20">
        <f>IF(AP56="NC",1,0)</f>
        <v/>
      </c>
      <c r="AR56" s="20">
        <f>IF(UPPER(TRIM(P56))="AFF",1,0)</f>
        <v/>
      </c>
      <c r="AS56" s="20">
        <f>IF(UPPER(TRIM(P56))="BAF",1,0)</f>
        <v/>
      </c>
      <c r="AT56" s="20">
        <f>IF(UPPER(TRIM(P56))="MKT",1,0)</f>
        <v/>
      </c>
      <c r="AU56" s="20">
        <f>IF(AO56="221d4",1,0)</f>
        <v/>
      </c>
      <c r="AV56" s="20">
        <f>IF(AO56="223a7",1,0)</f>
        <v/>
      </c>
      <c r="AW56" s="20">
        <f>IF(AO56="232",1,0)</f>
        <v/>
      </c>
      <c r="AX56" s="20">
        <f>IF(AO56="538",1,0)</f>
        <v/>
      </c>
      <c r="AY56" s="20">
        <f>IF(AO56="241",1,0)</f>
        <v/>
      </c>
      <c r="AZ56" s="20">
        <f>IF(AO56="220",1,0)</f>
        <v/>
      </c>
      <c r="BA56" s="20">
        <f>IF(AO56="OTHER",1,0)</f>
        <v/>
      </c>
      <c r="BB56" s="20">
        <f>IF(UPPER(TRIM(C56))="LM",1,0)</f>
        <v/>
      </c>
      <c r="BC56" s="20">
        <f>IF(UPPER(TRIM(C56))="PN",1,0)</f>
        <v/>
      </c>
      <c r="BD56" s="20">
        <f>IF(UPPER(TRIM(C56))="LS",1,0)</f>
        <v/>
      </c>
      <c r="BE56" s="20">
        <f>IF(UPPER(TRIM(C56))="RX",1,0)</f>
        <v/>
      </c>
      <c r="BF56" s="22">
        <f>IFERROR((Parameters!$C$6*AM56+Parameters!$C$7*MAX(AM56-(-150),0)+Parameters!$C$8*MAX(AM56-(-50),0)+Parameters!$C$9*MAX(AM56-(0),0)+Parameters!$C$10*MAX(AM56-(50),0)+Parameters!$C$11*MAX(AM56-(100),0)+Parameters!$C$12*MAX(AM56-(150),0)+Parameters!$C$13*MAX(AM56-(250),0)),0)</f>
        <v/>
      </c>
      <c r="BG56" s="22">
        <f>IFERROR((Parameters!$C$14*AA56+Parameters!$C$15*MAX(AA56-(12),0)+Parameters!$C$16*MAX(AA56-(36),0)+Parameters!$C$17*MAX(AA56-(60),0)+Parameters!$C$18*MAX(AA56-(84),0)+Parameters!$C$19*MAX(AA56-(120),0)+Parameters!$C$20*MAX(AA56-(180),0)),0)</f>
        <v/>
      </c>
      <c r="BH56" s="22">
        <f>IFERROR((Parameters!$C$21*AK56+Parameters!$C$22*MAX(AK56-(0),0)+Parameters!$C$23*MAX(AK56-(2),0)+Parameters!$C$24*MAX(AK56-(5),0)+Parameters!$C$25*MAX(AK56-(8),0)),0)</f>
        <v/>
      </c>
      <c r="BI56" s="22">
        <f>IFERROR((Parameters!$C$26*AI56+Parameters!$C$27*MAX(AI56-(-100),0)+Parameters!$C$28*MAX(AI56-(-25),0)+Parameters!$C$29*MAX(AI56-(25),0)+Parameters!$C$30*MAX(AI56-(100),0)),0)</f>
        <v/>
      </c>
      <c r="BJ56" s="22">
        <f>IFERROR((Parameters!$C$31*AN56+Parameters!$C$32*MAX(AN56-(2),0)+Parameters!$C$33*MAX(AN56-(10),0)+Parameters!$C$34*MAX(AN56-(25),0)),0)</f>
        <v/>
      </c>
      <c r="BK56" s="22">
        <f>IFERROR((Parameters!$C$35*AB56+Parameters!$C$36*MAX(AB56-(12),0)+Parameters!$C$37*MAX(AB56-(24),0)+Parameters!$C$38*MAX(AB56-(60),0)),0)</f>
        <v/>
      </c>
      <c r="BL56" s="22">
        <f>IFERROR((Parameters!$C$39*AC56+Parameters!$C$40*MAX(AC56-(6),0)+Parameters!$C$41*MAX(AC56-(12),0)+Parameters!$C$42*MAX(AC56-(24),0)),0)</f>
        <v/>
      </c>
      <c r="BM56" s="22">
        <f>IFERROR(Parameters!$C$43*(MAX(AM56,0)*MIN(MAX(AK56,0),10))/100,0)</f>
        <v/>
      </c>
      <c r="BN56" s="22">
        <f>Parameters!$C$44*AE56</f>
        <v/>
      </c>
      <c r="BO56" s="22">
        <f>Parameters!$C$45*AU56 + Parameters!$C$46*AV56 + Parameters!$C$47*AW56 + Parameters!$C$48*AX56 + Parameters!$C$49*AY56 + Parameters!$C$50*AZ56 + Parameters!$C$51*BA56</f>
        <v/>
      </c>
      <c r="BP56" s="22">
        <f>Parameters!$C$52*AQ56</f>
        <v/>
      </c>
      <c r="BQ56" s="22">
        <f>Parameters!$C$53*AR56+Parameters!$C$54*AS56+Parameters!$C$55*AT56</f>
        <v/>
      </c>
      <c r="BR56" s="22">
        <f>Parameters!$C$56*BB56+Parameters!$C$57*BC56+Parameters!$C$58*BD56+Parameters!$C$59*BE56</f>
        <v/>
      </c>
      <c r="BS56" s="23">
        <f>Parameters!$B$2</f>
        <v/>
      </c>
      <c r="BT56" s="23">
        <f>BS56+BF56 + BG56 + BH56 + BI56 + BJ56 + BK56 + BL56 + BM56 + BN56 + BO56 + BP56 + BQ56 + BR56</f>
        <v/>
      </c>
      <c r="BU56" s="24">
        <f>IF(AD56=1,0,1/(1+EXP(-BT56))*Parameters!$B$3)</f>
        <v/>
      </c>
      <c r="BV56" s="25">
        <f>(1-(1-BU56)^12)*100</f>
        <v/>
      </c>
      <c r="BW56" s="25">
        <f>IF(AD56=1,0,(1-(1-1/(1+EXP(-Parameters!$B$2)))^12)*100)</f>
        <v/>
      </c>
      <c r="BX56" s="25">
        <f>IF(AD56=1,0,BV56-(1-(1-(1/(1+EXP(-(BT56-BF56)))*Parameters!$B$3))^12)*100)</f>
        <v/>
      </c>
      <c r="BY56" s="25">
        <f>IF(AD56=1,0,BV56-(1-(1-(1/(1+EXP(-(BT56-BG56)))*Parameters!$B$3))^12)*100)</f>
        <v/>
      </c>
      <c r="BZ56" s="25">
        <f>IF(AD56=1,0,BV56-(1-(1-(1/(1+EXP(-(BT56-BH56)))*Parameters!$B$3))^12)*100)</f>
        <v/>
      </c>
      <c r="CA56" s="25">
        <f>IF(AD56=1,0,BV56-(1-(1-(1/(1+EXP(-(BT56-BI56)))*Parameters!$B$3))^12)*100)</f>
        <v/>
      </c>
      <c r="CB56" s="25">
        <f>IF(AD56=1,0,BV56-(1-(1-(1/(1+EXP(-(BT56-BJ56)))*Parameters!$B$3))^12)*100)</f>
        <v/>
      </c>
      <c r="CC56" s="25">
        <f>IF(AD56=1,0,BV56-(1-(1-(1/(1+EXP(-(BT56-BK56)))*Parameters!$B$3))^12)*100)</f>
        <v/>
      </c>
      <c r="CD56" s="25">
        <f>IF(AD56=1,0,BV56-(1-(1-(1/(1+EXP(-(BT56-BL56)))*Parameters!$B$3))^12)*100)</f>
        <v/>
      </c>
      <c r="CE56" s="25">
        <f>IF(AD56=1,0,BV56-(1-(1-(1/(1+EXP(-(BT56-BM56)))*Parameters!$B$3))^12)*100)</f>
        <v/>
      </c>
      <c r="CF56" s="25">
        <f>IF(AD56=1,0,BV56-(1-(1-(1/(1+EXP(-(BT56-BN56)))*Parameters!$B$3))^12)*100)</f>
        <v/>
      </c>
      <c r="CG56" s="25">
        <f>IF(AD56=1,0,BV56-(1-(1-(1/(1+EXP(-(BT56-BO56)))*Parameters!$B$3))^12)*100)</f>
        <v/>
      </c>
      <c r="CH56" s="25">
        <f>IF(AD56=1,0,BV56-(1-(1-(1/(1+EXP(-(BT56-BP56)))*Parameters!$B$3))^12)*100)</f>
        <v/>
      </c>
      <c r="CI56" s="25">
        <f>IF(AD56=1,0,BV56-(1-(1-(1/(1+EXP(-(BT56-BQ56)))*Parameters!$B$3))^12)*100)</f>
        <v/>
      </c>
      <c r="CJ56" s="25">
        <f>IF(AD56=1,0,BV56-(1-(1-(1/(1+EXP(-(BT56-BR56)))*Parameters!$B$3))^12)*100)</f>
        <v/>
      </c>
    </row>
    <row r="57">
      <c r="A57" s="17" t="inlineStr">
        <is>
          <t>GNR_2014_SEASONED</t>
        </is>
      </c>
      <c r="B57" s="17" t="inlineStr">
        <is>
          <t>36181GW54</t>
        </is>
      </c>
      <c r="C57" s="17" t="inlineStr">
        <is>
          <t>PN</t>
        </is>
      </c>
      <c r="D57" s="17" t="inlineStr">
        <is>
          <t>WELLS FARGO BANK, N.A.</t>
        </is>
      </c>
      <c r="E57" s="17" t="inlineStr">
        <is>
          <t>36181GW54_000000000035514</t>
        </is>
      </c>
      <c r="F57" s="17" t="n">
        <v>202603</v>
      </c>
      <c r="G57" s="18" t="n">
        <v>3.85</v>
      </c>
      <c r="H57" s="19" t="n">
        <v>7293881.38</v>
      </c>
      <c r="I57" s="17" t="n">
        <v>444</v>
      </c>
      <c r="J57" s="17" t="n">
        <v>20130901</v>
      </c>
      <c r="K57" s="17" t="n">
        <v>20501001</v>
      </c>
      <c r="L57" s="17" t="n"/>
      <c r="M57" s="17" t="n">
        <v>20231101</v>
      </c>
      <c r="N57" s="17" t="n">
        <v>10</v>
      </c>
      <c r="O57" s="17" t="inlineStr">
        <is>
          <t>221d4223a7</t>
        </is>
      </c>
      <c r="P57" s="17" t="inlineStr">
        <is>
          <t>MKT</t>
        </is>
      </c>
      <c r="Q57" s="17" t="n"/>
      <c r="R57" s="17" t="n"/>
      <c r="S57" s="17" t="n"/>
      <c r="T57" s="17" t="inlineStr">
        <is>
          <t>MD</t>
        </is>
      </c>
      <c r="U57" s="17" t="n">
        <v>159</v>
      </c>
      <c r="V57" s="17" t="n">
        <v>490.5</v>
      </c>
      <c r="W57" s="17" t="n">
        <v>150</v>
      </c>
      <c r="X57" s="17" t="n">
        <v>2013</v>
      </c>
      <c r="Y57" s="17" t="n">
        <v>47</v>
      </c>
      <c r="Z57" s="17" t="n">
        <v>0</v>
      </c>
      <c r="AA57" s="20">
        <f>IF(ISNUMBER(W57),W57,IFERROR(MAX(0,(VALUE(LEFT(F57,4))-VALUE(LEFT(TEXT(J57,"00000000"),4)))*12+(VALUE(MID(F57,5,2))-VALUE(MID(TEXT(J57,"00000000"),5,2)))),""))</f>
        <v/>
      </c>
      <c r="AB57" s="20">
        <f>IFERROR((VALUE(LEFT(TEXT(K57,"00000000"),4))-VALUE(LEFT(F57,4)))*12+(VALUE(MID(TEXT(K57,"00000000"),5,2))-VALUE(MID(F57,5,2))),"")</f>
        <v/>
      </c>
      <c r="AC57" s="20">
        <f>IF(OR(L57="",NOT(ISNUMBER(L57))),0,MAX(0,MIN(60,(VALUE(LEFT(F57,4))-VALUE(LEFT(TEXT(L57,"00000000"),4)))*12+(VALUE(MID(F57,5,2))-VALUE(MID(TEXT(L57,"00000000"),5,2))))))</f>
        <v/>
      </c>
      <c r="AD57" s="20">
        <f>IF(OR(L57="",NOT(ISNUMBER(L57))),0,IF(VALUE(F57)&lt;VALUE(LEFT(TEXT(L57,"00000000"),6)),1,0))</f>
        <v/>
      </c>
      <c r="AE57" s="20">
        <f>IF(OR(M57="",NOT(ISNUMBER(M57))),0,IF(VALUE(F57)&lt;VALUE(LEFT(TEXT(M57,"00000000"),6)),1,0))</f>
        <v/>
      </c>
      <c r="AF57" s="20">
        <f>IF(AND(AD57=0,AE57=0),1,0)</f>
        <v/>
      </c>
      <c r="AG57" s="20">
        <f>IF(ISNUMBER(X57),X57,IFERROR(VALUE(LEFT(TEXT(J57,"00000000"),4)),""))</f>
        <v/>
      </c>
      <c r="AH57" s="20">
        <f>IFERROR(XLOOKUP(AG57,Vintage_Rates!$A$2:$A$1000,Vintage_Rates!$B$2:$B$1000,""),"")</f>
        <v/>
      </c>
      <c r="AI57" s="20">
        <f>IF(ISNUMBER(Y57),Y57,IFERROR((G57-AH57)*100,""))</f>
        <v/>
      </c>
      <c r="AJ57" s="20">
        <f>IF(ISNUMBER(V57),V57,IFERROR(XLOOKUP(VALUE(F57),PLC_Rates!$A$2:$A$1000,PLC_Rates!$B$2:$B$1000,""),""))</f>
        <v/>
      </c>
      <c r="AK57" s="20">
        <f>IF(ISNUMBER(Z57),Z57,IF(AE57=0,0,MAX(0,MIN(10,((VALUE(LEFT(TEXT(M57,"00000000"),4))-VALUE(LEFT(F57,4)))*12+(VALUE(MID(TEXT(M57,"00000000"),5,2))-VALUE(MID(F57,5,2))))/12))))</f>
        <v/>
      </c>
      <c r="AL57" s="20">
        <f>IFERROR(G57*100-AJ57,"")</f>
        <v/>
      </c>
      <c r="AM57" s="20">
        <f>IFERROR(G57*100-(AJ57+(1+AK57)*12.5),"")</f>
        <v/>
      </c>
      <c r="AN57" s="21">
        <f>IFERROR(MIN(H57/1000000,100),"")</f>
        <v/>
      </c>
      <c r="AO57" s="20">
        <f>IFERROR(INDEX(FHA_Lookup!$B$2:$B$11,MATCH(TRUE,ISNUMBER(SEARCH(FHA_Lookup!$A$2:$A$11,UPPER(SUBSTITUTE(O57," ","")))),0)),"OTHER")</f>
        <v/>
      </c>
      <c r="AP57" s="20">
        <f>IFERROR(INDEX(FHA_Lookup!$C$2:$C$11,MATCH(TRUE,ISNUMBER(SEARCH(FHA_Lookup!$A$2:$A$11,UPPER(SUBSTITUTE(O57," ","")))),0)),"OTHER")</f>
        <v/>
      </c>
      <c r="AQ57" s="20">
        <f>IF(AP57="NC",1,0)</f>
        <v/>
      </c>
      <c r="AR57" s="20">
        <f>IF(UPPER(TRIM(P57))="AFF",1,0)</f>
        <v/>
      </c>
      <c r="AS57" s="20">
        <f>IF(UPPER(TRIM(P57))="BAF",1,0)</f>
        <v/>
      </c>
      <c r="AT57" s="20">
        <f>IF(UPPER(TRIM(P57))="MKT",1,0)</f>
        <v/>
      </c>
      <c r="AU57" s="20">
        <f>IF(AO57="221d4",1,0)</f>
        <v/>
      </c>
      <c r="AV57" s="20">
        <f>IF(AO57="223a7",1,0)</f>
        <v/>
      </c>
      <c r="AW57" s="20">
        <f>IF(AO57="232",1,0)</f>
        <v/>
      </c>
      <c r="AX57" s="20">
        <f>IF(AO57="538",1,0)</f>
        <v/>
      </c>
      <c r="AY57" s="20">
        <f>IF(AO57="241",1,0)</f>
        <v/>
      </c>
      <c r="AZ57" s="20">
        <f>IF(AO57="220",1,0)</f>
        <v/>
      </c>
      <c r="BA57" s="20">
        <f>IF(AO57="OTHER",1,0)</f>
        <v/>
      </c>
      <c r="BB57" s="20">
        <f>IF(UPPER(TRIM(C57))="LM",1,0)</f>
        <v/>
      </c>
      <c r="BC57" s="20">
        <f>IF(UPPER(TRIM(C57))="PN",1,0)</f>
        <v/>
      </c>
      <c r="BD57" s="20">
        <f>IF(UPPER(TRIM(C57))="LS",1,0)</f>
        <v/>
      </c>
      <c r="BE57" s="20">
        <f>IF(UPPER(TRIM(C57))="RX",1,0)</f>
        <v/>
      </c>
      <c r="BF57" s="22">
        <f>IFERROR((Parameters!$C$6*AM57+Parameters!$C$7*MAX(AM57-(-150),0)+Parameters!$C$8*MAX(AM57-(-50),0)+Parameters!$C$9*MAX(AM57-(0),0)+Parameters!$C$10*MAX(AM57-(50),0)+Parameters!$C$11*MAX(AM57-(100),0)+Parameters!$C$12*MAX(AM57-(150),0)+Parameters!$C$13*MAX(AM57-(250),0)),0)</f>
        <v/>
      </c>
      <c r="BG57" s="22">
        <f>IFERROR((Parameters!$C$14*AA57+Parameters!$C$15*MAX(AA57-(12),0)+Parameters!$C$16*MAX(AA57-(36),0)+Parameters!$C$17*MAX(AA57-(60),0)+Parameters!$C$18*MAX(AA57-(84),0)+Parameters!$C$19*MAX(AA57-(120),0)+Parameters!$C$20*MAX(AA57-(180),0)),0)</f>
        <v/>
      </c>
      <c r="BH57" s="22">
        <f>IFERROR((Parameters!$C$21*AK57+Parameters!$C$22*MAX(AK57-(0),0)+Parameters!$C$23*MAX(AK57-(2),0)+Parameters!$C$24*MAX(AK57-(5),0)+Parameters!$C$25*MAX(AK57-(8),0)),0)</f>
        <v/>
      </c>
      <c r="BI57" s="22">
        <f>IFERROR((Parameters!$C$26*AI57+Parameters!$C$27*MAX(AI57-(-100),0)+Parameters!$C$28*MAX(AI57-(-25),0)+Parameters!$C$29*MAX(AI57-(25),0)+Parameters!$C$30*MAX(AI57-(100),0)),0)</f>
        <v/>
      </c>
      <c r="BJ57" s="22">
        <f>IFERROR((Parameters!$C$31*AN57+Parameters!$C$32*MAX(AN57-(2),0)+Parameters!$C$33*MAX(AN57-(10),0)+Parameters!$C$34*MAX(AN57-(25),0)),0)</f>
        <v/>
      </c>
      <c r="BK57" s="22">
        <f>IFERROR((Parameters!$C$35*AB57+Parameters!$C$36*MAX(AB57-(12),0)+Parameters!$C$37*MAX(AB57-(24),0)+Parameters!$C$38*MAX(AB57-(60),0)),0)</f>
        <v/>
      </c>
      <c r="BL57" s="22">
        <f>IFERROR((Parameters!$C$39*AC57+Parameters!$C$40*MAX(AC57-(6),0)+Parameters!$C$41*MAX(AC57-(12),0)+Parameters!$C$42*MAX(AC57-(24),0)),0)</f>
        <v/>
      </c>
      <c r="BM57" s="22">
        <f>IFERROR(Parameters!$C$43*(MAX(AM57,0)*MIN(MAX(AK57,0),10))/100,0)</f>
        <v/>
      </c>
      <c r="BN57" s="22">
        <f>Parameters!$C$44*AE57</f>
        <v/>
      </c>
      <c r="BO57" s="22">
        <f>Parameters!$C$45*AU57 + Parameters!$C$46*AV57 + Parameters!$C$47*AW57 + Parameters!$C$48*AX57 + Parameters!$C$49*AY57 + Parameters!$C$50*AZ57 + Parameters!$C$51*BA57</f>
        <v/>
      </c>
      <c r="BP57" s="22">
        <f>Parameters!$C$52*AQ57</f>
        <v/>
      </c>
      <c r="BQ57" s="22">
        <f>Parameters!$C$53*AR57+Parameters!$C$54*AS57+Parameters!$C$55*AT57</f>
        <v/>
      </c>
      <c r="BR57" s="22">
        <f>Parameters!$C$56*BB57+Parameters!$C$57*BC57+Parameters!$C$58*BD57+Parameters!$C$59*BE57</f>
        <v/>
      </c>
      <c r="BS57" s="23">
        <f>Parameters!$B$2</f>
        <v/>
      </c>
      <c r="BT57" s="23">
        <f>BS57+BF57 + BG57 + BH57 + BI57 + BJ57 + BK57 + BL57 + BM57 + BN57 + BO57 + BP57 + BQ57 + BR57</f>
        <v/>
      </c>
      <c r="BU57" s="24">
        <f>IF(AD57=1,0,1/(1+EXP(-BT57))*Parameters!$B$3)</f>
        <v/>
      </c>
      <c r="BV57" s="25">
        <f>(1-(1-BU57)^12)*100</f>
        <v/>
      </c>
      <c r="BW57" s="25">
        <f>IF(AD57=1,0,(1-(1-1/(1+EXP(-Parameters!$B$2)))^12)*100)</f>
        <v/>
      </c>
      <c r="BX57" s="25">
        <f>IF(AD57=1,0,BV57-(1-(1-(1/(1+EXP(-(BT57-BF57)))*Parameters!$B$3))^12)*100)</f>
        <v/>
      </c>
      <c r="BY57" s="25">
        <f>IF(AD57=1,0,BV57-(1-(1-(1/(1+EXP(-(BT57-BG57)))*Parameters!$B$3))^12)*100)</f>
        <v/>
      </c>
      <c r="BZ57" s="25">
        <f>IF(AD57=1,0,BV57-(1-(1-(1/(1+EXP(-(BT57-BH57)))*Parameters!$B$3))^12)*100)</f>
        <v/>
      </c>
      <c r="CA57" s="25">
        <f>IF(AD57=1,0,BV57-(1-(1-(1/(1+EXP(-(BT57-BI57)))*Parameters!$B$3))^12)*100)</f>
        <v/>
      </c>
      <c r="CB57" s="25">
        <f>IF(AD57=1,0,BV57-(1-(1-(1/(1+EXP(-(BT57-BJ57)))*Parameters!$B$3))^12)*100)</f>
        <v/>
      </c>
      <c r="CC57" s="25">
        <f>IF(AD57=1,0,BV57-(1-(1-(1/(1+EXP(-(BT57-BK57)))*Parameters!$B$3))^12)*100)</f>
        <v/>
      </c>
      <c r="CD57" s="25">
        <f>IF(AD57=1,0,BV57-(1-(1-(1/(1+EXP(-(BT57-BL57)))*Parameters!$B$3))^12)*100)</f>
        <v/>
      </c>
      <c r="CE57" s="25">
        <f>IF(AD57=1,0,BV57-(1-(1-(1/(1+EXP(-(BT57-BM57)))*Parameters!$B$3))^12)*100)</f>
        <v/>
      </c>
      <c r="CF57" s="25">
        <f>IF(AD57=1,0,BV57-(1-(1-(1/(1+EXP(-(BT57-BN57)))*Parameters!$B$3))^12)*100)</f>
        <v/>
      </c>
      <c r="CG57" s="25">
        <f>IF(AD57=1,0,BV57-(1-(1-(1/(1+EXP(-(BT57-BO57)))*Parameters!$B$3))^12)*100)</f>
        <v/>
      </c>
      <c r="CH57" s="25">
        <f>IF(AD57=1,0,BV57-(1-(1-(1/(1+EXP(-(BT57-BP57)))*Parameters!$B$3))^12)*100)</f>
        <v/>
      </c>
      <c r="CI57" s="25">
        <f>IF(AD57=1,0,BV57-(1-(1-(1/(1+EXP(-(BT57-BQ57)))*Parameters!$B$3))^12)*100)</f>
        <v/>
      </c>
      <c r="CJ57" s="25">
        <f>IF(AD57=1,0,BV57-(1-(1-(1/(1+EXP(-(BT57-BR57)))*Parameters!$B$3))^12)*100)</f>
        <v/>
      </c>
    </row>
    <row r="58">
      <c r="A58" s="17" t="inlineStr">
        <is>
          <t>GNR_2014_SEASONED</t>
        </is>
      </c>
      <c r="B58" s="17" t="inlineStr">
        <is>
          <t>36183YAC2</t>
        </is>
      </c>
      <c r="C58" s="17" t="inlineStr">
        <is>
          <t>PN</t>
        </is>
      </c>
      <c r="D58" s="17" t="inlineStr">
        <is>
          <t>MERCHANTS CAPITAL CORP.</t>
        </is>
      </c>
      <c r="E58" s="17" t="inlineStr">
        <is>
          <t>36183YAC2_000000012635312</t>
        </is>
      </c>
      <c r="F58" s="17" t="n">
        <v>202603</v>
      </c>
      <c r="G58" s="18" t="n">
        <v>2.5</v>
      </c>
      <c r="H58" s="19" t="n">
        <v>24924211.01</v>
      </c>
      <c r="I58" s="17" t="n">
        <v>480</v>
      </c>
      <c r="J58" s="17" t="n">
        <v>20150601</v>
      </c>
      <c r="K58" s="17" t="n">
        <v>20570201</v>
      </c>
      <c r="L58" s="17" t="n"/>
      <c r="M58" s="17" t="n">
        <v>20270401</v>
      </c>
      <c r="N58" s="17" t="n">
        <v>8</v>
      </c>
      <c r="O58" s="17" t="inlineStr">
        <is>
          <t>221(D)(4)</t>
        </is>
      </c>
      <c r="P58" s="17" t="inlineStr">
        <is>
          <t>MKT</t>
        </is>
      </c>
      <c r="Q58" s="17" t="n"/>
      <c r="R58" s="17" t="n"/>
      <c r="S58" s="17" t="n"/>
      <c r="T58" s="17" t="inlineStr">
        <is>
          <t>OR</t>
        </is>
      </c>
      <c r="U58" s="17" t="n">
        <v>236</v>
      </c>
      <c r="V58" s="17" t="n">
        <v>490.5</v>
      </c>
      <c r="W58" s="17" t="n">
        <v>129</v>
      </c>
      <c r="X58" s="17" t="n">
        <v>2015</v>
      </c>
      <c r="Y58" s="17" t="n">
        <v>-105</v>
      </c>
      <c r="Z58" s="17" t="n">
        <v>1.08</v>
      </c>
      <c r="AA58" s="20">
        <f>IF(ISNUMBER(W58),W58,IFERROR(MAX(0,(VALUE(LEFT(F58,4))-VALUE(LEFT(TEXT(J58,"00000000"),4)))*12+(VALUE(MID(F58,5,2))-VALUE(MID(TEXT(J58,"00000000"),5,2)))),""))</f>
        <v/>
      </c>
      <c r="AB58" s="20">
        <f>IFERROR((VALUE(LEFT(TEXT(K58,"00000000"),4))-VALUE(LEFT(F58,4)))*12+(VALUE(MID(TEXT(K58,"00000000"),5,2))-VALUE(MID(F58,5,2))),"")</f>
        <v/>
      </c>
      <c r="AC58" s="20">
        <f>IF(OR(L58="",NOT(ISNUMBER(L58))),0,MAX(0,MIN(60,(VALUE(LEFT(F58,4))-VALUE(LEFT(TEXT(L58,"00000000"),4)))*12+(VALUE(MID(F58,5,2))-VALUE(MID(TEXT(L58,"00000000"),5,2))))))</f>
        <v/>
      </c>
      <c r="AD58" s="20">
        <f>IF(OR(L58="",NOT(ISNUMBER(L58))),0,IF(VALUE(F58)&lt;VALUE(LEFT(TEXT(L58,"00000000"),6)),1,0))</f>
        <v/>
      </c>
      <c r="AE58" s="20">
        <f>IF(OR(M58="",NOT(ISNUMBER(M58))),0,IF(VALUE(F58)&lt;VALUE(LEFT(TEXT(M58,"00000000"),6)),1,0))</f>
        <v/>
      </c>
      <c r="AF58" s="20">
        <f>IF(AND(AD58=0,AE58=0),1,0)</f>
        <v/>
      </c>
      <c r="AG58" s="20">
        <f>IF(ISNUMBER(X58),X58,IFERROR(VALUE(LEFT(TEXT(J58,"00000000"),4)),""))</f>
        <v/>
      </c>
      <c r="AH58" s="20">
        <f>IFERROR(XLOOKUP(AG58,Vintage_Rates!$A$2:$A$1000,Vintage_Rates!$B$2:$B$1000,""),"")</f>
        <v/>
      </c>
      <c r="AI58" s="20">
        <f>IF(ISNUMBER(Y58),Y58,IFERROR((G58-AH58)*100,""))</f>
        <v/>
      </c>
      <c r="AJ58" s="20">
        <f>IF(ISNUMBER(V58),V58,IFERROR(XLOOKUP(VALUE(F58),PLC_Rates!$A$2:$A$1000,PLC_Rates!$B$2:$B$1000,""),""))</f>
        <v/>
      </c>
      <c r="AK58" s="20">
        <f>IF(ISNUMBER(Z58),Z58,IF(AE58=0,0,MAX(0,MIN(10,((VALUE(LEFT(TEXT(M58,"00000000"),4))-VALUE(LEFT(F58,4)))*12+(VALUE(MID(TEXT(M58,"00000000"),5,2))-VALUE(MID(F58,5,2))))/12))))</f>
        <v/>
      </c>
      <c r="AL58" s="20">
        <f>IFERROR(G58*100-AJ58,"")</f>
        <v/>
      </c>
      <c r="AM58" s="20">
        <f>IFERROR(G58*100-(AJ58+(1+AK58)*12.5),"")</f>
        <v/>
      </c>
      <c r="AN58" s="21">
        <f>IFERROR(MIN(H58/1000000,100),"")</f>
        <v/>
      </c>
      <c r="AO58" s="20">
        <f>IFERROR(INDEX(FHA_Lookup!$B$2:$B$11,MATCH(TRUE,ISNUMBER(SEARCH(FHA_Lookup!$A$2:$A$11,UPPER(SUBSTITUTE(O58," ","")))),0)),"OTHER")</f>
        <v/>
      </c>
      <c r="AP58" s="20">
        <f>IFERROR(INDEX(FHA_Lookup!$C$2:$C$11,MATCH(TRUE,ISNUMBER(SEARCH(FHA_Lookup!$A$2:$A$11,UPPER(SUBSTITUTE(O58," ","")))),0)),"OTHER")</f>
        <v/>
      </c>
      <c r="AQ58" s="20">
        <f>IF(AP58="NC",1,0)</f>
        <v/>
      </c>
      <c r="AR58" s="20">
        <f>IF(UPPER(TRIM(P58))="AFF",1,0)</f>
        <v/>
      </c>
      <c r="AS58" s="20">
        <f>IF(UPPER(TRIM(P58))="BAF",1,0)</f>
        <v/>
      </c>
      <c r="AT58" s="20">
        <f>IF(UPPER(TRIM(P58))="MKT",1,0)</f>
        <v/>
      </c>
      <c r="AU58" s="20">
        <f>IF(AO58="221d4",1,0)</f>
        <v/>
      </c>
      <c r="AV58" s="20">
        <f>IF(AO58="223a7",1,0)</f>
        <v/>
      </c>
      <c r="AW58" s="20">
        <f>IF(AO58="232",1,0)</f>
        <v/>
      </c>
      <c r="AX58" s="20">
        <f>IF(AO58="538",1,0)</f>
        <v/>
      </c>
      <c r="AY58" s="20">
        <f>IF(AO58="241",1,0)</f>
        <v/>
      </c>
      <c r="AZ58" s="20">
        <f>IF(AO58="220",1,0)</f>
        <v/>
      </c>
      <c r="BA58" s="20">
        <f>IF(AO58="OTHER",1,0)</f>
        <v/>
      </c>
      <c r="BB58" s="20">
        <f>IF(UPPER(TRIM(C58))="LM",1,0)</f>
        <v/>
      </c>
      <c r="BC58" s="20">
        <f>IF(UPPER(TRIM(C58))="PN",1,0)</f>
        <v/>
      </c>
      <c r="BD58" s="20">
        <f>IF(UPPER(TRIM(C58))="LS",1,0)</f>
        <v/>
      </c>
      <c r="BE58" s="20">
        <f>IF(UPPER(TRIM(C58))="RX",1,0)</f>
        <v/>
      </c>
      <c r="BF58" s="22">
        <f>IFERROR((Parameters!$C$6*AM58+Parameters!$C$7*MAX(AM58-(-150),0)+Parameters!$C$8*MAX(AM58-(-50),0)+Parameters!$C$9*MAX(AM58-(0),0)+Parameters!$C$10*MAX(AM58-(50),0)+Parameters!$C$11*MAX(AM58-(100),0)+Parameters!$C$12*MAX(AM58-(150),0)+Parameters!$C$13*MAX(AM58-(250),0)),0)</f>
        <v/>
      </c>
      <c r="BG58" s="22">
        <f>IFERROR((Parameters!$C$14*AA58+Parameters!$C$15*MAX(AA58-(12),0)+Parameters!$C$16*MAX(AA58-(36),0)+Parameters!$C$17*MAX(AA58-(60),0)+Parameters!$C$18*MAX(AA58-(84),0)+Parameters!$C$19*MAX(AA58-(120),0)+Parameters!$C$20*MAX(AA58-(180),0)),0)</f>
        <v/>
      </c>
      <c r="BH58" s="22">
        <f>IFERROR((Parameters!$C$21*AK58+Parameters!$C$22*MAX(AK58-(0),0)+Parameters!$C$23*MAX(AK58-(2),0)+Parameters!$C$24*MAX(AK58-(5),0)+Parameters!$C$25*MAX(AK58-(8),0)),0)</f>
        <v/>
      </c>
      <c r="BI58" s="22">
        <f>IFERROR((Parameters!$C$26*AI58+Parameters!$C$27*MAX(AI58-(-100),0)+Parameters!$C$28*MAX(AI58-(-25),0)+Parameters!$C$29*MAX(AI58-(25),0)+Parameters!$C$30*MAX(AI58-(100),0)),0)</f>
        <v/>
      </c>
      <c r="BJ58" s="22">
        <f>IFERROR((Parameters!$C$31*AN58+Parameters!$C$32*MAX(AN58-(2),0)+Parameters!$C$33*MAX(AN58-(10),0)+Parameters!$C$34*MAX(AN58-(25),0)),0)</f>
        <v/>
      </c>
      <c r="BK58" s="22">
        <f>IFERROR((Parameters!$C$35*AB58+Parameters!$C$36*MAX(AB58-(12),0)+Parameters!$C$37*MAX(AB58-(24),0)+Parameters!$C$38*MAX(AB58-(60),0)),0)</f>
        <v/>
      </c>
      <c r="BL58" s="22">
        <f>IFERROR((Parameters!$C$39*AC58+Parameters!$C$40*MAX(AC58-(6),0)+Parameters!$C$41*MAX(AC58-(12),0)+Parameters!$C$42*MAX(AC58-(24),0)),0)</f>
        <v/>
      </c>
      <c r="BM58" s="22">
        <f>IFERROR(Parameters!$C$43*(MAX(AM58,0)*MIN(MAX(AK58,0),10))/100,0)</f>
        <v/>
      </c>
      <c r="BN58" s="22">
        <f>Parameters!$C$44*AE58</f>
        <v/>
      </c>
      <c r="BO58" s="22">
        <f>Parameters!$C$45*AU58 + Parameters!$C$46*AV58 + Parameters!$C$47*AW58 + Parameters!$C$48*AX58 + Parameters!$C$49*AY58 + Parameters!$C$50*AZ58 + Parameters!$C$51*BA58</f>
        <v/>
      </c>
      <c r="BP58" s="22">
        <f>Parameters!$C$52*AQ58</f>
        <v/>
      </c>
      <c r="BQ58" s="22">
        <f>Parameters!$C$53*AR58+Parameters!$C$54*AS58+Parameters!$C$55*AT58</f>
        <v/>
      </c>
      <c r="BR58" s="22">
        <f>Parameters!$C$56*BB58+Parameters!$C$57*BC58+Parameters!$C$58*BD58+Parameters!$C$59*BE58</f>
        <v/>
      </c>
      <c r="BS58" s="23">
        <f>Parameters!$B$2</f>
        <v/>
      </c>
      <c r="BT58" s="23">
        <f>BS58+BF58 + BG58 + BH58 + BI58 + BJ58 + BK58 + BL58 + BM58 + BN58 + BO58 + BP58 + BQ58 + BR58</f>
        <v/>
      </c>
      <c r="BU58" s="24">
        <f>IF(AD58=1,0,1/(1+EXP(-BT58))*Parameters!$B$3)</f>
        <v/>
      </c>
      <c r="BV58" s="25">
        <f>(1-(1-BU58)^12)*100</f>
        <v/>
      </c>
      <c r="BW58" s="25">
        <f>IF(AD58=1,0,(1-(1-1/(1+EXP(-Parameters!$B$2)))^12)*100)</f>
        <v/>
      </c>
      <c r="BX58" s="25">
        <f>IF(AD58=1,0,BV58-(1-(1-(1/(1+EXP(-(BT58-BF58)))*Parameters!$B$3))^12)*100)</f>
        <v/>
      </c>
      <c r="BY58" s="25">
        <f>IF(AD58=1,0,BV58-(1-(1-(1/(1+EXP(-(BT58-BG58)))*Parameters!$B$3))^12)*100)</f>
        <v/>
      </c>
      <c r="BZ58" s="25">
        <f>IF(AD58=1,0,BV58-(1-(1-(1/(1+EXP(-(BT58-BH58)))*Parameters!$B$3))^12)*100)</f>
        <v/>
      </c>
      <c r="CA58" s="25">
        <f>IF(AD58=1,0,BV58-(1-(1-(1/(1+EXP(-(BT58-BI58)))*Parameters!$B$3))^12)*100)</f>
        <v/>
      </c>
      <c r="CB58" s="25">
        <f>IF(AD58=1,0,BV58-(1-(1-(1/(1+EXP(-(BT58-BJ58)))*Parameters!$B$3))^12)*100)</f>
        <v/>
      </c>
      <c r="CC58" s="25">
        <f>IF(AD58=1,0,BV58-(1-(1-(1/(1+EXP(-(BT58-BK58)))*Parameters!$B$3))^12)*100)</f>
        <v/>
      </c>
      <c r="CD58" s="25">
        <f>IF(AD58=1,0,BV58-(1-(1-(1/(1+EXP(-(BT58-BL58)))*Parameters!$B$3))^12)*100)</f>
        <v/>
      </c>
      <c r="CE58" s="25">
        <f>IF(AD58=1,0,BV58-(1-(1-(1/(1+EXP(-(BT58-BM58)))*Parameters!$B$3))^12)*100)</f>
        <v/>
      </c>
      <c r="CF58" s="25">
        <f>IF(AD58=1,0,BV58-(1-(1-(1/(1+EXP(-(BT58-BN58)))*Parameters!$B$3))^12)*100)</f>
        <v/>
      </c>
      <c r="CG58" s="25">
        <f>IF(AD58=1,0,BV58-(1-(1-(1/(1+EXP(-(BT58-BO58)))*Parameters!$B$3))^12)*100)</f>
        <v/>
      </c>
      <c r="CH58" s="25">
        <f>IF(AD58=1,0,BV58-(1-(1-(1/(1+EXP(-(BT58-BP58)))*Parameters!$B$3))^12)*100)</f>
        <v/>
      </c>
      <c r="CI58" s="25">
        <f>IF(AD58=1,0,BV58-(1-(1-(1/(1+EXP(-(BT58-BQ58)))*Parameters!$B$3))^12)*100)</f>
        <v/>
      </c>
      <c r="CJ58" s="25">
        <f>IF(AD58=1,0,BV58-(1-(1-(1/(1+EXP(-(BT58-BR58)))*Parameters!$B$3))^12)*100)</f>
        <v/>
      </c>
    </row>
    <row r="59">
      <c r="A59" s="17" t="inlineStr">
        <is>
          <t>GNR_2014_SEASONED</t>
        </is>
      </c>
      <c r="B59" s="17" t="inlineStr">
        <is>
          <t>36180KXA4</t>
        </is>
      </c>
      <c r="C59" s="17" t="inlineStr">
        <is>
          <t>PN</t>
        </is>
      </c>
      <c r="D59" s="17" t="inlineStr">
        <is>
          <t>GRANDBRIDGE REAL ESTATE CAPITAL, LLC</t>
        </is>
      </c>
      <c r="E59" s="17" t="inlineStr">
        <is>
          <t>36180KXA4_000000006211190</t>
        </is>
      </c>
      <c r="F59" s="17" t="n">
        <v>202603</v>
      </c>
      <c r="G59" s="18" t="n">
        <v>4.2</v>
      </c>
      <c r="H59" s="19" t="n">
        <v>1894382.24</v>
      </c>
      <c r="I59" s="17" t="n">
        <v>420</v>
      </c>
      <c r="J59" s="17" t="n">
        <v>20140301</v>
      </c>
      <c r="K59" s="17" t="n">
        <v>20490401</v>
      </c>
      <c r="L59" s="17" t="n">
        <v>20160501</v>
      </c>
      <c r="M59" s="17" t="n">
        <v>20240501</v>
      </c>
      <c r="N59" s="17" t="n">
        <v>8</v>
      </c>
      <c r="O59" s="17" t="inlineStr">
        <is>
          <t>223(f)</t>
        </is>
      </c>
      <c r="P59" s="17" t="inlineStr">
        <is>
          <t>MKT</t>
        </is>
      </c>
      <c r="Q59" s="17" t="n"/>
      <c r="R59" s="17" t="n"/>
      <c r="S59" s="17" t="n"/>
      <c r="T59" s="17" t="inlineStr">
        <is>
          <t>AL</t>
        </is>
      </c>
      <c r="U59" s="17" t="n">
        <v>53</v>
      </c>
      <c r="V59" s="17" t="n">
        <v>490.5</v>
      </c>
      <c r="W59" s="17" t="n">
        <v>144</v>
      </c>
      <c r="X59" s="17" t="n">
        <v>2014</v>
      </c>
      <c r="Y59" s="17" t="n">
        <v>35</v>
      </c>
      <c r="Z59" s="17" t="n">
        <v>0</v>
      </c>
      <c r="AA59" s="20">
        <f>IF(ISNUMBER(W59),W59,IFERROR(MAX(0,(VALUE(LEFT(F59,4))-VALUE(LEFT(TEXT(J59,"00000000"),4)))*12+(VALUE(MID(F59,5,2))-VALUE(MID(TEXT(J59,"00000000"),5,2)))),""))</f>
        <v/>
      </c>
      <c r="AB59" s="20">
        <f>IFERROR((VALUE(LEFT(TEXT(K59,"00000000"),4))-VALUE(LEFT(F59,4)))*12+(VALUE(MID(TEXT(K59,"00000000"),5,2))-VALUE(MID(F59,5,2))),"")</f>
        <v/>
      </c>
      <c r="AC59" s="20">
        <f>IF(OR(L59="",NOT(ISNUMBER(L59))),0,MAX(0,MIN(60,(VALUE(LEFT(F59,4))-VALUE(LEFT(TEXT(L59,"00000000"),4)))*12+(VALUE(MID(F59,5,2))-VALUE(MID(TEXT(L59,"00000000"),5,2))))))</f>
        <v/>
      </c>
      <c r="AD59" s="20">
        <f>IF(OR(L59="",NOT(ISNUMBER(L59))),0,IF(VALUE(F59)&lt;VALUE(LEFT(TEXT(L59,"00000000"),6)),1,0))</f>
        <v/>
      </c>
      <c r="AE59" s="20">
        <f>IF(OR(M59="",NOT(ISNUMBER(M59))),0,IF(VALUE(F59)&lt;VALUE(LEFT(TEXT(M59,"00000000"),6)),1,0))</f>
        <v/>
      </c>
      <c r="AF59" s="20">
        <f>IF(AND(AD59=0,AE59=0),1,0)</f>
        <v/>
      </c>
      <c r="AG59" s="20">
        <f>IF(ISNUMBER(X59),X59,IFERROR(VALUE(LEFT(TEXT(J59,"00000000"),4)),""))</f>
        <v/>
      </c>
      <c r="AH59" s="20">
        <f>IFERROR(XLOOKUP(AG59,Vintage_Rates!$A$2:$A$1000,Vintage_Rates!$B$2:$B$1000,""),"")</f>
        <v/>
      </c>
      <c r="AI59" s="20">
        <f>IF(ISNUMBER(Y59),Y59,IFERROR((G59-AH59)*100,""))</f>
        <v/>
      </c>
      <c r="AJ59" s="20">
        <f>IF(ISNUMBER(V59),V59,IFERROR(XLOOKUP(VALUE(F59),PLC_Rates!$A$2:$A$1000,PLC_Rates!$B$2:$B$1000,""),""))</f>
        <v/>
      </c>
      <c r="AK59" s="20">
        <f>IF(ISNUMBER(Z59),Z59,IF(AE59=0,0,MAX(0,MIN(10,((VALUE(LEFT(TEXT(M59,"00000000"),4))-VALUE(LEFT(F59,4)))*12+(VALUE(MID(TEXT(M59,"00000000"),5,2))-VALUE(MID(F59,5,2))))/12))))</f>
        <v/>
      </c>
      <c r="AL59" s="20">
        <f>IFERROR(G59*100-AJ59,"")</f>
        <v/>
      </c>
      <c r="AM59" s="20">
        <f>IFERROR(G59*100-(AJ59+(1+AK59)*12.5),"")</f>
        <v/>
      </c>
      <c r="AN59" s="21">
        <f>IFERROR(MIN(H59/1000000,100),"")</f>
        <v/>
      </c>
      <c r="AO59" s="20">
        <f>IFERROR(INDEX(FHA_Lookup!$B$2:$B$11,MATCH(TRUE,ISNUMBER(SEARCH(FHA_Lookup!$A$2:$A$11,UPPER(SUBSTITUTE(O59," ","")))),0)),"OTHER")</f>
        <v/>
      </c>
      <c r="AP59" s="20">
        <f>IFERROR(INDEX(FHA_Lookup!$C$2:$C$11,MATCH(TRUE,ISNUMBER(SEARCH(FHA_Lookup!$A$2:$A$11,UPPER(SUBSTITUTE(O59," ","")))),0)),"OTHER")</f>
        <v/>
      </c>
      <c r="AQ59" s="20">
        <f>IF(AP59="NC",1,0)</f>
        <v/>
      </c>
      <c r="AR59" s="20">
        <f>IF(UPPER(TRIM(P59))="AFF",1,0)</f>
        <v/>
      </c>
      <c r="AS59" s="20">
        <f>IF(UPPER(TRIM(P59))="BAF",1,0)</f>
        <v/>
      </c>
      <c r="AT59" s="20">
        <f>IF(UPPER(TRIM(P59))="MKT",1,0)</f>
        <v/>
      </c>
      <c r="AU59" s="20">
        <f>IF(AO59="221d4",1,0)</f>
        <v/>
      </c>
      <c r="AV59" s="20">
        <f>IF(AO59="223a7",1,0)</f>
        <v/>
      </c>
      <c r="AW59" s="20">
        <f>IF(AO59="232",1,0)</f>
        <v/>
      </c>
      <c r="AX59" s="20">
        <f>IF(AO59="538",1,0)</f>
        <v/>
      </c>
      <c r="AY59" s="20">
        <f>IF(AO59="241",1,0)</f>
        <v/>
      </c>
      <c r="AZ59" s="20">
        <f>IF(AO59="220",1,0)</f>
        <v/>
      </c>
      <c r="BA59" s="20">
        <f>IF(AO59="OTHER",1,0)</f>
        <v/>
      </c>
      <c r="BB59" s="20">
        <f>IF(UPPER(TRIM(C59))="LM",1,0)</f>
        <v/>
      </c>
      <c r="BC59" s="20">
        <f>IF(UPPER(TRIM(C59))="PN",1,0)</f>
        <v/>
      </c>
      <c r="BD59" s="20">
        <f>IF(UPPER(TRIM(C59))="LS",1,0)</f>
        <v/>
      </c>
      <c r="BE59" s="20">
        <f>IF(UPPER(TRIM(C59))="RX",1,0)</f>
        <v/>
      </c>
      <c r="BF59" s="22">
        <f>IFERROR((Parameters!$C$6*AM59+Parameters!$C$7*MAX(AM59-(-150),0)+Parameters!$C$8*MAX(AM59-(-50),0)+Parameters!$C$9*MAX(AM59-(0),0)+Parameters!$C$10*MAX(AM59-(50),0)+Parameters!$C$11*MAX(AM59-(100),0)+Parameters!$C$12*MAX(AM59-(150),0)+Parameters!$C$13*MAX(AM59-(250),0)),0)</f>
        <v/>
      </c>
      <c r="BG59" s="22">
        <f>IFERROR((Parameters!$C$14*AA59+Parameters!$C$15*MAX(AA59-(12),0)+Parameters!$C$16*MAX(AA59-(36),0)+Parameters!$C$17*MAX(AA59-(60),0)+Parameters!$C$18*MAX(AA59-(84),0)+Parameters!$C$19*MAX(AA59-(120),0)+Parameters!$C$20*MAX(AA59-(180),0)),0)</f>
        <v/>
      </c>
      <c r="BH59" s="22">
        <f>IFERROR((Parameters!$C$21*AK59+Parameters!$C$22*MAX(AK59-(0),0)+Parameters!$C$23*MAX(AK59-(2),0)+Parameters!$C$24*MAX(AK59-(5),0)+Parameters!$C$25*MAX(AK59-(8),0)),0)</f>
        <v/>
      </c>
      <c r="BI59" s="22">
        <f>IFERROR((Parameters!$C$26*AI59+Parameters!$C$27*MAX(AI59-(-100),0)+Parameters!$C$28*MAX(AI59-(-25),0)+Parameters!$C$29*MAX(AI59-(25),0)+Parameters!$C$30*MAX(AI59-(100),0)),0)</f>
        <v/>
      </c>
      <c r="BJ59" s="22">
        <f>IFERROR((Parameters!$C$31*AN59+Parameters!$C$32*MAX(AN59-(2),0)+Parameters!$C$33*MAX(AN59-(10),0)+Parameters!$C$34*MAX(AN59-(25),0)),0)</f>
        <v/>
      </c>
      <c r="BK59" s="22">
        <f>IFERROR((Parameters!$C$35*AB59+Parameters!$C$36*MAX(AB59-(12),0)+Parameters!$C$37*MAX(AB59-(24),0)+Parameters!$C$38*MAX(AB59-(60),0)),0)</f>
        <v/>
      </c>
      <c r="BL59" s="22">
        <f>IFERROR((Parameters!$C$39*AC59+Parameters!$C$40*MAX(AC59-(6),0)+Parameters!$C$41*MAX(AC59-(12),0)+Parameters!$C$42*MAX(AC59-(24),0)),0)</f>
        <v/>
      </c>
      <c r="BM59" s="22">
        <f>IFERROR(Parameters!$C$43*(MAX(AM59,0)*MIN(MAX(AK59,0),10))/100,0)</f>
        <v/>
      </c>
      <c r="BN59" s="22">
        <f>Parameters!$C$44*AE59</f>
        <v/>
      </c>
      <c r="BO59" s="22">
        <f>Parameters!$C$45*AU59 + Parameters!$C$46*AV59 + Parameters!$C$47*AW59 + Parameters!$C$48*AX59 + Parameters!$C$49*AY59 + Parameters!$C$50*AZ59 + Parameters!$C$51*BA59</f>
        <v/>
      </c>
      <c r="BP59" s="22">
        <f>Parameters!$C$52*AQ59</f>
        <v/>
      </c>
      <c r="BQ59" s="22">
        <f>Parameters!$C$53*AR59+Parameters!$C$54*AS59+Parameters!$C$55*AT59</f>
        <v/>
      </c>
      <c r="BR59" s="22">
        <f>Parameters!$C$56*BB59+Parameters!$C$57*BC59+Parameters!$C$58*BD59+Parameters!$C$59*BE59</f>
        <v/>
      </c>
      <c r="BS59" s="23">
        <f>Parameters!$B$2</f>
        <v/>
      </c>
      <c r="BT59" s="23">
        <f>BS59+BF59 + BG59 + BH59 + BI59 + BJ59 + BK59 + BL59 + BM59 + BN59 + BO59 + BP59 + BQ59 + BR59</f>
        <v/>
      </c>
      <c r="BU59" s="24">
        <f>IF(AD59=1,0,1/(1+EXP(-BT59))*Parameters!$B$3)</f>
        <v/>
      </c>
      <c r="BV59" s="25">
        <f>(1-(1-BU59)^12)*100</f>
        <v/>
      </c>
      <c r="BW59" s="25">
        <f>IF(AD59=1,0,(1-(1-1/(1+EXP(-Parameters!$B$2)))^12)*100)</f>
        <v/>
      </c>
      <c r="BX59" s="25">
        <f>IF(AD59=1,0,BV59-(1-(1-(1/(1+EXP(-(BT59-BF59)))*Parameters!$B$3))^12)*100)</f>
        <v/>
      </c>
      <c r="BY59" s="25">
        <f>IF(AD59=1,0,BV59-(1-(1-(1/(1+EXP(-(BT59-BG59)))*Parameters!$B$3))^12)*100)</f>
        <v/>
      </c>
      <c r="BZ59" s="25">
        <f>IF(AD59=1,0,BV59-(1-(1-(1/(1+EXP(-(BT59-BH59)))*Parameters!$B$3))^12)*100)</f>
        <v/>
      </c>
      <c r="CA59" s="25">
        <f>IF(AD59=1,0,BV59-(1-(1-(1/(1+EXP(-(BT59-BI59)))*Parameters!$B$3))^12)*100)</f>
        <v/>
      </c>
      <c r="CB59" s="25">
        <f>IF(AD59=1,0,BV59-(1-(1-(1/(1+EXP(-(BT59-BJ59)))*Parameters!$B$3))^12)*100)</f>
        <v/>
      </c>
      <c r="CC59" s="25">
        <f>IF(AD59=1,0,BV59-(1-(1-(1/(1+EXP(-(BT59-BK59)))*Parameters!$B$3))^12)*100)</f>
        <v/>
      </c>
      <c r="CD59" s="25">
        <f>IF(AD59=1,0,BV59-(1-(1-(1/(1+EXP(-(BT59-BL59)))*Parameters!$B$3))^12)*100)</f>
        <v/>
      </c>
      <c r="CE59" s="25">
        <f>IF(AD59=1,0,BV59-(1-(1-(1/(1+EXP(-(BT59-BM59)))*Parameters!$B$3))^12)*100)</f>
        <v/>
      </c>
      <c r="CF59" s="25">
        <f>IF(AD59=1,0,BV59-(1-(1-(1/(1+EXP(-(BT59-BN59)))*Parameters!$B$3))^12)*100)</f>
        <v/>
      </c>
      <c r="CG59" s="25">
        <f>IF(AD59=1,0,BV59-(1-(1-(1/(1+EXP(-(BT59-BO59)))*Parameters!$B$3))^12)*100)</f>
        <v/>
      </c>
      <c r="CH59" s="25">
        <f>IF(AD59=1,0,BV59-(1-(1-(1/(1+EXP(-(BT59-BP59)))*Parameters!$B$3))^12)*100)</f>
        <v/>
      </c>
      <c r="CI59" s="25">
        <f>IF(AD59=1,0,BV59-(1-(1-(1/(1+EXP(-(BT59-BQ59)))*Parameters!$B$3))^12)*100)</f>
        <v/>
      </c>
      <c r="CJ59" s="25">
        <f>IF(AD59=1,0,BV59-(1-(1-(1/(1+EXP(-(BT59-BR59)))*Parameters!$B$3))^12)*100)</f>
        <v/>
      </c>
    </row>
    <row r="60">
      <c r="A60" s="17" t="inlineStr">
        <is>
          <t>GNR_2014_SEASONED</t>
        </is>
      </c>
      <c r="B60" s="17" t="inlineStr">
        <is>
          <t>36178VQP9</t>
        </is>
      </c>
      <c r="C60" s="17" t="inlineStr">
        <is>
          <t>PN</t>
        </is>
      </c>
      <c r="D60" s="17" t="inlineStr">
        <is>
          <t>HIGHLAND COMMERCIAL MORTGAGE, LLC.</t>
        </is>
      </c>
      <c r="E60" s="17" t="inlineStr">
        <is>
          <t>36178VQP9_000000006211194</t>
        </is>
      </c>
      <c r="F60" s="17" t="n">
        <v>202603</v>
      </c>
      <c r="G60" s="18" t="n">
        <v>4</v>
      </c>
      <c r="H60" s="19" t="n">
        <v>1883919.46</v>
      </c>
      <c r="I60" s="17" t="n">
        <v>420</v>
      </c>
      <c r="J60" s="17" t="n">
        <v>20140430</v>
      </c>
      <c r="K60" s="17" t="n">
        <v>20490501</v>
      </c>
      <c r="L60" s="17" t="n"/>
      <c r="M60" s="17" t="n">
        <v>20240501</v>
      </c>
      <c r="N60" s="17" t="n">
        <v>10</v>
      </c>
      <c r="O60" s="17" t="inlineStr">
        <is>
          <t>223(F)</t>
        </is>
      </c>
      <c r="P60" s="17" t="inlineStr">
        <is>
          <t>MKT</t>
        </is>
      </c>
      <c r="Q60" s="17" t="n"/>
      <c r="R60" s="17" t="n"/>
      <c r="S60" s="17" t="n"/>
      <c r="T60" s="17" t="inlineStr">
        <is>
          <t>AL</t>
        </is>
      </c>
      <c r="U60" s="17" t="n">
        <v>160</v>
      </c>
      <c r="V60" s="17" t="n">
        <v>490.5</v>
      </c>
      <c r="W60" s="17" t="n">
        <v>143</v>
      </c>
      <c r="X60" s="17" t="n">
        <v>2014</v>
      </c>
      <c r="Y60" s="17" t="n">
        <v>15</v>
      </c>
      <c r="Z60" s="17" t="n">
        <v>0</v>
      </c>
      <c r="AA60" s="20">
        <f>IF(ISNUMBER(W60),W60,IFERROR(MAX(0,(VALUE(LEFT(F60,4))-VALUE(LEFT(TEXT(J60,"00000000"),4)))*12+(VALUE(MID(F60,5,2))-VALUE(MID(TEXT(J60,"00000000"),5,2)))),""))</f>
        <v/>
      </c>
      <c r="AB60" s="20">
        <f>IFERROR((VALUE(LEFT(TEXT(K60,"00000000"),4))-VALUE(LEFT(F60,4)))*12+(VALUE(MID(TEXT(K60,"00000000"),5,2))-VALUE(MID(F60,5,2))),"")</f>
        <v/>
      </c>
      <c r="AC60" s="20">
        <f>IF(OR(L60="",NOT(ISNUMBER(L60))),0,MAX(0,MIN(60,(VALUE(LEFT(F60,4))-VALUE(LEFT(TEXT(L60,"00000000"),4)))*12+(VALUE(MID(F60,5,2))-VALUE(MID(TEXT(L60,"00000000"),5,2))))))</f>
        <v/>
      </c>
      <c r="AD60" s="20">
        <f>IF(OR(L60="",NOT(ISNUMBER(L60))),0,IF(VALUE(F60)&lt;VALUE(LEFT(TEXT(L60,"00000000"),6)),1,0))</f>
        <v/>
      </c>
      <c r="AE60" s="20">
        <f>IF(OR(M60="",NOT(ISNUMBER(M60))),0,IF(VALUE(F60)&lt;VALUE(LEFT(TEXT(M60,"00000000"),6)),1,0))</f>
        <v/>
      </c>
      <c r="AF60" s="20">
        <f>IF(AND(AD60=0,AE60=0),1,0)</f>
        <v/>
      </c>
      <c r="AG60" s="20">
        <f>IF(ISNUMBER(X60),X60,IFERROR(VALUE(LEFT(TEXT(J60,"00000000"),4)),""))</f>
        <v/>
      </c>
      <c r="AH60" s="20">
        <f>IFERROR(XLOOKUP(AG60,Vintage_Rates!$A$2:$A$1000,Vintage_Rates!$B$2:$B$1000,""),"")</f>
        <v/>
      </c>
      <c r="AI60" s="20">
        <f>IF(ISNUMBER(Y60),Y60,IFERROR((G60-AH60)*100,""))</f>
        <v/>
      </c>
      <c r="AJ60" s="20">
        <f>IF(ISNUMBER(V60),V60,IFERROR(XLOOKUP(VALUE(F60),PLC_Rates!$A$2:$A$1000,PLC_Rates!$B$2:$B$1000,""),""))</f>
        <v/>
      </c>
      <c r="AK60" s="20">
        <f>IF(ISNUMBER(Z60),Z60,IF(AE60=0,0,MAX(0,MIN(10,((VALUE(LEFT(TEXT(M60,"00000000"),4))-VALUE(LEFT(F60,4)))*12+(VALUE(MID(TEXT(M60,"00000000"),5,2))-VALUE(MID(F60,5,2))))/12))))</f>
        <v/>
      </c>
      <c r="AL60" s="20">
        <f>IFERROR(G60*100-AJ60,"")</f>
        <v/>
      </c>
      <c r="AM60" s="20">
        <f>IFERROR(G60*100-(AJ60+(1+AK60)*12.5),"")</f>
        <v/>
      </c>
      <c r="AN60" s="21">
        <f>IFERROR(MIN(H60/1000000,100),"")</f>
        <v/>
      </c>
      <c r="AO60" s="20">
        <f>IFERROR(INDEX(FHA_Lookup!$B$2:$B$11,MATCH(TRUE,ISNUMBER(SEARCH(FHA_Lookup!$A$2:$A$11,UPPER(SUBSTITUTE(O60," ","")))),0)),"OTHER")</f>
        <v/>
      </c>
      <c r="AP60" s="20">
        <f>IFERROR(INDEX(FHA_Lookup!$C$2:$C$11,MATCH(TRUE,ISNUMBER(SEARCH(FHA_Lookup!$A$2:$A$11,UPPER(SUBSTITUTE(O60," ","")))),0)),"OTHER")</f>
        <v/>
      </c>
      <c r="AQ60" s="20">
        <f>IF(AP60="NC",1,0)</f>
        <v/>
      </c>
      <c r="AR60" s="20">
        <f>IF(UPPER(TRIM(P60))="AFF",1,0)</f>
        <v/>
      </c>
      <c r="AS60" s="20">
        <f>IF(UPPER(TRIM(P60))="BAF",1,0)</f>
        <v/>
      </c>
      <c r="AT60" s="20">
        <f>IF(UPPER(TRIM(P60))="MKT",1,0)</f>
        <v/>
      </c>
      <c r="AU60" s="20">
        <f>IF(AO60="221d4",1,0)</f>
        <v/>
      </c>
      <c r="AV60" s="20">
        <f>IF(AO60="223a7",1,0)</f>
        <v/>
      </c>
      <c r="AW60" s="20">
        <f>IF(AO60="232",1,0)</f>
        <v/>
      </c>
      <c r="AX60" s="20">
        <f>IF(AO60="538",1,0)</f>
        <v/>
      </c>
      <c r="AY60" s="20">
        <f>IF(AO60="241",1,0)</f>
        <v/>
      </c>
      <c r="AZ60" s="20">
        <f>IF(AO60="220",1,0)</f>
        <v/>
      </c>
      <c r="BA60" s="20">
        <f>IF(AO60="OTHER",1,0)</f>
        <v/>
      </c>
      <c r="BB60" s="20">
        <f>IF(UPPER(TRIM(C60))="LM",1,0)</f>
        <v/>
      </c>
      <c r="BC60" s="20">
        <f>IF(UPPER(TRIM(C60))="PN",1,0)</f>
        <v/>
      </c>
      <c r="BD60" s="20">
        <f>IF(UPPER(TRIM(C60))="LS",1,0)</f>
        <v/>
      </c>
      <c r="BE60" s="20">
        <f>IF(UPPER(TRIM(C60))="RX",1,0)</f>
        <v/>
      </c>
      <c r="BF60" s="22">
        <f>IFERROR((Parameters!$C$6*AM60+Parameters!$C$7*MAX(AM60-(-150),0)+Parameters!$C$8*MAX(AM60-(-50),0)+Parameters!$C$9*MAX(AM60-(0),0)+Parameters!$C$10*MAX(AM60-(50),0)+Parameters!$C$11*MAX(AM60-(100),0)+Parameters!$C$12*MAX(AM60-(150),0)+Parameters!$C$13*MAX(AM60-(250),0)),0)</f>
        <v/>
      </c>
      <c r="BG60" s="22">
        <f>IFERROR((Parameters!$C$14*AA60+Parameters!$C$15*MAX(AA60-(12),0)+Parameters!$C$16*MAX(AA60-(36),0)+Parameters!$C$17*MAX(AA60-(60),0)+Parameters!$C$18*MAX(AA60-(84),0)+Parameters!$C$19*MAX(AA60-(120),0)+Parameters!$C$20*MAX(AA60-(180),0)),0)</f>
        <v/>
      </c>
      <c r="BH60" s="22">
        <f>IFERROR((Parameters!$C$21*AK60+Parameters!$C$22*MAX(AK60-(0),0)+Parameters!$C$23*MAX(AK60-(2),0)+Parameters!$C$24*MAX(AK60-(5),0)+Parameters!$C$25*MAX(AK60-(8),0)),0)</f>
        <v/>
      </c>
      <c r="BI60" s="22">
        <f>IFERROR((Parameters!$C$26*AI60+Parameters!$C$27*MAX(AI60-(-100),0)+Parameters!$C$28*MAX(AI60-(-25),0)+Parameters!$C$29*MAX(AI60-(25),0)+Parameters!$C$30*MAX(AI60-(100),0)),0)</f>
        <v/>
      </c>
      <c r="BJ60" s="22">
        <f>IFERROR((Parameters!$C$31*AN60+Parameters!$C$32*MAX(AN60-(2),0)+Parameters!$C$33*MAX(AN60-(10),0)+Parameters!$C$34*MAX(AN60-(25),0)),0)</f>
        <v/>
      </c>
      <c r="BK60" s="22">
        <f>IFERROR((Parameters!$C$35*AB60+Parameters!$C$36*MAX(AB60-(12),0)+Parameters!$C$37*MAX(AB60-(24),0)+Parameters!$C$38*MAX(AB60-(60),0)),0)</f>
        <v/>
      </c>
      <c r="BL60" s="22">
        <f>IFERROR((Parameters!$C$39*AC60+Parameters!$C$40*MAX(AC60-(6),0)+Parameters!$C$41*MAX(AC60-(12),0)+Parameters!$C$42*MAX(AC60-(24),0)),0)</f>
        <v/>
      </c>
      <c r="BM60" s="22">
        <f>IFERROR(Parameters!$C$43*(MAX(AM60,0)*MIN(MAX(AK60,0),10))/100,0)</f>
        <v/>
      </c>
      <c r="BN60" s="22">
        <f>Parameters!$C$44*AE60</f>
        <v/>
      </c>
      <c r="BO60" s="22">
        <f>Parameters!$C$45*AU60 + Parameters!$C$46*AV60 + Parameters!$C$47*AW60 + Parameters!$C$48*AX60 + Parameters!$C$49*AY60 + Parameters!$C$50*AZ60 + Parameters!$C$51*BA60</f>
        <v/>
      </c>
      <c r="BP60" s="22">
        <f>Parameters!$C$52*AQ60</f>
        <v/>
      </c>
      <c r="BQ60" s="22">
        <f>Parameters!$C$53*AR60+Parameters!$C$54*AS60+Parameters!$C$55*AT60</f>
        <v/>
      </c>
      <c r="BR60" s="22">
        <f>Parameters!$C$56*BB60+Parameters!$C$57*BC60+Parameters!$C$58*BD60+Parameters!$C$59*BE60</f>
        <v/>
      </c>
      <c r="BS60" s="23">
        <f>Parameters!$B$2</f>
        <v/>
      </c>
      <c r="BT60" s="23">
        <f>BS60+BF60 + BG60 + BH60 + BI60 + BJ60 + BK60 + BL60 + BM60 + BN60 + BO60 + BP60 + BQ60 + BR60</f>
        <v/>
      </c>
      <c r="BU60" s="24">
        <f>IF(AD60=1,0,1/(1+EXP(-BT60))*Parameters!$B$3)</f>
        <v/>
      </c>
      <c r="BV60" s="25">
        <f>(1-(1-BU60)^12)*100</f>
        <v/>
      </c>
      <c r="BW60" s="25">
        <f>IF(AD60=1,0,(1-(1-1/(1+EXP(-Parameters!$B$2)))^12)*100)</f>
        <v/>
      </c>
      <c r="BX60" s="25">
        <f>IF(AD60=1,0,BV60-(1-(1-(1/(1+EXP(-(BT60-BF60)))*Parameters!$B$3))^12)*100)</f>
        <v/>
      </c>
      <c r="BY60" s="25">
        <f>IF(AD60=1,0,BV60-(1-(1-(1/(1+EXP(-(BT60-BG60)))*Parameters!$B$3))^12)*100)</f>
        <v/>
      </c>
      <c r="BZ60" s="25">
        <f>IF(AD60=1,0,BV60-(1-(1-(1/(1+EXP(-(BT60-BH60)))*Parameters!$B$3))^12)*100)</f>
        <v/>
      </c>
      <c r="CA60" s="25">
        <f>IF(AD60=1,0,BV60-(1-(1-(1/(1+EXP(-(BT60-BI60)))*Parameters!$B$3))^12)*100)</f>
        <v/>
      </c>
      <c r="CB60" s="25">
        <f>IF(AD60=1,0,BV60-(1-(1-(1/(1+EXP(-(BT60-BJ60)))*Parameters!$B$3))^12)*100)</f>
        <v/>
      </c>
      <c r="CC60" s="25">
        <f>IF(AD60=1,0,BV60-(1-(1-(1/(1+EXP(-(BT60-BK60)))*Parameters!$B$3))^12)*100)</f>
        <v/>
      </c>
      <c r="CD60" s="25">
        <f>IF(AD60=1,0,BV60-(1-(1-(1/(1+EXP(-(BT60-BL60)))*Parameters!$B$3))^12)*100)</f>
        <v/>
      </c>
      <c r="CE60" s="25">
        <f>IF(AD60=1,0,BV60-(1-(1-(1/(1+EXP(-(BT60-BM60)))*Parameters!$B$3))^12)*100)</f>
        <v/>
      </c>
      <c r="CF60" s="25">
        <f>IF(AD60=1,0,BV60-(1-(1-(1/(1+EXP(-(BT60-BN60)))*Parameters!$B$3))^12)*100)</f>
        <v/>
      </c>
      <c r="CG60" s="25">
        <f>IF(AD60=1,0,BV60-(1-(1-(1/(1+EXP(-(BT60-BO60)))*Parameters!$B$3))^12)*100)</f>
        <v/>
      </c>
      <c r="CH60" s="25">
        <f>IF(AD60=1,0,BV60-(1-(1-(1/(1+EXP(-(BT60-BP60)))*Parameters!$B$3))^12)*100)</f>
        <v/>
      </c>
      <c r="CI60" s="25">
        <f>IF(AD60=1,0,BV60-(1-(1-(1/(1+EXP(-(BT60-BQ60)))*Parameters!$B$3))^12)*100)</f>
        <v/>
      </c>
      <c r="CJ60" s="25">
        <f>IF(AD60=1,0,BV60-(1-(1-(1/(1+EXP(-(BT60-BR60)))*Parameters!$B$3))^12)*100)</f>
        <v/>
      </c>
    </row>
    <row r="61">
      <c r="A61" s="17" t="inlineStr">
        <is>
          <t>GNR_2014_SEASONED</t>
        </is>
      </c>
      <c r="B61" s="17" t="inlineStr">
        <is>
          <t>36180WDK8</t>
        </is>
      </c>
      <c r="C61" s="17" t="inlineStr">
        <is>
          <t>PN</t>
        </is>
      </c>
      <c r="D61" s="17" t="inlineStr">
        <is>
          <t>WALKER &amp; DUNLOP, LLC</t>
        </is>
      </c>
      <c r="E61" s="17" t="inlineStr">
        <is>
          <t>36180WDK8_000000011735244</t>
        </is>
      </c>
      <c r="F61" s="17" t="n">
        <v>202603</v>
      </c>
      <c r="G61" s="18" t="n">
        <v>4</v>
      </c>
      <c r="H61" s="19" t="n">
        <v>416741.55</v>
      </c>
      <c r="I61" s="17" t="n">
        <v>240</v>
      </c>
      <c r="J61" s="17" t="n">
        <v>20130619</v>
      </c>
      <c r="K61" s="17" t="n">
        <v>20330701</v>
      </c>
      <c r="L61" s="17" t="n"/>
      <c r="M61" s="17" t="n">
        <v>20230731</v>
      </c>
      <c r="N61" s="17" t="n">
        <v>10</v>
      </c>
      <c r="O61" s="17" t="inlineStr">
        <is>
          <t>221d4223a7</t>
        </is>
      </c>
      <c r="P61" s="17" t="inlineStr">
        <is>
          <t>MKT</t>
        </is>
      </c>
      <c r="Q61" s="17" t="n"/>
      <c r="R61" s="17" t="n"/>
      <c r="S61" s="17" t="n"/>
      <c r="T61" s="17" t="inlineStr">
        <is>
          <t>OK</t>
        </is>
      </c>
      <c r="U61" s="17" t="n">
        <v>75</v>
      </c>
      <c r="V61" s="17" t="n">
        <v>490.5</v>
      </c>
      <c r="W61" s="17" t="n">
        <v>153</v>
      </c>
      <c r="X61" s="17" t="n">
        <v>2013</v>
      </c>
      <c r="Y61" s="17" t="n">
        <v>62</v>
      </c>
      <c r="Z61" s="17" t="n">
        <v>0</v>
      </c>
      <c r="AA61" s="20">
        <f>IF(ISNUMBER(W61),W61,IFERROR(MAX(0,(VALUE(LEFT(F61,4))-VALUE(LEFT(TEXT(J61,"00000000"),4)))*12+(VALUE(MID(F61,5,2))-VALUE(MID(TEXT(J61,"00000000"),5,2)))),""))</f>
        <v/>
      </c>
      <c r="AB61" s="20">
        <f>IFERROR((VALUE(LEFT(TEXT(K61,"00000000"),4))-VALUE(LEFT(F61,4)))*12+(VALUE(MID(TEXT(K61,"00000000"),5,2))-VALUE(MID(F61,5,2))),"")</f>
        <v/>
      </c>
      <c r="AC61" s="20">
        <f>IF(OR(L61="",NOT(ISNUMBER(L61))),0,MAX(0,MIN(60,(VALUE(LEFT(F61,4))-VALUE(LEFT(TEXT(L61,"00000000"),4)))*12+(VALUE(MID(F61,5,2))-VALUE(MID(TEXT(L61,"00000000"),5,2))))))</f>
        <v/>
      </c>
      <c r="AD61" s="20">
        <f>IF(OR(L61="",NOT(ISNUMBER(L61))),0,IF(VALUE(F61)&lt;VALUE(LEFT(TEXT(L61,"00000000"),6)),1,0))</f>
        <v/>
      </c>
      <c r="AE61" s="20">
        <f>IF(OR(M61="",NOT(ISNUMBER(M61))),0,IF(VALUE(F61)&lt;VALUE(LEFT(TEXT(M61,"00000000"),6)),1,0))</f>
        <v/>
      </c>
      <c r="AF61" s="20">
        <f>IF(AND(AD61=0,AE61=0),1,0)</f>
        <v/>
      </c>
      <c r="AG61" s="20">
        <f>IF(ISNUMBER(X61),X61,IFERROR(VALUE(LEFT(TEXT(J61,"00000000"),4)),""))</f>
        <v/>
      </c>
      <c r="AH61" s="20">
        <f>IFERROR(XLOOKUP(AG61,Vintage_Rates!$A$2:$A$1000,Vintage_Rates!$B$2:$B$1000,""),"")</f>
        <v/>
      </c>
      <c r="AI61" s="20">
        <f>IF(ISNUMBER(Y61),Y61,IFERROR((G61-AH61)*100,""))</f>
        <v/>
      </c>
      <c r="AJ61" s="20">
        <f>IF(ISNUMBER(V61),V61,IFERROR(XLOOKUP(VALUE(F61),PLC_Rates!$A$2:$A$1000,PLC_Rates!$B$2:$B$1000,""),""))</f>
        <v/>
      </c>
      <c r="AK61" s="20">
        <f>IF(ISNUMBER(Z61),Z61,IF(AE61=0,0,MAX(0,MIN(10,((VALUE(LEFT(TEXT(M61,"00000000"),4))-VALUE(LEFT(F61,4)))*12+(VALUE(MID(TEXT(M61,"00000000"),5,2))-VALUE(MID(F61,5,2))))/12))))</f>
        <v/>
      </c>
      <c r="AL61" s="20">
        <f>IFERROR(G61*100-AJ61,"")</f>
        <v/>
      </c>
      <c r="AM61" s="20">
        <f>IFERROR(G61*100-(AJ61+(1+AK61)*12.5),"")</f>
        <v/>
      </c>
      <c r="AN61" s="21">
        <f>IFERROR(MIN(H61/1000000,100),"")</f>
        <v/>
      </c>
      <c r="AO61" s="20">
        <f>IFERROR(INDEX(FHA_Lookup!$B$2:$B$11,MATCH(TRUE,ISNUMBER(SEARCH(FHA_Lookup!$A$2:$A$11,UPPER(SUBSTITUTE(O61," ","")))),0)),"OTHER")</f>
        <v/>
      </c>
      <c r="AP61" s="20">
        <f>IFERROR(INDEX(FHA_Lookup!$C$2:$C$11,MATCH(TRUE,ISNUMBER(SEARCH(FHA_Lookup!$A$2:$A$11,UPPER(SUBSTITUTE(O61," ","")))),0)),"OTHER")</f>
        <v/>
      </c>
      <c r="AQ61" s="20">
        <f>IF(AP61="NC",1,0)</f>
        <v/>
      </c>
      <c r="AR61" s="20">
        <f>IF(UPPER(TRIM(P61))="AFF",1,0)</f>
        <v/>
      </c>
      <c r="AS61" s="20">
        <f>IF(UPPER(TRIM(P61))="BAF",1,0)</f>
        <v/>
      </c>
      <c r="AT61" s="20">
        <f>IF(UPPER(TRIM(P61))="MKT",1,0)</f>
        <v/>
      </c>
      <c r="AU61" s="20">
        <f>IF(AO61="221d4",1,0)</f>
        <v/>
      </c>
      <c r="AV61" s="20">
        <f>IF(AO61="223a7",1,0)</f>
        <v/>
      </c>
      <c r="AW61" s="20">
        <f>IF(AO61="232",1,0)</f>
        <v/>
      </c>
      <c r="AX61" s="20">
        <f>IF(AO61="538",1,0)</f>
        <v/>
      </c>
      <c r="AY61" s="20">
        <f>IF(AO61="241",1,0)</f>
        <v/>
      </c>
      <c r="AZ61" s="20">
        <f>IF(AO61="220",1,0)</f>
        <v/>
      </c>
      <c r="BA61" s="20">
        <f>IF(AO61="OTHER",1,0)</f>
        <v/>
      </c>
      <c r="BB61" s="20">
        <f>IF(UPPER(TRIM(C61))="LM",1,0)</f>
        <v/>
      </c>
      <c r="BC61" s="20">
        <f>IF(UPPER(TRIM(C61))="PN",1,0)</f>
        <v/>
      </c>
      <c r="BD61" s="20">
        <f>IF(UPPER(TRIM(C61))="LS",1,0)</f>
        <v/>
      </c>
      <c r="BE61" s="20">
        <f>IF(UPPER(TRIM(C61))="RX",1,0)</f>
        <v/>
      </c>
      <c r="BF61" s="22">
        <f>IFERROR((Parameters!$C$6*AM61+Parameters!$C$7*MAX(AM61-(-150),0)+Parameters!$C$8*MAX(AM61-(-50),0)+Parameters!$C$9*MAX(AM61-(0),0)+Parameters!$C$10*MAX(AM61-(50),0)+Parameters!$C$11*MAX(AM61-(100),0)+Parameters!$C$12*MAX(AM61-(150),0)+Parameters!$C$13*MAX(AM61-(250),0)),0)</f>
        <v/>
      </c>
      <c r="BG61" s="22">
        <f>IFERROR((Parameters!$C$14*AA61+Parameters!$C$15*MAX(AA61-(12),0)+Parameters!$C$16*MAX(AA61-(36),0)+Parameters!$C$17*MAX(AA61-(60),0)+Parameters!$C$18*MAX(AA61-(84),0)+Parameters!$C$19*MAX(AA61-(120),0)+Parameters!$C$20*MAX(AA61-(180),0)),0)</f>
        <v/>
      </c>
      <c r="BH61" s="22">
        <f>IFERROR((Parameters!$C$21*AK61+Parameters!$C$22*MAX(AK61-(0),0)+Parameters!$C$23*MAX(AK61-(2),0)+Parameters!$C$24*MAX(AK61-(5),0)+Parameters!$C$25*MAX(AK61-(8),0)),0)</f>
        <v/>
      </c>
      <c r="BI61" s="22">
        <f>IFERROR((Parameters!$C$26*AI61+Parameters!$C$27*MAX(AI61-(-100),0)+Parameters!$C$28*MAX(AI61-(-25),0)+Parameters!$C$29*MAX(AI61-(25),0)+Parameters!$C$30*MAX(AI61-(100),0)),0)</f>
        <v/>
      </c>
      <c r="BJ61" s="22">
        <f>IFERROR((Parameters!$C$31*AN61+Parameters!$C$32*MAX(AN61-(2),0)+Parameters!$C$33*MAX(AN61-(10),0)+Parameters!$C$34*MAX(AN61-(25),0)),0)</f>
        <v/>
      </c>
      <c r="BK61" s="22">
        <f>IFERROR((Parameters!$C$35*AB61+Parameters!$C$36*MAX(AB61-(12),0)+Parameters!$C$37*MAX(AB61-(24),0)+Parameters!$C$38*MAX(AB61-(60),0)),0)</f>
        <v/>
      </c>
      <c r="BL61" s="22">
        <f>IFERROR((Parameters!$C$39*AC61+Parameters!$C$40*MAX(AC61-(6),0)+Parameters!$C$41*MAX(AC61-(12),0)+Parameters!$C$42*MAX(AC61-(24),0)),0)</f>
        <v/>
      </c>
      <c r="BM61" s="22">
        <f>IFERROR(Parameters!$C$43*(MAX(AM61,0)*MIN(MAX(AK61,0),10))/100,0)</f>
        <v/>
      </c>
      <c r="BN61" s="22">
        <f>Parameters!$C$44*AE61</f>
        <v/>
      </c>
      <c r="BO61" s="22">
        <f>Parameters!$C$45*AU61 + Parameters!$C$46*AV61 + Parameters!$C$47*AW61 + Parameters!$C$48*AX61 + Parameters!$C$49*AY61 + Parameters!$C$50*AZ61 + Parameters!$C$51*BA61</f>
        <v/>
      </c>
      <c r="BP61" s="22">
        <f>Parameters!$C$52*AQ61</f>
        <v/>
      </c>
      <c r="BQ61" s="22">
        <f>Parameters!$C$53*AR61+Parameters!$C$54*AS61+Parameters!$C$55*AT61</f>
        <v/>
      </c>
      <c r="BR61" s="22">
        <f>Parameters!$C$56*BB61+Parameters!$C$57*BC61+Parameters!$C$58*BD61+Parameters!$C$59*BE61</f>
        <v/>
      </c>
      <c r="BS61" s="23">
        <f>Parameters!$B$2</f>
        <v/>
      </c>
      <c r="BT61" s="23">
        <f>BS61+BF61 + BG61 + BH61 + BI61 + BJ61 + BK61 + BL61 + BM61 + BN61 + BO61 + BP61 + BQ61 + BR61</f>
        <v/>
      </c>
      <c r="BU61" s="24">
        <f>IF(AD61=1,0,1/(1+EXP(-BT61))*Parameters!$B$3)</f>
        <v/>
      </c>
      <c r="BV61" s="25">
        <f>(1-(1-BU61)^12)*100</f>
        <v/>
      </c>
      <c r="BW61" s="25">
        <f>IF(AD61=1,0,(1-(1-1/(1+EXP(-Parameters!$B$2)))^12)*100)</f>
        <v/>
      </c>
      <c r="BX61" s="25">
        <f>IF(AD61=1,0,BV61-(1-(1-(1/(1+EXP(-(BT61-BF61)))*Parameters!$B$3))^12)*100)</f>
        <v/>
      </c>
      <c r="BY61" s="25">
        <f>IF(AD61=1,0,BV61-(1-(1-(1/(1+EXP(-(BT61-BG61)))*Parameters!$B$3))^12)*100)</f>
        <v/>
      </c>
      <c r="BZ61" s="25">
        <f>IF(AD61=1,0,BV61-(1-(1-(1/(1+EXP(-(BT61-BH61)))*Parameters!$B$3))^12)*100)</f>
        <v/>
      </c>
      <c r="CA61" s="25">
        <f>IF(AD61=1,0,BV61-(1-(1-(1/(1+EXP(-(BT61-BI61)))*Parameters!$B$3))^12)*100)</f>
        <v/>
      </c>
      <c r="CB61" s="25">
        <f>IF(AD61=1,0,BV61-(1-(1-(1/(1+EXP(-(BT61-BJ61)))*Parameters!$B$3))^12)*100)</f>
        <v/>
      </c>
      <c r="CC61" s="25">
        <f>IF(AD61=1,0,BV61-(1-(1-(1/(1+EXP(-(BT61-BK61)))*Parameters!$B$3))^12)*100)</f>
        <v/>
      </c>
      <c r="CD61" s="25">
        <f>IF(AD61=1,0,BV61-(1-(1-(1/(1+EXP(-(BT61-BL61)))*Parameters!$B$3))^12)*100)</f>
        <v/>
      </c>
      <c r="CE61" s="25">
        <f>IF(AD61=1,0,BV61-(1-(1-(1/(1+EXP(-(BT61-BM61)))*Parameters!$B$3))^12)*100)</f>
        <v/>
      </c>
      <c r="CF61" s="25">
        <f>IF(AD61=1,0,BV61-(1-(1-(1/(1+EXP(-(BT61-BN61)))*Parameters!$B$3))^12)*100)</f>
        <v/>
      </c>
      <c r="CG61" s="25">
        <f>IF(AD61=1,0,BV61-(1-(1-(1/(1+EXP(-(BT61-BO61)))*Parameters!$B$3))^12)*100)</f>
        <v/>
      </c>
      <c r="CH61" s="25">
        <f>IF(AD61=1,0,BV61-(1-(1-(1/(1+EXP(-(BT61-BP61)))*Parameters!$B$3))^12)*100)</f>
        <v/>
      </c>
      <c r="CI61" s="25">
        <f>IF(AD61=1,0,BV61-(1-(1-(1/(1+EXP(-(BT61-BQ61)))*Parameters!$B$3))^12)*100)</f>
        <v/>
      </c>
      <c r="CJ61" s="25">
        <f>IF(AD61=1,0,BV61-(1-(1-(1/(1+EXP(-(BT61-BR61)))*Parameters!$B$3))^12)*100)</f>
        <v/>
      </c>
    </row>
    <row r="62">
      <c r="A62" s="17" t="inlineStr">
        <is>
          <t>GNR_2014_SEASONED</t>
        </is>
      </c>
      <c r="B62" s="17" t="inlineStr">
        <is>
          <t>3617Q5VT2</t>
        </is>
      </c>
      <c r="C62" s="17" t="inlineStr">
        <is>
          <t>LM</t>
        </is>
      </c>
      <c r="D62" s="17" t="inlineStr">
        <is>
          <t>LUMENT REAL ESTATE CAPITAL,LLC</t>
        </is>
      </c>
      <c r="E62" s="17" t="inlineStr">
        <is>
          <t>3617Q5VT2_000000010211079</t>
        </is>
      </c>
      <c r="F62" s="17" t="n">
        <v>202603</v>
      </c>
      <c r="G62" s="18" t="n">
        <v>3.13</v>
      </c>
      <c r="H62" s="19" t="n">
        <v>3116180.43</v>
      </c>
      <c r="I62" s="17" t="n">
        <v>420</v>
      </c>
      <c r="J62" s="17" t="n">
        <v>20141021</v>
      </c>
      <c r="K62" s="17" t="n">
        <v>20491101</v>
      </c>
      <c r="L62" s="17" t="n"/>
      <c r="M62" s="17" t="n">
        <v>20300901</v>
      </c>
      <c r="N62" s="17" t="n">
        <v>10</v>
      </c>
      <c r="O62" s="17" t="inlineStr">
        <is>
          <t>207/223(F)</t>
        </is>
      </c>
      <c r="P62" s="17" t="inlineStr">
        <is>
          <t>MKT</t>
        </is>
      </c>
      <c r="Q62" s="17" t="inlineStr">
        <is>
          <t>M</t>
        </is>
      </c>
      <c r="R62" s="17" t="n"/>
      <c r="S62" s="17" t="n">
        <v>1</v>
      </c>
      <c r="T62" s="17" t="inlineStr">
        <is>
          <t>KS</t>
        </is>
      </c>
      <c r="U62" s="17" t="n">
        <v>105</v>
      </c>
      <c r="V62" s="17" t="n">
        <v>490.5</v>
      </c>
      <c r="W62" s="17" t="n">
        <v>137</v>
      </c>
      <c r="X62" s="17" t="n">
        <v>2014</v>
      </c>
      <c r="Y62" s="17" t="n">
        <v>-72</v>
      </c>
      <c r="Z62" s="17" t="n">
        <v>5</v>
      </c>
      <c r="AA62" s="20">
        <f>IF(ISNUMBER(W62),W62,IFERROR(MAX(0,(VALUE(LEFT(F62,4))-VALUE(LEFT(TEXT(J62,"00000000"),4)))*12+(VALUE(MID(F62,5,2))-VALUE(MID(TEXT(J62,"00000000"),5,2)))),""))</f>
        <v/>
      </c>
      <c r="AB62" s="20">
        <f>IFERROR((VALUE(LEFT(TEXT(K62,"00000000"),4))-VALUE(LEFT(F62,4)))*12+(VALUE(MID(TEXT(K62,"00000000"),5,2))-VALUE(MID(F62,5,2))),"")</f>
        <v/>
      </c>
      <c r="AC62" s="20">
        <f>IF(OR(L62="",NOT(ISNUMBER(L62))),0,MAX(0,MIN(60,(VALUE(LEFT(F62,4))-VALUE(LEFT(TEXT(L62,"00000000"),4)))*12+(VALUE(MID(F62,5,2))-VALUE(MID(TEXT(L62,"00000000"),5,2))))))</f>
        <v/>
      </c>
      <c r="AD62" s="20">
        <f>IF(OR(L62="",NOT(ISNUMBER(L62))),0,IF(VALUE(F62)&lt;VALUE(LEFT(TEXT(L62,"00000000"),6)),1,0))</f>
        <v/>
      </c>
      <c r="AE62" s="20">
        <f>IF(OR(M62="",NOT(ISNUMBER(M62))),0,IF(VALUE(F62)&lt;VALUE(LEFT(TEXT(M62,"00000000"),6)),1,0))</f>
        <v/>
      </c>
      <c r="AF62" s="20">
        <f>IF(AND(AD62=0,AE62=0),1,0)</f>
        <v/>
      </c>
      <c r="AG62" s="20">
        <f>IF(ISNUMBER(X62),X62,IFERROR(VALUE(LEFT(TEXT(J62,"00000000"),4)),""))</f>
        <v/>
      </c>
      <c r="AH62" s="20">
        <f>IFERROR(XLOOKUP(AG62,Vintage_Rates!$A$2:$A$1000,Vintage_Rates!$B$2:$B$1000,""),"")</f>
        <v/>
      </c>
      <c r="AI62" s="20">
        <f>IF(ISNUMBER(Y62),Y62,IFERROR((G62-AH62)*100,""))</f>
        <v/>
      </c>
      <c r="AJ62" s="20">
        <f>IF(ISNUMBER(V62),V62,IFERROR(XLOOKUP(VALUE(F62),PLC_Rates!$A$2:$A$1000,PLC_Rates!$B$2:$B$1000,""),""))</f>
        <v/>
      </c>
      <c r="AK62" s="20">
        <f>IF(ISNUMBER(Z62),Z62,IF(AE62=0,0,MAX(0,MIN(10,((VALUE(LEFT(TEXT(M62,"00000000"),4))-VALUE(LEFT(F62,4)))*12+(VALUE(MID(TEXT(M62,"00000000"),5,2))-VALUE(MID(F62,5,2))))/12))))</f>
        <v/>
      </c>
      <c r="AL62" s="20">
        <f>IFERROR(G62*100-AJ62,"")</f>
        <v/>
      </c>
      <c r="AM62" s="20">
        <f>IFERROR(G62*100-(AJ62+(1+AK62)*12.5),"")</f>
        <v/>
      </c>
      <c r="AN62" s="21">
        <f>IFERROR(MIN(H62/1000000,100),"")</f>
        <v/>
      </c>
      <c r="AO62" s="20">
        <f>IFERROR(INDEX(FHA_Lookup!$B$2:$B$11,MATCH(TRUE,ISNUMBER(SEARCH(FHA_Lookup!$A$2:$A$11,UPPER(SUBSTITUTE(O62," ","")))),0)),"OTHER")</f>
        <v/>
      </c>
      <c r="AP62" s="20">
        <f>IFERROR(INDEX(FHA_Lookup!$C$2:$C$11,MATCH(TRUE,ISNUMBER(SEARCH(FHA_Lookup!$A$2:$A$11,UPPER(SUBSTITUTE(O62," ","")))),0)),"OTHER")</f>
        <v/>
      </c>
      <c r="AQ62" s="20">
        <f>IF(AP62="NC",1,0)</f>
        <v/>
      </c>
      <c r="AR62" s="20">
        <f>IF(UPPER(TRIM(P62))="AFF",1,0)</f>
        <v/>
      </c>
      <c r="AS62" s="20">
        <f>IF(UPPER(TRIM(P62))="BAF",1,0)</f>
        <v/>
      </c>
      <c r="AT62" s="20">
        <f>IF(UPPER(TRIM(P62))="MKT",1,0)</f>
        <v/>
      </c>
      <c r="AU62" s="20">
        <f>IF(AO62="221d4",1,0)</f>
        <v/>
      </c>
      <c r="AV62" s="20">
        <f>IF(AO62="223a7",1,0)</f>
        <v/>
      </c>
      <c r="AW62" s="20">
        <f>IF(AO62="232",1,0)</f>
        <v/>
      </c>
      <c r="AX62" s="20">
        <f>IF(AO62="538",1,0)</f>
        <v/>
      </c>
      <c r="AY62" s="20">
        <f>IF(AO62="241",1,0)</f>
        <v/>
      </c>
      <c r="AZ62" s="20">
        <f>IF(AO62="220",1,0)</f>
        <v/>
      </c>
      <c r="BA62" s="20">
        <f>IF(AO62="OTHER",1,0)</f>
        <v/>
      </c>
      <c r="BB62" s="20">
        <f>IF(UPPER(TRIM(C62))="LM",1,0)</f>
        <v/>
      </c>
      <c r="BC62" s="20">
        <f>IF(UPPER(TRIM(C62))="PN",1,0)</f>
        <v/>
      </c>
      <c r="BD62" s="20">
        <f>IF(UPPER(TRIM(C62))="LS",1,0)</f>
        <v/>
      </c>
      <c r="BE62" s="20">
        <f>IF(UPPER(TRIM(C62))="RX",1,0)</f>
        <v/>
      </c>
      <c r="BF62" s="22">
        <f>IFERROR((Parameters!$C$6*AM62+Parameters!$C$7*MAX(AM62-(-150),0)+Parameters!$C$8*MAX(AM62-(-50),0)+Parameters!$C$9*MAX(AM62-(0),0)+Parameters!$C$10*MAX(AM62-(50),0)+Parameters!$C$11*MAX(AM62-(100),0)+Parameters!$C$12*MAX(AM62-(150),0)+Parameters!$C$13*MAX(AM62-(250),0)),0)</f>
        <v/>
      </c>
      <c r="BG62" s="22">
        <f>IFERROR((Parameters!$C$14*AA62+Parameters!$C$15*MAX(AA62-(12),0)+Parameters!$C$16*MAX(AA62-(36),0)+Parameters!$C$17*MAX(AA62-(60),0)+Parameters!$C$18*MAX(AA62-(84),0)+Parameters!$C$19*MAX(AA62-(120),0)+Parameters!$C$20*MAX(AA62-(180),0)),0)</f>
        <v/>
      </c>
      <c r="BH62" s="22">
        <f>IFERROR((Parameters!$C$21*AK62+Parameters!$C$22*MAX(AK62-(0),0)+Parameters!$C$23*MAX(AK62-(2),0)+Parameters!$C$24*MAX(AK62-(5),0)+Parameters!$C$25*MAX(AK62-(8),0)),0)</f>
        <v/>
      </c>
      <c r="BI62" s="22">
        <f>IFERROR((Parameters!$C$26*AI62+Parameters!$C$27*MAX(AI62-(-100),0)+Parameters!$C$28*MAX(AI62-(-25),0)+Parameters!$C$29*MAX(AI62-(25),0)+Parameters!$C$30*MAX(AI62-(100),0)),0)</f>
        <v/>
      </c>
      <c r="BJ62" s="22">
        <f>IFERROR((Parameters!$C$31*AN62+Parameters!$C$32*MAX(AN62-(2),0)+Parameters!$C$33*MAX(AN62-(10),0)+Parameters!$C$34*MAX(AN62-(25),0)),0)</f>
        <v/>
      </c>
      <c r="BK62" s="22">
        <f>IFERROR((Parameters!$C$35*AB62+Parameters!$C$36*MAX(AB62-(12),0)+Parameters!$C$37*MAX(AB62-(24),0)+Parameters!$C$38*MAX(AB62-(60),0)),0)</f>
        <v/>
      </c>
      <c r="BL62" s="22">
        <f>IFERROR((Parameters!$C$39*AC62+Parameters!$C$40*MAX(AC62-(6),0)+Parameters!$C$41*MAX(AC62-(12),0)+Parameters!$C$42*MAX(AC62-(24),0)),0)</f>
        <v/>
      </c>
      <c r="BM62" s="22">
        <f>IFERROR(Parameters!$C$43*(MAX(AM62,0)*MIN(MAX(AK62,0),10))/100,0)</f>
        <v/>
      </c>
      <c r="BN62" s="22">
        <f>Parameters!$C$44*AE62</f>
        <v/>
      </c>
      <c r="BO62" s="22">
        <f>Parameters!$C$45*AU62 + Parameters!$C$46*AV62 + Parameters!$C$47*AW62 + Parameters!$C$48*AX62 + Parameters!$C$49*AY62 + Parameters!$C$50*AZ62 + Parameters!$C$51*BA62</f>
        <v/>
      </c>
      <c r="BP62" s="22">
        <f>Parameters!$C$52*AQ62</f>
        <v/>
      </c>
      <c r="BQ62" s="22">
        <f>Parameters!$C$53*AR62+Parameters!$C$54*AS62+Parameters!$C$55*AT62</f>
        <v/>
      </c>
      <c r="BR62" s="22">
        <f>Parameters!$C$56*BB62+Parameters!$C$57*BC62+Parameters!$C$58*BD62+Parameters!$C$59*BE62</f>
        <v/>
      </c>
      <c r="BS62" s="23">
        <f>Parameters!$B$2</f>
        <v/>
      </c>
      <c r="BT62" s="23">
        <f>BS62+BF62 + BG62 + BH62 + BI62 + BJ62 + BK62 + BL62 + BM62 + BN62 + BO62 + BP62 + BQ62 + BR62</f>
        <v/>
      </c>
      <c r="BU62" s="24">
        <f>IF(AD62=1,0,1/(1+EXP(-BT62))*Parameters!$B$3)</f>
        <v/>
      </c>
      <c r="BV62" s="25">
        <f>(1-(1-BU62)^12)*100</f>
        <v/>
      </c>
      <c r="BW62" s="25">
        <f>IF(AD62=1,0,(1-(1-1/(1+EXP(-Parameters!$B$2)))^12)*100)</f>
        <v/>
      </c>
      <c r="BX62" s="25">
        <f>IF(AD62=1,0,BV62-(1-(1-(1/(1+EXP(-(BT62-BF62)))*Parameters!$B$3))^12)*100)</f>
        <v/>
      </c>
      <c r="BY62" s="25">
        <f>IF(AD62=1,0,BV62-(1-(1-(1/(1+EXP(-(BT62-BG62)))*Parameters!$B$3))^12)*100)</f>
        <v/>
      </c>
      <c r="BZ62" s="25">
        <f>IF(AD62=1,0,BV62-(1-(1-(1/(1+EXP(-(BT62-BH62)))*Parameters!$B$3))^12)*100)</f>
        <v/>
      </c>
      <c r="CA62" s="25">
        <f>IF(AD62=1,0,BV62-(1-(1-(1/(1+EXP(-(BT62-BI62)))*Parameters!$B$3))^12)*100)</f>
        <v/>
      </c>
      <c r="CB62" s="25">
        <f>IF(AD62=1,0,BV62-(1-(1-(1/(1+EXP(-(BT62-BJ62)))*Parameters!$B$3))^12)*100)</f>
        <v/>
      </c>
      <c r="CC62" s="25">
        <f>IF(AD62=1,0,BV62-(1-(1-(1/(1+EXP(-(BT62-BK62)))*Parameters!$B$3))^12)*100)</f>
        <v/>
      </c>
      <c r="CD62" s="25">
        <f>IF(AD62=1,0,BV62-(1-(1-(1/(1+EXP(-(BT62-BL62)))*Parameters!$B$3))^12)*100)</f>
        <v/>
      </c>
      <c r="CE62" s="25">
        <f>IF(AD62=1,0,BV62-(1-(1-(1/(1+EXP(-(BT62-BM62)))*Parameters!$B$3))^12)*100)</f>
        <v/>
      </c>
      <c r="CF62" s="25">
        <f>IF(AD62=1,0,BV62-(1-(1-(1/(1+EXP(-(BT62-BN62)))*Parameters!$B$3))^12)*100)</f>
        <v/>
      </c>
      <c r="CG62" s="25">
        <f>IF(AD62=1,0,BV62-(1-(1-(1/(1+EXP(-(BT62-BO62)))*Parameters!$B$3))^12)*100)</f>
        <v/>
      </c>
      <c r="CH62" s="25">
        <f>IF(AD62=1,0,BV62-(1-(1-(1/(1+EXP(-(BT62-BP62)))*Parameters!$B$3))^12)*100)</f>
        <v/>
      </c>
      <c r="CI62" s="25">
        <f>IF(AD62=1,0,BV62-(1-(1-(1/(1+EXP(-(BT62-BQ62)))*Parameters!$B$3))^12)*100)</f>
        <v/>
      </c>
      <c r="CJ62" s="25">
        <f>IF(AD62=1,0,BV62-(1-(1-(1/(1+EXP(-(BT62-BR62)))*Parameters!$B$3))^12)*100)</f>
        <v/>
      </c>
    </row>
    <row r="63">
      <c r="A63" s="17" t="inlineStr">
        <is>
          <t>GNR_2014_SEASONED</t>
        </is>
      </c>
      <c r="B63" s="17" t="inlineStr">
        <is>
          <t>36180SY73</t>
        </is>
      </c>
      <c r="C63" s="17" t="inlineStr">
        <is>
          <t>PN</t>
        </is>
      </c>
      <c r="D63" s="17" t="inlineStr">
        <is>
          <t>MERCHANTS CAPITAL CORP.</t>
        </is>
      </c>
      <c r="E63" s="17" t="inlineStr">
        <is>
          <t>36180SY73_000000007511188</t>
        </is>
      </c>
      <c r="F63" s="17" t="n">
        <v>202603</v>
      </c>
      <c r="G63" s="18" t="n">
        <v>3.78</v>
      </c>
      <c r="H63" s="19" t="n">
        <v>3229582.99</v>
      </c>
      <c r="I63" s="17" t="n">
        <v>420</v>
      </c>
      <c r="J63" s="17" t="n">
        <v>20130901</v>
      </c>
      <c r="K63" s="17" t="n">
        <v>20481001</v>
      </c>
      <c r="L63" s="17" t="n"/>
      <c r="M63" s="17" t="n">
        <v>20231001</v>
      </c>
      <c r="N63" s="17" t="n">
        <v>10</v>
      </c>
      <c r="O63" s="17" t="inlineStr">
        <is>
          <t>207/223F</t>
        </is>
      </c>
      <c r="P63" s="17" t="inlineStr">
        <is>
          <t>MKT</t>
        </is>
      </c>
      <c r="Q63" s="17" t="n"/>
      <c r="R63" s="17" t="n"/>
      <c r="S63" s="17" t="n"/>
      <c r="T63" s="17" t="inlineStr">
        <is>
          <t>WI</t>
        </is>
      </c>
      <c r="U63" s="17" t="n">
        <v>72</v>
      </c>
      <c r="V63" s="17" t="n">
        <v>490.5</v>
      </c>
      <c r="W63" s="17" t="n">
        <v>150</v>
      </c>
      <c r="X63" s="17" t="n">
        <v>2013</v>
      </c>
      <c r="Y63" s="17" t="n">
        <v>40</v>
      </c>
      <c r="Z63" s="17" t="n">
        <v>0</v>
      </c>
      <c r="AA63" s="20">
        <f>IF(ISNUMBER(W63),W63,IFERROR(MAX(0,(VALUE(LEFT(F63,4))-VALUE(LEFT(TEXT(J63,"00000000"),4)))*12+(VALUE(MID(F63,5,2))-VALUE(MID(TEXT(J63,"00000000"),5,2)))),""))</f>
        <v/>
      </c>
      <c r="AB63" s="20">
        <f>IFERROR((VALUE(LEFT(TEXT(K63,"00000000"),4))-VALUE(LEFT(F63,4)))*12+(VALUE(MID(TEXT(K63,"00000000"),5,2))-VALUE(MID(F63,5,2))),"")</f>
        <v/>
      </c>
      <c r="AC63" s="20">
        <f>IF(OR(L63="",NOT(ISNUMBER(L63))),0,MAX(0,MIN(60,(VALUE(LEFT(F63,4))-VALUE(LEFT(TEXT(L63,"00000000"),4)))*12+(VALUE(MID(F63,5,2))-VALUE(MID(TEXT(L63,"00000000"),5,2))))))</f>
        <v/>
      </c>
      <c r="AD63" s="20">
        <f>IF(OR(L63="",NOT(ISNUMBER(L63))),0,IF(VALUE(F63)&lt;VALUE(LEFT(TEXT(L63,"00000000"),6)),1,0))</f>
        <v/>
      </c>
      <c r="AE63" s="20">
        <f>IF(OR(M63="",NOT(ISNUMBER(M63))),0,IF(VALUE(F63)&lt;VALUE(LEFT(TEXT(M63,"00000000"),6)),1,0))</f>
        <v/>
      </c>
      <c r="AF63" s="20">
        <f>IF(AND(AD63=0,AE63=0),1,0)</f>
        <v/>
      </c>
      <c r="AG63" s="20">
        <f>IF(ISNUMBER(X63),X63,IFERROR(VALUE(LEFT(TEXT(J63,"00000000"),4)),""))</f>
        <v/>
      </c>
      <c r="AH63" s="20">
        <f>IFERROR(XLOOKUP(AG63,Vintage_Rates!$A$2:$A$1000,Vintage_Rates!$B$2:$B$1000,""),"")</f>
        <v/>
      </c>
      <c r="AI63" s="20">
        <f>IF(ISNUMBER(Y63),Y63,IFERROR((G63-AH63)*100,""))</f>
        <v/>
      </c>
      <c r="AJ63" s="20">
        <f>IF(ISNUMBER(V63),V63,IFERROR(XLOOKUP(VALUE(F63),PLC_Rates!$A$2:$A$1000,PLC_Rates!$B$2:$B$1000,""),""))</f>
        <v/>
      </c>
      <c r="AK63" s="20">
        <f>IF(ISNUMBER(Z63),Z63,IF(AE63=0,0,MAX(0,MIN(10,((VALUE(LEFT(TEXT(M63,"00000000"),4))-VALUE(LEFT(F63,4)))*12+(VALUE(MID(TEXT(M63,"00000000"),5,2))-VALUE(MID(F63,5,2))))/12))))</f>
        <v/>
      </c>
      <c r="AL63" s="20">
        <f>IFERROR(G63*100-AJ63,"")</f>
        <v/>
      </c>
      <c r="AM63" s="20">
        <f>IFERROR(G63*100-(AJ63+(1+AK63)*12.5),"")</f>
        <v/>
      </c>
      <c r="AN63" s="21">
        <f>IFERROR(MIN(H63/1000000,100),"")</f>
        <v/>
      </c>
      <c r="AO63" s="20">
        <f>IFERROR(INDEX(FHA_Lookup!$B$2:$B$11,MATCH(TRUE,ISNUMBER(SEARCH(FHA_Lookup!$A$2:$A$11,UPPER(SUBSTITUTE(O63," ","")))),0)),"OTHER")</f>
        <v/>
      </c>
      <c r="AP63" s="20">
        <f>IFERROR(INDEX(FHA_Lookup!$C$2:$C$11,MATCH(TRUE,ISNUMBER(SEARCH(FHA_Lookup!$A$2:$A$11,UPPER(SUBSTITUTE(O63," ","")))),0)),"OTHER")</f>
        <v/>
      </c>
      <c r="AQ63" s="20">
        <f>IF(AP63="NC",1,0)</f>
        <v/>
      </c>
      <c r="AR63" s="20">
        <f>IF(UPPER(TRIM(P63))="AFF",1,0)</f>
        <v/>
      </c>
      <c r="AS63" s="20">
        <f>IF(UPPER(TRIM(P63))="BAF",1,0)</f>
        <v/>
      </c>
      <c r="AT63" s="20">
        <f>IF(UPPER(TRIM(P63))="MKT",1,0)</f>
        <v/>
      </c>
      <c r="AU63" s="20">
        <f>IF(AO63="221d4",1,0)</f>
        <v/>
      </c>
      <c r="AV63" s="20">
        <f>IF(AO63="223a7",1,0)</f>
        <v/>
      </c>
      <c r="AW63" s="20">
        <f>IF(AO63="232",1,0)</f>
        <v/>
      </c>
      <c r="AX63" s="20">
        <f>IF(AO63="538",1,0)</f>
        <v/>
      </c>
      <c r="AY63" s="20">
        <f>IF(AO63="241",1,0)</f>
        <v/>
      </c>
      <c r="AZ63" s="20">
        <f>IF(AO63="220",1,0)</f>
        <v/>
      </c>
      <c r="BA63" s="20">
        <f>IF(AO63="OTHER",1,0)</f>
        <v/>
      </c>
      <c r="BB63" s="20">
        <f>IF(UPPER(TRIM(C63))="LM",1,0)</f>
        <v/>
      </c>
      <c r="BC63" s="20">
        <f>IF(UPPER(TRIM(C63))="PN",1,0)</f>
        <v/>
      </c>
      <c r="BD63" s="20">
        <f>IF(UPPER(TRIM(C63))="LS",1,0)</f>
        <v/>
      </c>
      <c r="BE63" s="20">
        <f>IF(UPPER(TRIM(C63))="RX",1,0)</f>
        <v/>
      </c>
      <c r="BF63" s="22">
        <f>IFERROR((Parameters!$C$6*AM63+Parameters!$C$7*MAX(AM63-(-150),0)+Parameters!$C$8*MAX(AM63-(-50),0)+Parameters!$C$9*MAX(AM63-(0),0)+Parameters!$C$10*MAX(AM63-(50),0)+Parameters!$C$11*MAX(AM63-(100),0)+Parameters!$C$12*MAX(AM63-(150),0)+Parameters!$C$13*MAX(AM63-(250),0)),0)</f>
        <v/>
      </c>
      <c r="BG63" s="22">
        <f>IFERROR((Parameters!$C$14*AA63+Parameters!$C$15*MAX(AA63-(12),0)+Parameters!$C$16*MAX(AA63-(36),0)+Parameters!$C$17*MAX(AA63-(60),0)+Parameters!$C$18*MAX(AA63-(84),0)+Parameters!$C$19*MAX(AA63-(120),0)+Parameters!$C$20*MAX(AA63-(180),0)),0)</f>
        <v/>
      </c>
      <c r="BH63" s="22">
        <f>IFERROR((Parameters!$C$21*AK63+Parameters!$C$22*MAX(AK63-(0),0)+Parameters!$C$23*MAX(AK63-(2),0)+Parameters!$C$24*MAX(AK63-(5),0)+Parameters!$C$25*MAX(AK63-(8),0)),0)</f>
        <v/>
      </c>
      <c r="BI63" s="22">
        <f>IFERROR((Parameters!$C$26*AI63+Parameters!$C$27*MAX(AI63-(-100),0)+Parameters!$C$28*MAX(AI63-(-25),0)+Parameters!$C$29*MAX(AI63-(25),0)+Parameters!$C$30*MAX(AI63-(100),0)),0)</f>
        <v/>
      </c>
      <c r="BJ63" s="22">
        <f>IFERROR((Parameters!$C$31*AN63+Parameters!$C$32*MAX(AN63-(2),0)+Parameters!$C$33*MAX(AN63-(10),0)+Parameters!$C$34*MAX(AN63-(25),0)),0)</f>
        <v/>
      </c>
      <c r="BK63" s="22">
        <f>IFERROR((Parameters!$C$35*AB63+Parameters!$C$36*MAX(AB63-(12),0)+Parameters!$C$37*MAX(AB63-(24),0)+Parameters!$C$38*MAX(AB63-(60),0)),0)</f>
        <v/>
      </c>
      <c r="BL63" s="22">
        <f>IFERROR((Parameters!$C$39*AC63+Parameters!$C$40*MAX(AC63-(6),0)+Parameters!$C$41*MAX(AC63-(12),0)+Parameters!$C$42*MAX(AC63-(24),0)),0)</f>
        <v/>
      </c>
      <c r="BM63" s="22">
        <f>IFERROR(Parameters!$C$43*(MAX(AM63,0)*MIN(MAX(AK63,0),10))/100,0)</f>
        <v/>
      </c>
      <c r="BN63" s="22">
        <f>Parameters!$C$44*AE63</f>
        <v/>
      </c>
      <c r="BO63" s="22">
        <f>Parameters!$C$45*AU63 + Parameters!$C$46*AV63 + Parameters!$C$47*AW63 + Parameters!$C$48*AX63 + Parameters!$C$49*AY63 + Parameters!$C$50*AZ63 + Parameters!$C$51*BA63</f>
        <v/>
      </c>
      <c r="BP63" s="22">
        <f>Parameters!$C$52*AQ63</f>
        <v/>
      </c>
      <c r="BQ63" s="22">
        <f>Parameters!$C$53*AR63+Parameters!$C$54*AS63+Parameters!$C$55*AT63</f>
        <v/>
      </c>
      <c r="BR63" s="22">
        <f>Parameters!$C$56*BB63+Parameters!$C$57*BC63+Parameters!$C$58*BD63+Parameters!$C$59*BE63</f>
        <v/>
      </c>
      <c r="BS63" s="23">
        <f>Parameters!$B$2</f>
        <v/>
      </c>
      <c r="BT63" s="23">
        <f>BS63+BF63 + BG63 + BH63 + BI63 + BJ63 + BK63 + BL63 + BM63 + BN63 + BO63 + BP63 + BQ63 + BR63</f>
        <v/>
      </c>
      <c r="BU63" s="24">
        <f>IF(AD63=1,0,1/(1+EXP(-BT63))*Parameters!$B$3)</f>
        <v/>
      </c>
      <c r="BV63" s="25">
        <f>(1-(1-BU63)^12)*100</f>
        <v/>
      </c>
      <c r="BW63" s="25">
        <f>IF(AD63=1,0,(1-(1-1/(1+EXP(-Parameters!$B$2)))^12)*100)</f>
        <v/>
      </c>
      <c r="BX63" s="25">
        <f>IF(AD63=1,0,BV63-(1-(1-(1/(1+EXP(-(BT63-BF63)))*Parameters!$B$3))^12)*100)</f>
        <v/>
      </c>
      <c r="BY63" s="25">
        <f>IF(AD63=1,0,BV63-(1-(1-(1/(1+EXP(-(BT63-BG63)))*Parameters!$B$3))^12)*100)</f>
        <v/>
      </c>
      <c r="BZ63" s="25">
        <f>IF(AD63=1,0,BV63-(1-(1-(1/(1+EXP(-(BT63-BH63)))*Parameters!$B$3))^12)*100)</f>
        <v/>
      </c>
      <c r="CA63" s="25">
        <f>IF(AD63=1,0,BV63-(1-(1-(1/(1+EXP(-(BT63-BI63)))*Parameters!$B$3))^12)*100)</f>
        <v/>
      </c>
      <c r="CB63" s="25">
        <f>IF(AD63=1,0,BV63-(1-(1-(1/(1+EXP(-(BT63-BJ63)))*Parameters!$B$3))^12)*100)</f>
        <v/>
      </c>
      <c r="CC63" s="25">
        <f>IF(AD63=1,0,BV63-(1-(1-(1/(1+EXP(-(BT63-BK63)))*Parameters!$B$3))^12)*100)</f>
        <v/>
      </c>
      <c r="CD63" s="25">
        <f>IF(AD63=1,0,BV63-(1-(1-(1/(1+EXP(-(BT63-BL63)))*Parameters!$B$3))^12)*100)</f>
        <v/>
      </c>
      <c r="CE63" s="25">
        <f>IF(AD63=1,0,BV63-(1-(1-(1/(1+EXP(-(BT63-BM63)))*Parameters!$B$3))^12)*100)</f>
        <v/>
      </c>
      <c r="CF63" s="25">
        <f>IF(AD63=1,0,BV63-(1-(1-(1/(1+EXP(-(BT63-BN63)))*Parameters!$B$3))^12)*100)</f>
        <v/>
      </c>
      <c r="CG63" s="25">
        <f>IF(AD63=1,0,BV63-(1-(1-(1/(1+EXP(-(BT63-BO63)))*Parameters!$B$3))^12)*100)</f>
        <v/>
      </c>
      <c r="CH63" s="25">
        <f>IF(AD63=1,0,BV63-(1-(1-(1/(1+EXP(-(BT63-BP63)))*Parameters!$B$3))^12)*100)</f>
        <v/>
      </c>
      <c r="CI63" s="25">
        <f>IF(AD63=1,0,BV63-(1-(1-(1/(1+EXP(-(BT63-BQ63)))*Parameters!$B$3))^12)*100)</f>
        <v/>
      </c>
      <c r="CJ63" s="25">
        <f>IF(AD63=1,0,BV63-(1-(1-(1/(1+EXP(-(BT63-BR63)))*Parameters!$B$3))^12)*100)</f>
        <v/>
      </c>
    </row>
    <row r="64">
      <c r="A64" s="17" t="inlineStr">
        <is>
          <t>GNR_2014_SEASONED</t>
        </is>
      </c>
      <c r="B64" s="17" t="inlineStr">
        <is>
          <t>3617A45E4</t>
        </is>
      </c>
      <c r="C64" s="17" t="inlineStr">
        <is>
          <t>PN</t>
        </is>
      </c>
      <c r="D64" s="17" t="inlineStr">
        <is>
          <t>WALKER &amp; DUNLOP, LLC</t>
        </is>
      </c>
      <c r="E64" s="17" t="inlineStr">
        <is>
          <t>3617A45E4_000000008335745</t>
        </is>
      </c>
      <c r="F64" s="17" t="n">
        <v>202603</v>
      </c>
      <c r="G64" s="18" t="n">
        <v>3.95</v>
      </c>
      <c r="H64" s="19" t="n">
        <v>2679082.23</v>
      </c>
      <c r="I64" s="17" t="n">
        <v>494</v>
      </c>
      <c r="J64" s="17" t="n">
        <v>20150928</v>
      </c>
      <c r="K64" s="17" t="n">
        <v>20570301</v>
      </c>
      <c r="L64" s="17" t="n"/>
      <c r="M64" s="17" t="n">
        <v>20270401</v>
      </c>
      <c r="N64" s="17" t="n">
        <v>10</v>
      </c>
      <c r="O64" s="17" t="inlineStr">
        <is>
          <t>221(D)(4)</t>
        </is>
      </c>
      <c r="P64" s="17" t="inlineStr">
        <is>
          <t>MKT</t>
        </is>
      </c>
      <c r="Q64" s="17" t="n"/>
      <c r="R64" s="17" t="n"/>
      <c r="S64" s="17" t="n"/>
      <c r="T64" s="17" t="inlineStr">
        <is>
          <t>KY</t>
        </is>
      </c>
      <c r="U64" s="17" t="n">
        <v>102</v>
      </c>
      <c r="V64" s="17" t="n">
        <v>490.5</v>
      </c>
      <c r="W64" s="17" t="n">
        <v>126</v>
      </c>
      <c r="X64" s="17" t="n">
        <v>2015</v>
      </c>
      <c r="Y64" s="17" t="n">
        <v>40</v>
      </c>
      <c r="Z64" s="17" t="n">
        <v>2</v>
      </c>
      <c r="AA64" s="20">
        <f>IF(ISNUMBER(W64),W64,IFERROR(MAX(0,(VALUE(LEFT(F64,4))-VALUE(LEFT(TEXT(J64,"00000000"),4)))*12+(VALUE(MID(F64,5,2))-VALUE(MID(TEXT(J64,"00000000"),5,2)))),""))</f>
        <v/>
      </c>
      <c r="AB64" s="20">
        <f>IFERROR((VALUE(LEFT(TEXT(K64,"00000000"),4))-VALUE(LEFT(F64,4)))*12+(VALUE(MID(TEXT(K64,"00000000"),5,2))-VALUE(MID(F64,5,2))),"")</f>
        <v/>
      </c>
      <c r="AC64" s="20">
        <f>IF(OR(L64="",NOT(ISNUMBER(L64))),0,MAX(0,MIN(60,(VALUE(LEFT(F64,4))-VALUE(LEFT(TEXT(L64,"00000000"),4)))*12+(VALUE(MID(F64,5,2))-VALUE(MID(TEXT(L64,"00000000"),5,2))))))</f>
        <v/>
      </c>
      <c r="AD64" s="20">
        <f>IF(OR(L64="",NOT(ISNUMBER(L64))),0,IF(VALUE(F64)&lt;VALUE(LEFT(TEXT(L64,"00000000"),6)),1,0))</f>
        <v/>
      </c>
      <c r="AE64" s="20">
        <f>IF(OR(M64="",NOT(ISNUMBER(M64))),0,IF(VALUE(F64)&lt;VALUE(LEFT(TEXT(M64,"00000000"),6)),1,0))</f>
        <v/>
      </c>
      <c r="AF64" s="20">
        <f>IF(AND(AD64=0,AE64=0),1,0)</f>
        <v/>
      </c>
      <c r="AG64" s="20">
        <f>IF(ISNUMBER(X64),X64,IFERROR(VALUE(LEFT(TEXT(J64,"00000000"),4)),""))</f>
        <v/>
      </c>
      <c r="AH64" s="20">
        <f>IFERROR(XLOOKUP(AG64,Vintage_Rates!$A$2:$A$1000,Vintage_Rates!$B$2:$B$1000,""),"")</f>
        <v/>
      </c>
      <c r="AI64" s="20">
        <f>IF(ISNUMBER(Y64),Y64,IFERROR((G64-AH64)*100,""))</f>
        <v/>
      </c>
      <c r="AJ64" s="20">
        <f>IF(ISNUMBER(V64),V64,IFERROR(XLOOKUP(VALUE(F64),PLC_Rates!$A$2:$A$1000,PLC_Rates!$B$2:$B$1000,""),""))</f>
        <v/>
      </c>
      <c r="AK64" s="20">
        <f>IF(ISNUMBER(Z64),Z64,IF(AE64=0,0,MAX(0,MIN(10,((VALUE(LEFT(TEXT(M64,"00000000"),4))-VALUE(LEFT(F64,4)))*12+(VALUE(MID(TEXT(M64,"00000000"),5,2))-VALUE(MID(F64,5,2))))/12))))</f>
        <v/>
      </c>
      <c r="AL64" s="20">
        <f>IFERROR(G64*100-AJ64,"")</f>
        <v/>
      </c>
      <c r="AM64" s="20">
        <f>IFERROR(G64*100-(AJ64+(1+AK64)*12.5),"")</f>
        <v/>
      </c>
      <c r="AN64" s="21">
        <f>IFERROR(MIN(H64/1000000,100),"")</f>
        <v/>
      </c>
      <c r="AO64" s="20">
        <f>IFERROR(INDEX(FHA_Lookup!$B$2:$B$11,MATCH(TRUE,ISNUMBER(SEARCH(FHA_Lookup!$A$2:$A$11,UPPER(SUBSTITUTE(O64," ","")))),0)),"OTHER")</f>
        <v/>
      </c>
      <c r="AP64" s="20">
        <f>IFERROR(INDEX(FHA_Lookup!$C$2:$C$11,MATCH(TRUE,ISNUMBER(SEARCH(FHA_Lookup!$A$2:$A$11,UPPER(SUBSTITUTE(O64," ","")))),0)),"OTHER")</f>
        <v/>
      </c>
      <c r="AQ64" s="20">
        <f>IF(AP64="NC",1,0)</f>
        <v/>
      </c>
      <c r="AR64" s="20">
        <f>IF(UPPER(TRIM(P64))="AFF",1,0)</f>
        <v/>
      </c>
      <c r="AS64" s="20">
        <f>IF(UPPER(TRIM(P64))="BAF",1,0)</f>
        <v/>
      </c>
      <c r="AT64" s="20">
        <f>IF(UPPER(TRIM(P64))="MKT",1,0)</f>
        <v/>
      </c>
      <c r="AU64" s="20">
        <f>IF(AO64="221d4",1,0)</f>
        <v/>
      </c>
      <c r="AV64" s="20">
        <f>IF(AO64="223a7",1,0)</f>
        <v/>
      </c>
      <c r="AW64" s="20">
        <f>IF(AO64="232",1,0)</f>
        <v/>
      </c>
      <c r="AX64" s="20">
        <f>IF(AO64="538",1,0)</f>
        <v/>
      </c>
      <c r="AY64" s="20">
        <f>IF(AO64="241",1,0)</f>
        <v/>
      </c>
      <c r="AZ64" s="20">
        <f>IF(AO64="220",1,0)</f>
        <v/>
      </c>
      <c r="BA64" s="20">
        <f>IF(AO64="OTHER",1,0)</f>
        <v/>
      </c>
      <c r="BB64" s="20">
        <f>IF(UPPER(TRIM(C64))="LM",1,0)</f>
        <v/>
      </c>
      <c r="BC64" s="20">
        <f>IF(UPPER(TRIM(C64))="PN",1,0)</f>
        <v/>
      </c>
      <c r="BD64" s="20">
        <f>IF(UPPER(TRIM(C64))="LS",1,0)</f>
        <v/>
      </c>
      <c r="BE64" s="20">
        <f>IF(UPPER(TRIM(C64))="RX",1,0)</f>
        <v/>
      </c>
      <c r="BF64" s="22">
        <f>IFERROR((Parameters!$C$6*AM64+Parameters!$C$7*MAX(AM64-(-150),0)+Parameters!$C$8*MAX(AM64-(-50),0)+Parameters!$C$9*MAX(AM64-(0),0)+Parameters!$C$10*MAX(AM64-(50),0)+Parameters!$C$11*MAX(AM64-(100),0)+Parameters!$C$12*MAX(AM64-(150),0)+Parameters!$C$13*MAX(AM64-(250),0)),0)</f>
        <v/>
      </c>
      <c r="BG64" s="22">
        <f>IFERROR((Parameters!$C$14*AA64+Parameters!$C$15*MAX(AA64-(12),0)+Parameters!$C$16*MAX(AA64-(36),0)+Parameters!$C$17*MAX(AA64-(60),0)+Parameters!$C$18*MAX(AA64-(84),0)+Parameters!$C$19*MAX(AA64-(120),0)+Parameters!$C$20*MAX(AA64-(180),0)),0)</f>
        <v/>
      </c>
      <c r="BH64" s="22">
        <f>IFERROR((Parameters!$C$21*AK64+Parameters!$C$22*MAX(AK64-(0),0)+Parameters!$C$23*MAX(AK64-(2),0)+Parameters!$C$24*MAX(AK64-(5),0)+Parameters!$C$25*MAX(AK64-(8),0)),0)</f>
        <v/>
      </c>
      <c r="BI64" s="22">
        <f>IFERROR((Parameters!$C$26*AI64+Parameters!$C$27*MAX(AI64-(-100),0)+Parameters!$C$28*MAX(AI64-(-25),0)+Parameters!$C$29*MAX(AI64-(25),0)+Parameters!$C$30*MAX(AI64-(100),0)),0)</f>
        <v/>
      </c>
      <c r="BJ64" s="22">
        <f>IFERROR((Parameters!$C$31*AN64+Parameters!$C$32*MAX(AN64-(2),0)+Parameters!$C$33*MAX(AN64-(10),0)+Parameters!$C$34*MAX(AN64-(25),0)),0)</f>
        <v/>
      </c>
      <c r="BK64" s="22">
        <f>IFERROR((Parameters!$C$35*AB64+Parameters!$C$36*MAX(AB64-(12),0)+Parameters!$C$37*MAX(AB64-(24),0)+Parameters!$C$38*MAX(AB64-(60),0)),0)</f>
        <v/>
      </c>
      <c r="BL64" s="22">
        <f>IFERROR((Parameters!$C$39*AC64+Parameters!$C$40*MAX(AC64-(6),0)+Parameters!$C$41*MAX(AC64-(12),0)+Parameters!$C$42*MAX(AC64-(24),0)),0)</f>
        <v/>
      </c>
      <c r="BM64" s="22">
        <f>IFERROR(Parameters!$C$43*(MAX(AM64,0)*MIN(MAX(AK64,0),10))/100,0)</f>
        <v/>
      </c>
      <c r="BN64" s="22">
        <f>Parameters!$C$44*AE64</f>
        <v/>
      </c>
      <c r="BO64" s="22">
        <f>Parameters!$C$45*AU64 + Parameters!$C$46*AV64 + Parameters!$C$47*AW64 + Parameters!$C$48*AX64 + Parameters!$C$49*AY64 + Parameters!$C$50*AZ64 + Parameters!$C$51*BA64</f>
        <v/>
      </c>
      <c r="BP64" s="22">
        <f>Parameters!$C$52*AQ64</f>
        <v/>
      </c>
      <c r="BQ64" s="22">
        <f>Parameters!$C$53*AR64+Parameters!$C$54*AS64+Parameters!$C$55*AT64</f>
        <v/>
      </c>
      <c r="BR64" s="22">
        <f>Parameters!$C$56*BB64+Parameters!$C$57*BC64+Parameters!$C$58*BD64+Parameters!$C$59*BE64</f>
        <v/>
      </c>
      <c r="BS64" s="23">
        <f>Parameters!$B$2</f>
        <v/>
      </c>
      <c r="BT64" s="23">
        <f>BS64+BF64 + BG64 + BH64 + BI64 + BJ64 + BK64 + BL64 + BM64 + BN64 + BO64 + BP64 + BQ64 + BR64</f>
        <v/>
      </c>
      <c r="BU64" s="24">
        <f>IF(AD64=1,0,1/(1+EXP(-BT64))*Parameters!$B$3)</f>
        <v/>
      </c>
      <c r="BV64" s="25">
        <f>(1-(1-BU64)^12)*100</f>
        <v/>
      </c>
      <c r="BW64" s="25">
        <f>IF(AD64=1,0,(1-(1-1/(1+EXP(-Parameters!$B$2)))^12)*100)</f>
        <v/>
      </c>
      <c r="BX64" s="25">
        <f>IF(AD64=1,0,BV64-(1-(1-(1/(1+EXP(-(BT64-BF64)))*Parameters!$B$3))^12)*100)</f>
        <v/>
      </c>
      <c r="BY64" s="25">
        <f>IF(AD64=1,0,BV64-(1-(1-(1/(1+EXP(-(BT64-BG64)))*Parameters!$B$3))^12)*100)</f>
        <v/>
      </c>
      <c r="BZ64" s="25">
        <f>IF(AD64=1,0,BV64-(1-(1-(1/(1+EXP(-(BT64-BH64)))*Parameters!$B$3))^12)*100)</f>
        <v/>
      </c>
      <c r="CA64" s="25">
        <f>IF(AD64=1,0,BV64-(1-(1-(1/(1+EXP(-(BT64-BI64)))*Parameters!$B$3))^12)*100)</f>
        <v/>
      </c>
      <c r="CB64" s="25">
        <f>IF(AD64=1,0,BV64-(1-(1-(1/(1+EXP(-(BT64-BJ64)))*Parameters!$B$3))^12)*100)</f>
        <v/>
      </c>
      <c r="CC64" s="25">
        <f>IF(AD64=1,0,BV64-(1-(1-(1/(1+EXP(-(BT64-BK64)))*Parameters!$B$3))^12)*100)</f>
        <v/>
      </c>
      <c r="CD64" s="25">
        <f>IF(AD64=1,0,BV64-(1-(1-(1/(1+EXP(-(BT64-BL64)))*Parameters!$B$3))^12)*100)</f>
        <v/>
      </c>
      <c r="CE64" s="25">
        <f>IF(AD64=1,0,BV64-(1-(1-(1/(1+EXP(-(BT64-BM64)))*Parameters!$B$3))^12)*100)</f>
        <v/>
      </c>
      <c r="CF64" s="25">
        <f>IF(AD64=1,0,BV64-(1-(1-(1/(1+EXP(-(BT64-BN64)))*Parameters!$B$3))^12)*100)</f>
        <v/>
      </c>
      <c r="CG64" s="25">
        <f>IF(AD64=1,0,BV64-(1-(1-(1/(1+EXP(-(BT64-BO64)))*Parameters!$B$3))^12)*100)</f>
        <v/>
      </c>
      <c r="CH64" s="25">
        <f>IF(AD64=1,0,BV64-(1-(1-(1/(1+EXP(-(BT64-BP64)))*Parameters!$B$3))^12)*100)</f>
        <v/>
      </c>
      <c r="CI64" s="25">
        <f>IF(AD64=1,0,BV64-(1-(1-(1/(1+EXP(-(BT64-BQ64)))*Parameters!$B$3))^12)*100)</f>
        <v/>
      </c>
      <c r="CJ64" s="25">
        <f>IF(AD64=1,0,BV64-(1-(1-(1/(1+EXP(-(BT64-BR64)))*Parameters!$B$3))^12)*100)</f>
        <v/>
      </c>
    </row>
    <row r="65">
      <c r="A65" s="17" t="inlineStr">
        <is>
          <t>GNR_2014_SEASONED</t>
        </is>
      </c>
      <c r="B65" s="17" t="inlineStr">
        <is>
          <t>36185CTV6</t>
        </is>
      </c>
      <c r="C65" s="17" t="inlineStr">
        <is>
          <t>LM</t>
        </is>
      </c>
      <c r="D65" s="17" t="inlineStr">
        <is>
          <t>DAVIS-PENN MORTGAGE CO.</t>
        </is>
      </c>
      <c r="E65" s="17" t="inlineStr">
        <is>
          <t>36185CTV6_000000011535480</t>
        </is>
      </c>
      <c r="F65" s="17" t="n">
        <v>202603</v>
      </c>
      <c r="G65" s="18" t="n">
        <v>3.87</v>
      </c>
      <c r="H65" s="19" t="n">
        <v>4761460.77</v>
      </c>
      <c r="I65" s="17" t="n">
        <v>480</v>
      </c>
      <c r="J65" s="17" t="n">
        <v>20150820</v>
      </c>
      <c r="K65" s="17" t="n">
        <v>20470601</v>
      </c>
      <c r="L65" s="17" t="n"/>
      <c r="M65" s="17" t="n">
        <v>20250901</v>
      </c>
      <c r="N65" s="17" t="n">
        <v>10</v>
      </c>
      <c r="O65" s="17" t="inlineStr">
        <is>
          <t>221(D)(4)</t>
        </is>
      </c>
      <c r="P65" s="17" t="inlineStr">
        <is>
          <t>MKT</t>
        </is>
      </c>
      <c r="Q65" s="17" t="inlineStr">
        <is>
          <t>M</t>
        </is>
      </c>
      <c r="R65" s="17" t="n"/>
      <c r="S65" s="17" t="n">
        <v>1</v>
      </c>
      <c r="T65" s="17" t="inlineStr">
        <is>
          <t>TX</t>
        </is>
      </c>
      <c r="U65" s="17" t="n">
        <v>200</v>
      </c>
      <c r="V65" s="17" t="n">
        <v>490.5</v>
      </c>
      <c r="W65" s="17" t="n">
        <v>127</v>
      </c>
      <c r="X65" s="17" t="n">
        <v>2015</v>
      </c>
      <c r="Y65" s="17" t="n">
        <v>32</v>
      </c>
      <c r="Z65" s="17" t="n">
        <v>0</v>
      </c>
      <c r="AA65" s="20">
        <f>IF(ISNUMBER(W65),W65,IFERROR(MAX(0,(VALUE(LEFT(F65,4))-VALUE(LEFT(TEXT(J65,"00000000"),4)))*12+(VALUE(MID(F65,5,2))-VALUE(MID(TEXT(J65,"00000000"),5,2)))),""))</f>
        <v/>
      </c>
      <c r="AB65" s="20">
        <f>IFERROR((VALUE(LEFT(TEXT(K65,"00000000"),4))-VALUE(LEFT(F65,4)))*12+(VALUE(MID(TEXT(K65,"00000000"),5,2))-VALUE(MID(F65,5,2))),"")</f>
        <v/>
      </c>
      <c r="AC65" s="20">
        <f>IF(OR(L65="",NOT(ISNUMBER(L65))),0,MAX(0,MIN(60,(VALUE(LEFT(F65,4))-VALUE(LEFT(TEXT(L65,"00000000"),4)))*12+(VALUE(MID(F65,5,2))-VALUE(MID(TEXT(L65,"00000000"),5,2))))))</f>
        <v/>
      </c>
      <c r="AD65" s="20">
        <f>IF(OR(L65="",NOT(ISNUMBER(L65))),0,IF(VALUE(F65)&lt;VALUE(LEFT(TEXT(L65,"00000000"),6)),1,0))</f>
        <v/>
      </c>
      <c r="AE65" s="20">
        <f>IF(OR(M65="",NOT(ISNUMBER(M65))),0,IF(VALUE(F65)&lt;VALUE(LEFT(TEXT(M65,"00000000"),6)),1,0))</f>
        <v/>
      </c>
      <c r="AF65" s="20">
        <f>IF(AND(AD65=0,AE65=0),1,0)</f>
        <v/>
      </c>
      <c r="AG65" s="20">
        <f>IF(ISNUMBER(X65),X65,IFERROR(VALUE(LEFT(TEXT(J65,"00000000"),4)),""))</f>
        <v/>
      </c>
      <c r="AH65" s="20">
        <f>IFERROR(XLOOKUP(AG65,Vintage_Rates!$A$2:$A$1000,Vintage_Rates!$B$2:$B$1000,""),"")</f>
        <v/>
      </c>
      <c r="AI65" s="20">
        <f>IF(ISNUMBER(Y65),Y65,IFERROR((G65-AH65)*100,""))</f>
        <v/>
      </c>
      <c r="AJ65" s="20">
        <f>IF(ISNUMBER(V65),V65,IFERROR(XLOOKUP(VALUE(F65),PLC_Rates!$A$2:$A$1000,PLC_Rates!$B$2:$B$1000,""),""))</f>
        <v/>
      </c>
      <c r="AK65" s="20">
        <f>IF(ISNUMBER(Z65),Z65,IF(AE65=0,0,MAX(0,MIN(10,((VALUE(LEFT(TEXT(M65,"00000000"),4))-VALUE(LEFT(F65,4)))*12+(VALUE(MID(TEXT(M65,"00000000"),5,2))-VALUE(MID(F65,5,2))))/12))))</f>
        <v/>
      </c>
      <c r="AL65" s="20">
        <f>IFERROR(G65*100-AJ65,"")</f>
        <v/>
      </c>
      <c r="AM65" s="20">
        <f>IFERROR(G65*100-(AJ65+(1+AK65)*12.5),"")</f>
        <v/>
      </c>
      <c r="AN65" s="21">
        <f>IFERROR(MIN(H65/1000000,100),"")</f>
        <v/>
      </c>
      <c r="AO65" s="20">
        <f>IFERROR(INDEX(FHA_Lookup!$B$2:$B$11,MATCH(TRUE,ISNUMBER(SEARCH(FHA_Lookup!$A$2:$A$11,UPPER(SUBSTITUTE(O65," ","")))),0)),"OTHER")</f>
        <v/>
      </c>
      <c r="AP65" s="20">
        <f>IFERROR(INDEX(FHA_Lookup!$C$2:$C$11,MATCH(TRUE,ISNUMBER(SEARCH(FHA_Lookup!$A$2:$A$11,UPPER(SUBSTITUTE(O65," ","")))),0)),"OTHER")</f>
        <v/>
      </c>
      <c r="AQ65" s="20">
        <f>IF(AP65="NC",1,0)</f>
        <v/>
      </c>
      <c r="AR65" s="20">
        <f>IF(UPPER(TRIM(P65))="AFF",1,0)</f>
        <v/>
      </c>
      <c r="AS65" s="20">
        <f>IF(UPPER(TRIM(P65))="BAF",1,0)</f>
        <v/>
      </c>
      <c r="AT65" s="20">
        <f>IF(UPPER(TRIM(P65))="MKT",1,0)</f>
        <v/>
      </c>
      <c r="AU65" s="20">
        <f>IF(AO65="221d4",1,0)</f>
        <v/>
      </c>
      <c r="AV65" s="20">
        <f>IF(AO65="223a7",1,0)</f>
        <v/>
      </c>
      <c r="AW65" s="20">
        <f>IF(AO65="232",1,0)</f>
        <v/>
      </c>
      <c r="AX65" s="20">
        <f>IF(AO65="538",1,0)</f>
        <v/>
      </c>
      <c r="AY65" s="20">
        <f>IF(AO65="241",1,0)</f>
        <v/>
      </c>
      <c r="AZ65" s="20">
        <f>IF(AO65="220",1,0)</f>
        <v/>
      </c>
      <c r="BA65" s="20">
        <f>IF(AO65="OTHER",1,0)</f>
        <v/>
      </c>
      <c r="BB65" s="20">
        <f>IF(UPPER(TRIM(C65))="LM",1,0)</f>
        <v/>
      </c>
      <c r="BC65" s="20">
        <f>IF(UPPER(TRIM(C65))="PN",1,0)</f>
        <v/>
      </c>
      <c r="BD65" s="20">
        <f>IF(UPPER(TRIM(C65))="LS",1,0)</f>
        <v/>
      </c>
      <c r="BE65" s="20">
        <f>IF(UPPER(TRIM(C65))="RX",1,0)</f>
        <v/>
      </c>
      <c r="BF65" s="22">
        <f>IFERROR((Parameters!$C$6*AM65+Parameters!$C$7*MAX(AM65-(-150),0)+Parameters!$C$8*MAX(AM65-(-50),0)+Parameters!$C$9*MAX(AM65-(0),0)+Parameters!$C$10*MAX(AM65-(50),0)+Parameters!$C$11*MAX(AM65-(100),0)+Parameters!$C$12*MAX(AM65-(150),0)+Parameters!$C$13*MAX(AM65-(250),0)),0)</f>
        <v/>
      </c>
      <c r="BG65" s="22">
        <f>IFERROR((Parameters!$C$14*AA65+Parameters!$C$15*MAX(AA65-(12),0)+Parameters!$C$16*MAX(AA65-(36),0)+Parameters!$C$17*MAX(AA65-(60),0)+Parameters!$C$18*MAX(AA65-(84),0)+Parameters!$C$19*MAX(AA65-(120),0)+Parameters!$C$20*MAX(AA65-(180),0)),0)</f>
        <v/>
      </c>
      <c r="BH65" s="22">
        <f>IFERROR((Parameters!$C$21*AK65+Parameters!$C$22*MAX(AK65-(0),0)+Parameters!$C$23*MAX(AK65-(2),0)+Parameters!$C$24*MAX(AK65-(5),0)+Parameters!$C$25*MAX(AK65-(8),0)),0)</f>
        <v/>
      </c>
      <c r="BI65" s="22">
        <f>IFERROR((Parameters!$C$26*AI65+Parameters!$C$27*MAX(AI65-(-100),0)+Parameters!$C$28*MAX(AI65-(-25),0)+Parameters!$C$29*MAX(AI65-(25),0)+Parameters!$C$30*MAX(AI65-(100),0)),0)</f>
        <v/>
      </c>
      <c r="BJ65" s="22">
        <f>IFERROR((Parameters!$C$31*AN65+Parameters!$C$32*MAX(AN65-(2),0)+Parameters!$C$33*MAX(AN65-(10),0)+Parameters!$C$34*MAX(AN65-(25),0)),0)</f>
        <v/>
      </c>
      <c r="BK65" s="22">
        <f>IFERROR((Parameters!$C$35*AB65+Parameters!$C$36*MAX(AB65-(12),0)+Parameters!$C$37*MAX(AB65-(24),0)+Parameters!$C$38*MAX(AB65-(60),0)),0)</f>
        <v/>
      </c>
      <c r="BL65" s="22">
        <f>IFERROR((Parameters!$C$39*AC65+Parameters!$C$40*MAX(AC65-(6),0)+Parameters!$C$41*MAX(AC65-(12),0)+Parameters!$C$42*MAX(AC65-(24),0)),0)</f>
        <v/>
      </c>
      <c r="BM65" s="22">
        <f>IFERROR(Parameters!$C$43*(MAX(AM65,0)*MIN(MAX(AK65,0),10))/100,0)</f>
        <v/>
      </c>
      <c r="BN65" s="22">
        <f>Parameters!$C$44*AE65</f>
        <v/>
      </c>
      <c r="BO65" s="22">
        <f>Parameters!$C$45*AU65 + Parameters!$C$46*AV65 + Parameters!$C$47*AW65 + Parameters!$C$48*AX65 + Parameters!$C$49*AY65 + Parameters!$C$50*AZ65 + Parameters!$C$51*BA65</f>
        <v/>
      </c>
      <c r="BP65" s="22">
        <f>Parameters!$C$52*AQ65</f>
        <v/>
      </c>
      <c r="BQ65" s="22">
        <f>Parameters!$C$53*AR65+Parameters!$C$54*AS65+Parameters!$C$55*AT65</f>
        <v/>
      </c>
      <c r="BR65" s="22">
        <f>Parameters!$C$56*BB65+Parameters!$C$57*BC65+Parameters!$C$58*BD65+Parameters!$C$59*BE65</f>
        <v/>
      </c>
      <c r="BS65" s="23">
        <f>Parameters!$B$2</f>
        <v/>
      </c>
      <c r="BT65" s="23">
        <f>BS65+BF65 + BG65 + BH65 + BI65 + BJ65 + BK65 + BL65 + BM65 + BN65 + BO65 + BP65 + BQ65 + BR65</f>
        <v/>
      </c>
      <c r="BU65" s="24">
        <f>IF(AD65=1,0,1/(1+EXP(-BT65))*Parameters!$B$3)</f>
        <v/>
      </c>
      <c r="BV65" s="25">
        <f>(1-(1-BU65)^12)*100</f>
        <v/>
      </c>
      <c r="BW65" s="25">
        <f>IF(AD65=1,0,(1-(1-1/(1+EXP(-Parameters!$B$2)))^12)*100)</f>
        <v/>
      </c>
      <c r="BX65" s="25">
        <f>IF(AD65=1,0,BV65-(1-(1-(1/(1+EXP(-(BT65-BF65)))*Parameters!$B$3))^12)*100)</f>
        <v/>
      </c>
      <c r="BY65" s="25">
        <f>IF(AD65=1,0,BV65-(1-(1-(1/(1+EXP(-(BT65-BG65)))*Parameters!$B$3))^12)*100)</f>
        <v/>
      </c>
      <c r="BZ65" s="25">
        <f>IF(AD65=1,0,BV65-(1-(1-(1/(1+EXP(-(BT65-BH65)))*Parameters!$B$3))^12)*100)</f>
        <v/>
      </c>
      <c r="CA65" s="25">
        <f>IF(AD65=1,0,BV65-(1-(1-(1/(1+EXP(-(BT65-BI65)))*Parameters!$B$3))^12)*100)</f>
        <v/>
      </c>
      <c r="CB65" s="25">
        <f>IF(AD65=1,0,BV65-(1-(1-(1/(1+EXP(-(BT65-BJ65)))*Parameters!$B$3))^12)*100)</f>
        <v/>
      </c>
      <c r="CC65" s="25">
        <f>IF(AD65=1,0,BV65-(1-(1-(1/(1+EXP(-(BT65-BK65)))*Parameters!$B$3))^12)*100)</f>
        <v/>
      </c>
      <c r="CD65" s="25">
        <f>IF(AD65=1,0,BV65-(1-(1-(1/(1+EXP(-(BT65-BL65)))*Parameters!$B$3))^12)*100)</f>
        <v/>
      </c>
      <c r="CE65" s="25">
        <f>IF(AD65=1,0,BV65-(1-(1-(1/(1+EXP(-(BT65-BM65)))*Parameters!$B$3))^12)*100)</f>
        <v/>
      </c>
      <c r="CF65" s="25">
        <f>IF(AD65=1,0,BV65-(1-(1-(1/(1+EXP(-(BT65-BN65)))*Parameters!$B$3))^12)*100)</f>
        <v/>
      </c>
      <c r="CG65" s="25">
        <f>IF(AD65=1,0,BV65-(1-(1-(1/(1+EXP(-(BT65-BO65)))*Parameters!$B$3))^12)*100)</f>
        <v/>
      </c>
      <c r="CH65" s="25">
        <f>IF(AD65=1,0,BV65-(1-(1-(1/(1+EXP(-(BT65-BP65)))*Parameters!$B$3))^12)*100)</f>
        <v/>
      </c>
      <c r="CI65" s="25">
        <f>IF(AD65=1,0,BV65-(1-(1-(1/(1+EXP(-(BT65-BQ65)))*Parameters!$B$3))^12)*100)</f>
        <v/>
      </c>
      <c r="CJ65" s="25">
        <f>IF(AD65=1,0,BV65-(1-(1-(1/(1+EXP(-(BT65-BR65)))*Parameters!$B$3))^12)*100)</f>
        <v/>
      </c>
    </row>
    <row r="66">
      <c r="A66" s="17" t="inlineStr">
        <is>
          <t>GNR_2014_SEASONED</t>
        </is>
      </c>
      <c r="B66" s="17" t="inlineStr">
        <is>
          <t>36180QC22</t>
        </is>
      </c>
      <c r="C66" s="17" t="inlineStr">
        <is>
          <t>PN</t>
        </is>
      </c>
      <c r="D66" s="17" t="inlineStr">
        <is>
          <t>WALKER &amp; DUNLOP, LLC</t>
        </is>
      </c>
      <c r="E66" s="17" t="inlineStr">
        <is>
          <t>36180QC22_000000001211378</t>
        </is>
      </c>
      <c r="F66" s="17" t="n">
        <v>202603</v>
      </c>
      <c r="G66" s="18" t="n">
        <v>3.65</v>
      </c>
      <c r="H66" s="19" t="n">
        <v>2374582.63</v>
      </c>
      <c r="I66" s="17" t="n">
        <v>420</v>
      </c>
      <c r="J66" s="17" t="n">
        <v>20151110</v>
      </c>
      <c r="K66" s="17" t="n">
        <v>20501201</v>
      </c>
      <c r="L66" s="17" t="n"/>
      <c r="M66" s="17" t="n">
        <v>20251230</v>
      </c>
      <c r="N66" s="17" t="n">
        <v>10</v>
      </c>
      <c r="O66" s="17" t="inlineStr">
        <is>
          <t>207/223(f)</t>
        </is>
      </c>
      <c r="P66" s="17" t="inlineStr">
        <is>
          <t>MKT</t>
        </is>
      </c>
      <c r="Q66" s="17" t="n"/>
      <c r="R66" s="17" t="n"/>
      <c r="S66" s="17" t="n"/>
      <c r="T66" s="17" t="inlineStr">
        <is>
          <t>NY</t>
        </is>
      </c>
      <c r="U66" s="17" t="n">
        <v>6</v>
      </c>
      <c r="V66" s="17" t="n">
        <v>490.5</v>
      </c>
      <c r="W66" s="17" t="n">
        <v>124</v>
      </c>
      <c r="X66" s="17" t="n">
        <v>2015</v>
      </c>
      <c r="Y66" s="17" t="n">
        <v>10</v>
      </c>
      <c r="Z66" s="17" t="n">
        <v>0</v>
      </c>
      <c r="AA66" s="20">
        <f>IF(ISNUMBER(W66),W66,IFERROR(MAX(0,(VALUE(LEFT(F66,4))-VALUE(LEFT(TEXT(J66,"00000000"),4)))*12+(VALUE(MID(F66,5,2))-VALUE(MID(TEXT(J66,"00000000"),5,2)))),""))</f>
        <v/>
      </c>
      <c r="AB66" s="20">
        <f>IFERROR((VALUE(LEFT(TEXT(K66,"00000000"),4))-VALUE(LEFT(F66,4)))*12+(VALUE(MID(TEXT(K66,"00000000"),5,2))-VALUE(MID(F66,5,2))),"")</f>
        <v/>
      </c>
      <c r="AC66" s="20">
        <f>IF(OR(L66="",NOT(ISNUMBER(L66))),0,MAX(0,MIN(60,(VALUE(LEFT(F66,4))-VALUE(LEFT(TEXT(L66,"00000000"),4)))*12+(VALUE(MID(F66,5,2))-VALUE(MID(TEXT(L66,"00000000"),5,2))))))</f>
        <v/>
      </c>
      <c r="AD66" s="20">
        <f>IF(OR(L66="",NOT(ISNUMBER(L66))),0,IF(VALUE(F66)&lt;VALUE(LEFT(TEXT(L66,"00000000"),6)),1,0))</f>
        <v/>
      </c>
      <c r="AE66" s="20">
        <f>IF(OR(M66="",NOT(ISNUMBER(M66))),0,IF(VALUE(F66)&lt;VALUE(LEFT(TEXT(M66,"00000000"),6)),1,0))</f>
        <v/>
      </c>
      <c r="AF66" s="20">
        <f>IF(AND(AD66=0,AE66=0),1,0)</f>
        <v/>
      </c>
      <c r="AG66" s="20">
        <f>IF(ISNUMBER(X66),X66,IFERROR(VALUE(LEFT(TEXT(J66,"00000000"),4)),""))</f>
        <v/>
      </c>
      <c r="AH66" s="20">
        <f>IFERROR(XLOOKUP(AG66,Vintage_Rates!$A$2:$A$1000,Vintage_Rates!$B$2:$B$1000,""),"")</f>
        <v/>
      </c>
      <c r="AI66" s="20">
        <f>IF(ISNUMBER(Y66),Y66,IFERROR((G66-AH66)*100,""))</f>
        <v/>
      </c>
      <c r="AJ66" s="20">
        <f>IF(ISNUMBER(V66),V66,IFERROR(XLOOKUP(VALUE(F66),PLC_Rates!$A$2:$A$1000,PLC_Rates!$B$2:$B$1000,""),""))</f>
        <v/>
      </c>
      <c r="AK66" s="20">
        <f>IF(ISNUMBER(Z66),Z66,IF(AE66=0,0,MAX(0,MIN(10,((VALUE(LEFT(TEXT(M66,"00000000"),4))-VALUE(LEFT(F66,4)))*12+(VALUE(MID(TEXT(M66,"00000000"),5,2))-VALUE(MID(F66,5,2))))/12))))</f>
        <v/>
      </c>
      <c r="AL66" s="20">
        <f>IFERROR(G66*100-AJ66,"")</f>
        <v/>
      </c>
      <c r="AM66" s="20">
        <f>IFERROR(G66*100-(AJ66+(1+AK66)*12.5),"")</f>
        <v/>
      </c>
      <c r="AN66" s="21">
        <f>IFERROR(MIN(H66/1000000,100),"")</f>
        <v/>
      </c>
      <c r="AO66" s="20">
        <f>IFERROR(INDEX(FHA_Lookup!$B$2:$B$11,MATCH(TRUE,ISNUMBER(SEARCH(FHA_Lookup!$A$2:$A$11,UPPER(SUBSTITUTE(O66," ","")))),0)),"OTHER")</f>
        <v/>
      </c>
      <c r="AP66" s="20">
        <f>IFERROR(INDEX(FHA_Lookup!$C$2:$C$11,MATCH(TRUE,ISNUMBER(SEARCH(FHA_Lookup!$A$2:$A$11,UPPER(SUBSTITUTE(O66," ","")))),0)),"OTHER")</f>
        <v/>
      </c>
      <c r="AQ66" s="20">
        <f>IF(AP66="NC",1,0)</f>
        <v/>
      </c>
      <c r="AR66" s="20">
        <f>IF(UPPER(TRIM(P66))="AFF",1,0)</f>
        <v/>
      </c>
      <c r="AS66" s="20">
        <f>IF(UPPER(TRIM(P66))="BAF",1,0)</f>
        <v/>
      </c>
      <c r="AT66" s="20">
        <f>IF(UPPER(TRIM(P66))="MKT",1,0)</f>
        <v/>
      </c>
      <c r="AU66" s="20">
        <f>IF(AO66="221d4",1,0)</f>
        <v/>
      </c>
      <c r="AV66" s="20">
        <f>IF(AO66="223a7",1,0)</f>
        <v/>
      </c>
      <c r="AW66" s="20">
        <f>IF(AO66="232",1,0)</f>
        <v/>
      </c>
      <c r="AX66" s="20">
        <f>IF(AO66="538",1,0)</f>
        <v/>
      </c>
      <c r="AY66" s="20">
        <f>IF(AO66="241",1,0)</f>
        <v/>
      </c>
      <c r="AZ66" s="20">
        <f>IF(AO66="220",1,0)</f>
        <v/>
      </c>
      <c r="BA66" s="20">
        <f>IF(AO66="OTHER",1,0)</f>
        <v/>
      </c>
      <c r="BB66" s="20">
        <f>IF(UPPER(TRIM(C66))="LM",1,0)</f>
        <v/>
      </c>
      <c r="BC66" s="20">
        <f>IF(UPPER(TRIM(C66))="PN",1,0)</f>
        <v/>
      </c>
      <c r="BD66" s="20">
        <f>IF(UPPER(TRIM(C66))="LS",1,0)</f>
        <v/>
      </c>
      <c r="BE66" s="20">
        <f>IF(UPPER(TRIM(C66))="RX",1,0)</f>
        <v/>
      </c>
      <c r="BF66" s="22">
        <f>IFERROR((Parameters!$C$6*AM66+Parameters!$C$7*MAX(AM66-(-150),0)+Parameters!$C$8*MAX(AM66-(-50),0)+Parameters!$C$9*MAX(AM66-(0),0)+Parameters!$C$10*MAX(AM66-(50),0)+Parameters!$C$11*MAX(AM66-(100),0)+Parameters!$C$12*MAX(AM66-(150),0)+Parameters!$C$13*MAX(AM66-(250),0)),0)</f>
        <v/>
      </c>
      <c r="BG66" s="22">
        <f>IFERROR((Parameters!$C$14*AA66+Parameters!$C$15*MAX(AA66-(12),0)+Parameters!$C$16*MAX(AA66-(36),0)+Parameters!$C$17*MAX(AA66-(60),0)+Parameters!$C$18*MAX(AA66-(84),0)+Parameters!$C$19*MAX(AA66-(120),0)+Parameters!$C$20*MAX(AA66-(180),0)),0)</f>
        <v/>
      </c>
      <c r="BH66" s="22">
        <f>IFERROR((Parameters!$C$21*AK66+Parameters!$C$22*MAX(AK66-(0),0)+Parameters!$C$23*MAX(AK66-(2),0)+Parameters!$C$24*MAX(AK66-(5),0)+Parameters!$C$25*MAX(AK66-(8),0)),0)</f>
        <v/>
      </c>
      <c r="BI66" s="22">
        <f>IFERROR((Parameters!$C$26*AI66+Parameters!$C$27*MAX(AI66-(-100),0)+Parameters!$C$28*MAX(AI66-(-25),0)+Parameters!$C$29*MAX(AI66-(25),0)+Parameters!$C$30*MAX(AI66-(100),0)),0)</f>
        <v/>
      </c>
      <c r="BJ66" s="22">
        <f>IFERROR((Parameters!$C$31*AN66+Parameters!$C$32*MAX(AN66-(2),0)+Parameters!$C$33*MAX(AN66-(10),0)+Parameters!$C$34*MAX(AN66-(25),0)),0)</f>
        <v/>
      </c>
      <c r="BK66" s="22">
        <f>IFERROR((Parameters!$C$35*AB66+Parameters!$C$36*MAX(AB66-(12),0)+Parameters!$C$37*MAX(AB66-(24),0)+Parameters!$C$38*MAX(AB66-(60),0)),0)</f>
        <v/>
      </c>
      <c r="BL66" s="22">
        <f>IFERROR((Parameters!$C$39*AC66+Parameters!$C$40*MAX(AC66-(6),0)+Parameters!$C$41*MAX(AC66-(12),0)+Parameters!$C$42*MAX(AC66-(24),0)),0)</f>
        <v/>
      </c>
      <c r="BM66" s="22">
        <f>IFERROR(Parameters!$C$43*(MAX(AM66,0)*MIN(MAX(AK66,0),10))/100,0)</f>
        <v/>
      </c>
      <c r="BN66" s="22">
        <f>Parameters!$C$44*AE66</f>
        <v/>
      </c>
      <c r="BO66" s="22">
        <f>Parameters!$C$45*AU66 + Parameters!$C$46*AV66 + Parameters!$C$47*AW66 + Parameters!$C$48*AX66 + Parameters!$C$49*AY66 + Parameters!$C$50*AZ66 + Parameters!$C$51*BA66</f>
        <v/>
      </c>
      <c r="BP66" s="22">
        <f>Parameters!$C$52*AQ66</f>
        <v/>
      </c>
      <c r="BQ66" s="22">
        <f>Parameters!$C$53*AR66+Parameters!$C$54*AS66+Parameters!$C$55*AT66</f>
        <v/>
      </c>
      <c r="BR66" s="22">
        <f>Parameters!$C$56*BB66+Parameters!$C$57*BC66+Parameters!$C$58*BD66+Parameters!$C$59*BE66</f>
        <v/>
      </c>
      <c r="BS66" s="23">
        <f>Parameters!$B$2</f>
        <v/>
      </c>
      <c r="BT66" s="23">
        <f>BS66+BF66 + BG66 + BH66 + BI66 + BJ66 + BK66 + BL66 + BM66 + BN66 + BO66 + BP66 + BQ66 + BR66</f>
        <v/>
      </c>
      <c r="BU66" s="24">
        <f>IF(AD66=1,0,1/(1+EXP(-BT66))*Parameters!$B$3)</f>
        <v/>
      </c>
      <c r="BV66" s="25">
        <f>(1-(1-BU66)^12)*100</f>
        <v/>
      </c>
      <c r="BW66" s="25">
        <f>IF(AD66=1,0,(1-(1-1/(1+EXP(-Parameters!$B$2)))^12)*100)</f>
        <v/>
      </c>
      <c r="BX66" s="25">
        <f>IF(AD66=1,0,BV66-(1-(1-(1/(1+EXP(-(BT66-BF66)))*Parameters!$B$3))^12)*100)</f>
        <v/>
      </c>
      <c r="BY66" s="25">
        <f>IF(AD66=1,0,BV66-(1-(1-(1/(1+EXP(-(BT66-BG66)))*Parameters!$B$3))^12)*100)</f>
        <v/>
      </c>
      <c r="BZ66" s="25">
        <f>IF(AD66=1,0,BV66-(1-(1-(1/(1+EXP(-(BT66-BH66)))*Parameters!$B$3))^12)*100)</f>
        <v/>
      </c>
      <c r="CA66" s="25">
        <f>IF(AD66=1,0,BV66-(1-(1-(1/(1+EXP(-(BT66-BI66)))*Parameters!$B$3))^12)*100)</f>
        <v/>
      </c>
      <c r="CB66" s="25">
        <f>IF(AD66=1,0,BV66-(1-(1-(1/(1+EXP(-(BT66-BJ66)))*Parameters!$B$3))^12)*100)</f>
        <v/>
      </c>
      <c r="CC66" s="25">
        <f>IF(AD66=1,0,BV66-(1-(1-(1/(1+EXP(-(BT66-BK66)))*Parameters!$B$3))^12)*100)</f>
        <v/>
      </c>
      <c r="CD66" s="25">
        <f>IF(AD66=1,0,BV66-(1-(1-(1/(1+EXP(-(BT66-BL66)))*Parameters!$B$3))^12)*100)</f>
        <v/>
      </c>
      <c r="CE66" s="25">
        <f>IF(AD66=1,0,BV66-(1-(1-(1/(1+EXP(-(BT66-BM66)))*Parameters!$B$3))^12)*100)</f>
        <v/>
      </c>
      <c r="CF66" s="25">
        <f>IF(AD66=1,0,BV66-(1-(1-(1/(1+EXP(-(BT66-BN66)))*Parameters!$B$3))^12)*100)</f>
        <v/>
      </c>
      <c r="CG66" s="25">
        <f>IF(AD66=1,0,BV66-(1-(1-(1/(1+EXP(-(BT66-BO66)))*Parameters!$B$3))^12)*100)</f>
        <v/>
      </c>
      <c r="CH66" s="25">
        <f>IF(AD66=1,0,BV66-(1-(1-(1/(1+EXP(-(BT66-BP66)))*Parameters!$B$3))^12)*100)</f>
        <v/>
      </c>
      <c r="CI66" s="25">
        <f>IF(AD66=1,0,BV66-(1-(1-(1/(1+EXP(-(BT66-BQ66)))*Parameters!$B$3))^12)*100)</f>
        <v/>
      </c>
      <c r="CJ66" s="25">
        <f>IF(AD66=1,0,BV66-(1-(1-(1/(1+EXP(-(BT66-BR66)))*Parameters!$B$3))^12)*100)</f>
        <v/>
      </c>
    </row>
    <row r="67">
      <c r="A67" s="17" t="inlineStr">
        <is>
          <t>GNR_2014_SEASONED</t>
        </is>
      </c>
      <c r="B67" s="17" t="inlineStr">
        <is>
          <t>3617QANQ6</t>
        </is>
      </c>
      <c r="C67" s="17" t="inlineStr">
        <is>
          <t>LM</t>
        </is>
      </c>
      <c r="D67" s="17" t="inlineStr">
        <is>
          <t>WALKER &amp; DUNLOP, LLC</t>
        </is>
      </c>
      <c r="E67" s="17" t="inlineStr">
        <is>
          <t>3617QANQ6_000000001211336</t>
        </is>
      </c>
      <c r="F67" s="17" t="n">
        <v>202603</v>
      </c>
      <c r="G67" s="18" t="n">
        <v>3.45</v>
      </c>
      <c r="H67" s="19" t="n">
        <v>3225023.35</v>
      </c>
      <c r="I67" s="17" t="n">
        <v>420</v>
      </c>
      <c r="J67" s="17" t="n">
        <v>20141023</v>
      </c>
      <c r="K67" s="17" t="n">
        <v>20491101</v>
      </c>
      <c r="L67" s="17" t="n">
        <v>20211101</v>
      </c>
      <c r="M67" s="17" t="n">
        <v>20301101</v>
      </c>
      <c r="N67" s="17" t="n">
        <v>9</v>
      </c>
      <c r="O67" s="17" t="inlineStr">
        <is>
          <t>223(f)/207</t>
        </is>
      </c>
      <c r="P67" s="17" t="inlineStr">
        <is>
          <t>MKT</t>
        </is>
      </c>
      <c r="Q67" s="17" t="inlineStr">
        <is>
          <t>M</t>
        </is>
      </c>
      <c r="R67" s="17" t="n"/>
      <c r="S67" s="17" t="n">
        <v>1</v>
      </c>
      <c r="T67" s="17" t="inlineStr">
        <is>
          <t>NY</t>
        </is>
      </c>
      <c r="U67" s="17" t="n">
        <v>48</v>
      </c>
      <c r="V67" s="17" t="n">
        <v>490.5</v>
      </c>
      <c r="W67" s="17" t="n">
        <v>137</v>
      </c>
      <c r="X67" s="17" t="n">
        <v>2014</v>
      </c>
      <c r="Y67" s="17" t="n">
        <v>-40</v>
      </c>
      <c r="Z67" s="17" t="n">
        <v>6</v>
      </c>
      <c r="AA67" s="20">
        <f>IF(ISNUMBER(W67),W67,IFERROR(MAX(0,(VALUE(LEFT(F67,4))-VALUE(LEFT(TEXT(J67,"00000000"),4)))*12+(VALUE(MID(F67,5,2))-VALUE(MID(TEXT(J67,"00000000"),5,2)))),""))</f>
        <v/>
      </c>
      <c r="AB67" s="20">
        <f>IFERROR((VALUE(LEFT(TEXT(K67,"00000000"),4))-VALUE(LEFT(F67,4)))*12+(VALUE(MID(TEXT(K67,"00000000"),5,2))-VALUE(MID(F67,5,2))),"")</f>
        <v/>
      </c>
      <c r="AC67" s="20">
        <f>IF(OR(L67="",NOT(ISNUMBER(L67))),0,MAX(0,MIN(60,(VALUE(LEFT(F67,4))-VALUE(LEFT(TEXT(L67,"00000000"),4)))*12+(VALUE(MID(F67,5,2))-VALUE(MID(TEXT(L67,"00000000"),5,2))))))</f>
        <v/>
      </c>
      <c r="AD67" s="20">
        <f>IF(OR(L67="",NOT(ISNUMBER(L67))),0,IF(VALUE(F67)&lt;VALUE(LEFT(TEXT(L67,"00000000"),6)),1,0))</f>
        <v/>
      </c>
      <c r="AE67" s="20">
        <f>IF(OR(M67="",NOT(ISNUMBER(M67))),0,IF(VALUE(F67)&lt;VALUE(LEFT(TEXT(M67,"00000000"),6)),1,0))</f>
        <v/>
      </c>
      <c r="AF67" s="20">
        <f>IF(AND(AD67=0,AE67=0),1,0)</f>
        <v/>
      </c>
      <c r="AG67" s="20">
        <f>IF(ISNUMBER(X67),X67,IFERROR(VALUE(LEFT(TEXT(J67,"00000000"),4)),""))</f>
        <v/>
      </c>
      <c r="AH67" s="20">
        <f>IFERROR(XLOOKUP(AG67,Vintage_Rates!$A$2:$A$1000,Vintage_Rates!$B$2:$B$1000,""),"")</f>
        <v/>
      </c>
      <c r="AI67" s="20">
        <f>IF(ISNUMBER(Y67),Y67,IFERROR((G67-AH67)*100,""))</f>
        <v/>
      </c>
      <c r="AJ67" s="20">
        <f>IF(ISNUMBER(V67),V67,IFERROR(XLOOKUP(VALUE(F67),PLC_Rates!$A$2:$A$1000,PLC_Rates!$B$2:$B$1000,""),""))</f>
        <v/>
      </c>
      <c r="AK67" s="20">
        <f>IF(ISNUMBER(Z67),Z67,IF(AE67=0,0,MAX(0,MIN(10,((VALUE(LEFT(TEXT(M67,"00000000"),4))-VALUE(LEFT(F67,4)))*12+(VALUE(MID(TEXT(M67,"00000000"),5,2))-VALUE(MID(F67,5,2))))/12))))</f>
        <v/>
      </c>
      <c r="AL67" s="20">
        <f>IFERROR(G67*100-AJ67,"")</f>
        <v/>
      </c>
      <c r="AM67" s="20">
        <f>IFERROR(G67*100-(AJ67+(1+AK67)*12.5),"")</f>
        <v/>
      </c>
      <c r="AN67" s="21">
        <f>IFERROR(MIN(H67/1000000,100),"")</f>
        <v/>
      </c>
      <c r="AO67" s="20">
        <f>IFERROR(INDEX(FHA_Lookup!$B$2:$B$11,MATCH(TRUE,ISNUMBER(SEARCH(FHA_Lookup!$A$2:$A$11,UPPER(SUBSTITUTE(O67," ","")))),0)),"OTHER")</f>
        <v/>
      </c>
      <c r="AP67" s="20">
        <f>IFERROR(INDEX(FHA_Lookup!$C$2:$C$11,MATCH(TRUE,ISNUMBER(SEARCH(FHA_Lookup!$A$2:$A$11,UPPER(SUBSTITUTE(O67," ","")))),0)),"OTHER")</f>
        <v/>
      </c>
      <c r="AQ67" s="20">
        <f>IF(AP67="NC",1,0)</f>
        <v/>
      </c>
      <c r="AR67" s="20">
        <f>IF(UPPER(TRIM(P67))="AFF",1,0)</f>
        <v/>
      </c>
      <c r="AS67" s="20">
        <f>IF(UPPER(TRIM(P67))="BAF",1,0)</f>
        <v/>
      </c>
      <c r="AT67" s="20">
        <f>IF(UPPER(TRIM(P67))="MKT",1,0)</f>
        <v/>
      </c>
      <c r="AU67" s="20">
        <f>IF(AO67="221d4",1,0)</f>
        <v/>
      </c>
      <c r="AV67" s="20">
        <f>IF(AO67="223a7",1,0)</f>
        <v/>
      </c>
      <c r="AW67" s="20">
        <f>IF(AO67="232",1,0)</f>
        <v/>
      </c>
      <c r="AX67" s="20">
        <f>IF(AO67="538",1,0)</f>
        <v/>
      </c>
      <c r="AY67" s="20">
        <f>IF(AO67="241",1,0)</f>
        <v/>
      </c>
      <c r="AZ67" s="20">
        <f>IF(AO67="220",1,0)</f>
        <v/>
      </c>
      <c r="BA67" s="20">
        <f>IF(AO67="OTHER",1,0)</f>
        <v/>
      </c>
      <c r="BB67" s="20">
        <f>IF(UPPER(TRIM(C67))="LM",1,0)</f>
        <v/>
      </c>
      <c r="BC67" s="20">
        <f>IF(UPPER(TRIM(C67))="PN",1,0)</f>
        <v/>
      </c>
      <c r="BD67" s="20">
        <f>IF(UPPER(TRIM(C67))="LS",1,0)</f>
        <v/>
      </c>
      <c r="BE67" s="20">
        <f>IF(UPPER(TRIM(C67))="RX",1,0)</f>
        <v/>
      </c>
      <c r="BF67" s="22">
        <f>IFERROR((Parameters!$C$6*AM67+Parameters!$C$7*MAX(AM67-(-150),0)+Parameters!$C$8*MAX(AM67-(-50),0)+Parameters!$C$9*MAX(AM67-(0),0)+Parameters!$C$10*MAX(AM67-(50),0)+Parameters!$C$11*MAX(AM67-(100),0)+Parameters!$C$12*MAX(AM67-(150),0)+Parameters!$C$13*MAX(AM67-(250),0)),0)</f>
        <v/>
      </c>
      <c r="BG67" s="22">
        <f>IFERROR((Parameters!$C$14*AA67+Parameters!$C$15*MAX(AA67-(12),0)+Parameters!$C$16*MAX(AA67-(36),0)+Parameters!$C$17*MAX(AA67-(60),0)+Parameters!$C$18*MAX(AA67-(84),0)+Parameters!$C$19*MAX(AA67-(120),0)+Parameters!$C$20*MAX(AA67-(180),0)),0)</f>
        <v/>
      </c>
      <c r="BH67" s="22">
        <f>IFERROR((Parameters!$C$21*AK67+Parameters!$C$22*MAX(AK67-(0),0)+Parameters!$C$23*MAX(AK67-(2),0)+Parameters!$C$24*MAX(AK67-(5),0)+Parameters!$C$25*MAX(AK67-(8),0)),0)</f>
        <v/>
      </c>
      <c r="BI67" s="22">
        <f>IFERROR((Parameters!$C$26*AI67+Parameters!$C$27*MAX(AI67-(-100),0)+Parameters!$C$28*MAX(AI67-(-25),0)+Parameters!$C$29*MAX(AI67-(25),0)+Parameters!$C$30*MAX(AI67-(100),0)),0)</f>
        <v/>
      </c>
      <c r="BJ67" s="22">
        <f>IFERROR((Parameters!$C$31*AN67+Parameters!$C$32*MAX(AN67-(2),0)+Parameters!$C$33*MAX(AN67-(10),0)+Parameters!$C$34*MAX(AN67-(25),0)),0)</f>
        <v/>
      </c>
      <c r="BK67" s="22">
        <f>IFERROR((Parameters!$C$35*AB67+Parameters!$C$36*MAX(AB67-(12),0)+Parameters!$C$37*MAX(AB67-(24),0)+Parameters!$C$38*MAX(AB67-(60),0)),0)</f>
        <v/>
      </c>
      <c r="BL67" s="22">
        <f>IFERROR((Parameters!$C$39*AC67+Parameters!$C$40*MAX(AC67-(6),0)+Parameters!$C$41*MAX(AC67-(12),0)+Parameters!$C$42*MAX(AC67-(24),0)),0)</f>
        <v/>
      </c>
      <c r="BM67" s="22">
        <f>IFERROR(Parameters!$C$43*(MAX(AM67,0)*MIN(MAX(AK67,0),10))/100,0)</f>
        <v/>
      </c>
      <c r="BN67" s="22">
        <f>Parameters!$C$44*AE67</f>
        <v/>
      </c>
      <c r="BO67" s="22">
        <f>Parameters!$C$45*AU67 + Parameters!$C$46*AV67 + Parameters!$C$47*AW67 + Parameters!$C$48*AX67 + Parameters!$C$49*AY67 + Parameters!$C$50*AZ67 + Parameters!$C$51*BA67</f>
        <v/>
      </c>
      <c r="BP67" s="22">
        <f>Parameters!$C$52*AQ67</f>
        <v/>
      </c>
      <c r="BQ67" s="22">
        <f>Parameters!$C$53*AR67+Parameters!$C$54*AS67+Parameters!$C$55*AT67</f>
        <v/>
      </c>
      <c r="BR67" s="22">
        <f>Parameters!$C$56*BB67+Parameters!$C$57*BC67+Parameters!$C$58*BD67+Parameters!$C$59*BE67</f>
        <v/>
      </c>
      <c r="BS67" s="23">
        <f>Parameters!$B$2</f>
        <v/>
      </c>
      <c r="BT67" s="23">
        <f>BS67+BF67 + BG67 + BH67 + BI67 + BJ67 + BK67 + BL67 + BM67 + BN67 + BO67 + BP67 + BQ67 + BR67</f>
        <v/>
      </c>
      <c r="BU67" s="24">
        <f>IF(AD67=1,0,1/(1+EXP(-BT67))*Parameters!$B$3)</f>
        <v/>
      </c>
      <c r="BV67" s="25">
        <f>(1-(1-BU67)^12)*100</f>
        <v/>
      </c>
      <c r="BW67" s="25">
        <f>IF(AD67=1,0,(1-(1-1/(1+EXP(-Parameters!$B$2)))^12)*100)</f>
        <v/>
      </c>
      <c r="BX67" s="25">
        <f>IF(AD67=1,0,BV67-(1-(1-(1/(1+EXP(-(BT67-BF67)))*Parameters!$B$3))^12)*100)</f>
        <v/>
      </c>
      <c r="BY67" s="25">
        <f>IF(AD67=1,0,BV67-(1-(1-(1/(1+EXP(-(BT67-BG67)))*Parameters!$B$3))^12)*100)</f>
        <v/>
      </c>
      <c r="BZ67" s="25">
        <f>IF(AD67=1,0,BV67-(1-(1-(1/(1+EXP(-(BT67-BH67)))*Parameters!$B$3))^12)*100)</f>
        <v/>
      </c>
      <c r="CA67" s="25">
        <f>IF(AD67=1,0,BV67-(1-(1-(1/(1+EXP(-(BT67-BI67)))*Parameters!$B$3))^12)*100)</f>
        <v/>
      </c>
      <c r="CB67" s="25">
        <f>IF(AD67=1,0,BV67-(1-(1-(1/(1+EXP(-(BT67-BJ67)))*Parameters!$B$3))^12)*100)</f>
        <v/>
      </c>
      <c r="CC67" s="25">
        <f>IF(AD67=1,0,BV67-(1-(1-(1/(1+EXP(-(BT67-BK67)))*Parameters!$B$3))^12)*100)</f>
        <v/>
      </c>
      <c r="CD67" s="25">
        <f>IF(AD67=1,0,BV67-(1-(1-(1/(1+EXP(-(BT67-BL67)))*Parameters!$B$3))^12)*100)</f>
        <v/>
      </c>
      <c r="CE67" s="25">
        <f>IF(AD67=1,0,BV67-(1-(1-(1/(1+EXP(-(BT67-BM67)))*Parameters!$B$3))^12)*100)</f>
        <v/>
      </c>
      <c r="CF67" s="25">
        <f>IF(AD67=1,0,BV67-(1-(1-(1/(1+EXP(-(BT67-BN67)))*Parameters!$B$3))^12)*100)</f>
        <v/>
      </c>
      <c r="CG67" s="25">
        <f>IF(AD67=1,0,BV67-(1-(1-(1/(1+EXP(-(BT67-BO67)))*Parameters!$B$3))^12)*100)</f>
        <v/>
      </c>
      <c r="CH67" s="25">
        <f>IF(AD67=1,0,BV67-(1-(1-(1/(1+EXP(-(BT67-BP67)))*Parameters!$B$3))^12)*100)</f>
        <v/>
      </c>
      <c r="CI67" s="25">
        <f>IF(AD67=1,0,BV67-(1-(1-(1/(1+EXP(-(BT67-BQ67)))*Parameters!$B$3))^12)*100)</f>
        <v/>
      </c>
      <c r="CJ67" s="25">
        <f>IF(AD67=1,0,BV67-(1-(1-(1/(1+EXP(-(BT67-BR67)))*Parameters!$B$3))^12)*100)</f>
        <v/>
      </c>
    </row>
    <row r="68">
      <c r="A68" s="17" t="inlineStr">
        <is>
          <t>GNR_2014_SEASONED</t>
        </is>
      </c>
      <c r="B68" s="17" t="inlineStr">
        <is>
          <t>3617UAX98</t>
        </is>
      </c>
      <c r="C68" s="17" t="inlineStr">
        <is>
          <t>LM</t>
        </is>
      </c>
      <c r="D68" s="17" t="inlineStr">
        <is>
          <t>LUMENT REAL ESTATE CAPITAL,LLC</t>
        </is>
      </c>
      <c r="E68" s="17" t="inlineStr">
        <is>
          <t>3617UAX98_000000012211370</t>
        </is>
      </c>
      <c r="F68" s="17" t="n">
        <v>202603</v>
      </c>
      <c r="G68" s="18" t="n">
        <v>2.96</v>
      </c>
      <c r="H68" s="19" t="n">
        <v>4841391.55</v>
      </c>
      <c r="I68" s="17" t="n">
        <v>420</v>
      </c>
      <c r="J68" s="17" t="n">
        <v>20160427</v>
      </c>
      <c r="K68" s="17" t="n">
        <v>20510501</v>
      </c>
      <c r="L68" s="17" t="n"/>
      <c r="M68" s="17" t="n">
        <v>20310201</v>
      </c>
      <c r="N68" s="17" t="n">
        <v>10</v>
      </c>
      <c r="O68" s="17" t="inlineStr">
        <is>
          <t>207/223(F)</t>
        </is>
      </c>
      <c r="P68" s="17" t="inlineStr">
        <is>
          <t>AFF</t>
        </is>
      </c>
      <c r="Q68" s="17" t="inlineStr">
        <is>
          <t>M</t>
        </is>
      </c>
      <c r="R68" s="17" t="n"/>
      <c r="S68" s="17" t="n">
        <v>1</v>
      </c>
      <c r="T68" s="17" t="inlineStr">
        <is>
          <t>CA</t>
        </is>
      </c>
      <c r="U68" s="17" t="n">
        <v>75</v>
      </c>
      <c r="V68" s="17" t="n">
        <v>490.5</v>
      </c>
      <c r="W68" s="17" t="n">
        <v>119</v>
      </c>
      <c r="X68" s="17" t="n">
        <v>2016</v>
      </c>
      <c r="Y68" s="17" t="n">
        <v>-49</v>
      </c>
      <c r="Z68" s="17" t="n">
        <v>5</v>
      </c>
      <c r="AA68" s="20">
        <f>IF(ISNUMBER(W68),W68,IFERROR(MAX(0,(VALUE(LEFT(F68,4))-VALUE(LEFT(TEXT(J68,"00000000"),4)))*12+(VALUE(MID(F68,5,2))-VALUE(MID(TEXT(J68,"00000000"),5,2)))),""))</f>
        <v/>
      </c>
      <c r="AB68" s="20">
        <f>IFERROR((VALUE(LEFT(TEXT(K68,"00000000"),4))-VALUE(LEFT(F68,4)))*12+(VALUE(MID(TEXT(K68,"00000000"),5,2))-VALUE(MID(F68,5,2))),"")</f>
        <v/>
      </c>
      <c r="AC68" s="20">
        <f>IF(OR(L68="",NOT(ISNUMBER(L68))),0,MAX(0,MIN(60,(VALUE(LEFT(F68,4))-VALUE(LEFT(TEXT(L68,"00000000"),4)))*12+(VALUE(MID(F68,5,2))-VALUE(MID(TEXT(L68,"00000000"),5,2))))))</f>
        <v/>
      </c>
      <c r="AD68" s="20">
        <f>IF(OR(L68="",NOT(ISNUMBER(L68))),0,IF(VALUE(F68)&lt;VALUE(LEFT(TEXT(L68,"00000000"),6)),1,0))</f>
        <v/>
      </c>
      <c r="AE68" s="20">
        <f>IF(OR(M68="",NOT(ISNUMBER(M68))),0,IF(VALUE(F68)&lt;VALUE(LEFT(TEXT(M68,"00000000"),6)),1,0))</f>
        <v/>
      </c>
      <c r="AF68" s="20">
        <f>IF(AND(AD68=0,AE68=0),1,0)</f>
        <v/>
      </c>
      <c r="AG68" s="20">
        <f>IF(ISNUMBER(X68),X68,IFERROR(VALUE(LEFT(TEXT(J68,"00000000"),4)),""))</f>
        <v/>
      </c>
      <c r="AH68" s="20">
        <f>IFERROR(XLOOKUP(AG68,Vintage_Rates!$A$2:$A$1000,Vintage_Rates!$B$2:$B$1000,""),"")</f>
        <v/>
      </c>
      <c r="AI68" s="20">
        <f>IF(ISNUMBER(Y68),Y68,IFERROR((G68-AH68)*100,""))</f>
        <v/>
      </c>
      <c r="AJ68" s="20">
        <f>IF(ISNUMBER(V68),V68,IFERROR(XLOOKUP(VALUE(F68),PLC_Rates!$A$2:$A$1000,PLC_Rates!$B$2:$B$1000,""),""))</f>
        <v/>
      </c>
      <c r="AK68" s="20">
        <f>IF(ISNUMBER(Z68),Z68,IF(AE68=0,0,MAX(0,MIN(10,((VALUE(LEFT(TEXT(M68,"00000000"),4))-VALUE(LEFT(F68,4)))*12+(VALUE(MID(TEXT(M68,"00000000"),5,2))-VALUE(MID(F68,5,2))))/12))))</f>
        <v/>
      </c>
      <c r="AL68" s="20">
        <f>IFERROR(G68*100-AJ68,"")</f>
        <v/>
      </c>
      <c r="AM68" s="20">
        <f>IFERROR(G68*100-(AJ68+(1+AK68)*12.5),"")</f>
        <v/>
      </c>
      <c r="AN68" s="21">
        <f>IFERROR(MIN(H68/1000000,100),"")</f>
        <v/>
      </c>
      <c r="AO68" s="20">
        <f>IFERROR(INDEX(FHA_Lookup!$B$2:$B$11,MATCH(TRUE,ISNUMBER(SEARCH(FHA_Lookup!$A$2:$A$11,UPPER(SUBSTITUTE(O68," ","")))),0)),"OTHER")</f>
        <v/>
      </c>
      <c r="AP68" s="20">
        <f>IFERROR(INDEX(FHA_Lookup!$C$2:$C$11,MATCH(TRUE,ISNUMBER(SEARCH(FHA_Lookup!$A$2:$A$11,UPPER(SUBSTITUTE(O68," ","")))),0)),"OTHER")</f>
        <v/>
      </c>
      <c r="AQ68" s="20">
        <f>IF(AP68="NC",1,0)</f>
        <v/>
      </c>
      <c r="AR68" s="20">
        <f>IF(UPPER(TRIM(P68))="AFF",1,0)</f>
        <v/>
      </c>
      <c r="AS68" s="20">
        <f>IF(UPPER(TRIM(P68))="BAF",1,0)</f>
        <v/>
      </c>
      <c r="AT68" s="20">
        <f>IF(UPPER(TRIM(P68))="MKT",1,0)</f>
        <v/>
      </c>
      <c r="AU68" s="20">
        <f>IF(AO68="221d4",1,0)</f>
        <v/>
      </c>
      <c r="AV68" s="20">
        <f>IF(AO68="223a7",1,0)</f>
        <v/>
      </c>
      <c r="AW68" s="20">
        <f>IF(AO68="232",1,0)</f>
        <v/>
      </c>
      <c r="AX68" s="20">
        <f>IF(AO68="538",1,0)</f>
        <v/>
      </c>
      <c r="AY68" s="20">
        <f>IF(AO68="241",1,0)</f>
        <v/>
      </c>
      <c r="AZ68" s="20">
        <f>IF(AO68="220",1,0)</f>
        <v/>
      </c>
      <c r="BA68" s="20">
        <f>IF(AO68="OTHER",1,0)</f>
        <v/>
      </c>
      <c r="BB68" s="20">
        <f>IF(UPPER(TRIM(C68))="LM",1,0)</f>
        <v/>
      </c>
      <c r="BC68" s="20">
        <f>IF(UPPER(TRIM(C68))="PN",1,0)</f>
        <v/>
      </c>
      <c r="BD68" s="20">
        <f>IF(UPPER(TRIM(C68))="LS",1,0)</f>
        <v/>
      </c>
      <c r="BE68" s="20">
        <f>IF(UPPER(TRIM(C68))="RX",1,0)</f>
        <v/>
      </c>
      <c r="BF68" s="22">
        <f>IFERROR((Parameters!$C$6*AM68+Parameters!$C$7*MAX(AM68-(-150),0)+Parameters!$C$8*MAX(AM68-(-50),0)+Parameters!$C$9*MAX(AM68-(0),0)+Parameters!$C$10*MAX(AM68-(50),0)+Parameters!$C$11*MAX(AM68-(100),0)+Parameters!$C$12*MAX(AM68-(150),0)+Parameters!$C$13*MAX(AM68-(250),0)),0)</f>
        <v/>
      </c>
      <c r="BG68" s="22">
        <f>IFERROR((Parameters!$C$14*AA68+Parameters!$C$15*MAX(AA68-(12),0)+Parameters!$C$16*MAX(AA68-(36),0)+Parameters!$C$17*MAX(AA68-(60),0)+Parameters!$C$18*MAX(AA68-(84),0)+Parameters!$C$19*MAX(AA68-(120),0)+Parameters!$C$20*MAX(AA68-(180),0)),0)</f>
        <v/>
      </c>
      <c r="BH68" s="22">
        <f>IFERROR((Parameters!$C$21*AK68+Parameters!$C$22*MAX(AK68-(0),0)+Parameters!$C$23*MAX(AK68-(2),0)+Parameters!$C$24*MAX(AK68-(5),0)+Parameters!$C$25*MAX(AK68-(8),0)),0)</f>
        <v/>
      </c>
      <c r="BI68" s="22">
        <f>IFERROR((Parameters!$C$26*AI68+Parameters!$C$27*MAX(AI68-(-100),0)+Parameters!$C$28*MAX(AI68-(-25),0)+Parameters!$C$29*MAX(AI68-(25),0)+Parameters!$C$30*MAX(AI68-(100),0)),0)</f>
        <v/>
      </c>
      <c r="BJ68" s="22">
        <f>IFERROR((Parameters!$C$31*AN68+Parameters!$C$32*MAX(AN68-(2),0)+Parameters!$C$33*MAX(AN68-(10),0)+Parameters!$C$34*MAX(AN68-(25),0)),0)</f>
        <v/>
      </c>
      <c r="BK68" s="22">
        <f>IFERROR((Parameters!$C$35*AB68+Parameters!$C$36*MAX(AB68-(12),0)+Parameters!$C$37*MAX(AB68-(24),0)+Parameters!$C$38*MAX(AB68-(60),0)),0)</f>
        <v/>
      </c>
      <c r="BL68" s="22">
        <f>IFERROR((Parameters!$C$39*AC68+Parameters!$C$40*MAX(AC68-(6),0)+Parameters!$C$41*MAX(AC68-(12),0)+Parameters!$C$42*MAX(AC68-(24),0)),0)</f>
        <v/>
      </c>
      <c r="BM68" s="22">
        <f>IFERROR(Parameters!$C$43*(MAX(AM68,0)*MIN(MAX(AK68,0),10))/100,0)</f>
        <v/>
      </c>
      <c r="BN68" s="22">
        <f>Parameters!$C$44*AE68</f>
        <v/>
      </c>
      <c r="BO68" s="22">
        <f>Parameters!$C$45*AU68 + Parameters!$C$46*AV68 + Parameters!$C$47*AW68 + Parameters!$C$48*AX68 + Parameters!$C$49*AY68 + Parameters!$C$50*AZ68 + Parameters!$C$51*BA68</f>
        <v/>
      </c>
      <c r="BP68" s="22">
        <f>Parameters!$C$52*AQ68</f>
        <v/>
      </c>
      <c r="BQ68" s="22">
        <f>Parameters!$C$53*AR68+Parameters!$C$54*AS68+Parameters!$C$55*AT68</f>
        <v/>
      </c>
      <c r="BR68" s="22">
        <f>Parameters!$C$56*BB68+Parameters!$C$57*BC68+Parameters!$C$58*BD68+Parameters!$C$59*BE68</f>
        <v/>
      </c>
      <c r="BS68" s="23">
        <f>Parameters!$B$2</f>
        <v/>
      </c>
      <c r="BT68" s="23">
        <f>BS68+BF68 + BG68 + BH68 + BI68 + BJ68 + BK68 + BL68 + BM68 + BN68 + BO68 + BP68 + BQ68 + BR68</f>
        <v/>
      </c>
      <c r="BU68" s="24">
        <f>IF(AD68=1,0,1/(1+EXP(-BT68))*Parameters!$B$3)</f>
        <v/>
      </c>
      <c r="BV68" s="25">
        <f>(1-(1-BU68)^12)*100</f>
        <v/>
      </c>
      <c r="BW68" s="25">
        <f>IF(AD68=1,0,(1-(1-1/(1+EXP(-Parameters!$B$2)))^12)*100)</f>
        <v/>
      </c>
      <c r="BX68" s="25">
        <f>IF(AD68=1,0,BV68-(1-(1-(1/(1+EXP(-(BT68-BF68)))*Parameters!$B$3))^12)*100)</f>
        <v/>
      </c>
      <c r="BY68" s="25">
        <f>IF(AD68=1,0,BV68-(1-(1-(1/(1+EXP(-(BT68-BG68)))*Parameters!$B$3))^12)*100)</f>
        <v/>
      </c>
      <c r="BZ68" s="25">
        <f>IF(AD68=1,0,BV68-(1-(1-(1/(1+EXP(-(BT68-BH68)))*Parameters!$B$3))^12)*100)</f>
        <v/>
      </c>
      <c r="CA68" s="25">
        <f>IF(AD68=1,0,BV68-(1-(1-(1/(1+EXP(-(BT68-BI68)))*Parameters!$B$3))^12)*100)</f>
        <v/>
      </c>
      <c r="CB68" s="25">
        <f>IF(AD68=1,0,BV68-(1-(1-(1/(1+EXP(-(BT68-BJ68)))*Parameters!$B$3))^12)*100)</f>
        <v/>
      </c>
      <c r="CC68" s="25">
        <f>IF(AD68=1,0,BV68-(1-(1-(1/(1+EXP(-(BT68-BK68)))*Parameters!$B$3))^12)*100)</f>
        <v/>
      </c>
      <c r="CD68" s="25">
        <f>IF(AD68=1,0,BV68-(1-(1-(1/(1+EXP(-(BT68-BL68)))*Parameters!$B$3))^12)*100)</f>
        <v/>
      </c>
      <c r="CE68" s="25">
        <f>IF(AD68=1,0,BV68-(1-(1-(1/(1+EXP(-(BT68-BM68)))*Parameters!$B$3))^12)*100)</f>
        <v/>
      </c>
      <c r="CF68" s="25">
        <f>IF(AD68=1,0,BV68-(1-(1-(1/(1+EXP(-(BT68-BN68)))*Parameters!$B$3))^12)*100)</f>
        <v/>
      </c>
      <c r="CG68" s="25">
        <f>IF(AD68=1,0,BV68-(1-(1-(1/(1+EXP(-(BT68-BO68)))*Parameters!$B$3))^12)*100)</f>
        <v/>
      </c>
      <c r="CH68" s="25">
        <f>IF(AD68=1,0,BV68-(1-(1-(1/(1+EXP(-(BT68-BP68)))*Parameters!$B$3))^12)*100)</f>
        <v/>
      </c>
      <c r="CI68" s="25">
        <f>IF(AD68=1,0,BV68-(1-(1-(1/(1+EXP(-(BT68-BQ68)))*Parameters!$B$3))^12)*100)</f>
        <v/>
      </c>
      <c r="CJ68" s="25">
        <f>IF(AD68=1,0,BV68-(1-(1-(1/(1+EXP(-(BT68-BR68)))*Parameters!$B$3))^12)*100)</f>
        <v/>
      </c>
    </row>
    <row r="69">
      <c r="A69" s="17" t="inlineStr">
        <is>
          <t>GNR_2014_SEASONED</t>
        </is>
      </c>
      <c r="B69" s="17" t="inlineStr">
        <is>
          <t>36179G4B6</t>
        </is>
      </c>
      <c r="C69" s="17" t="inlineStr">
        <is>
          <t>PN</t>
        </is>
      </c>
      <c r="D69" s="17" t="inlineStr">
        <is>
          <t>JLL REAL ESTATE CAPITAL, LLC</t>
        </is>
      </c>
      <c r="E69" s="17" t="inlineStr">
        <is>
          <t>36179G4B6_000000012611098</t>
        </is>
      </c>
      <c r="F69" s="17" t="n">
        <v>202603</v>
      </c>
      <c r="G69" s="18" t="n">
        <v>2.84</v>
      </c>
      <c r="H69" s="19" t="n">
        <v>8959365</v>
      </c>
      <c r="I69" s="17" t="n">
        <v>420</v>
      </c>
      <c r="J69" s="17" t="n">
        <v>20130501</v>
      </c>
      <c r="K69" s="17" t="n">
        <v>20480601</v>
      </c>
      <c r="L69" s="17" t="n"/>
      <c r="M69" s="17" t="n">
        <v>20230701</v>
      </c>
      <c r="N69" s="17" t="n">
        <v>10</v>
      </c>
      <c r="O69" s="17" t="inlineStr">
        <is>
          <t>223(F)</t>
        </is>
      </c>
      <c r="P69" s="17" t="inlineStr">
        <is>
          <t>MKT</t>
        </is>
      </c>
      <c r="Q69" s="17" t="n"/>
      <c r="R69" s="17" t="n"/>
      <c r="S69" s="17" t="n"/>
      <c r="T69" s="17" t="inlineStr">
        <is>
          <t>OR</t>
        </is>
      </c>
      <c r="U69" s="17" t="n">
        <v>160</v>
      </c>
      <c r="V69" s="17" t="n">
        <v>490.5</v>
      </c>
      <c r="W69" s="17" t="n">
        <v>154</v>
      </c>
      <c r="X69" s="17" t="n">
        <v>2013</v>
      </c>
      <c r="Y69" s="17" t="n">
        <v>-54</v>
      </c>
      <c r="Z69" s="17" t="n">
        <v>0</v>
      </c>
      <c r="AA69" s="20">
        <f>IF(ISNUMBER(W69),W69,IFERROR(MAX(0,(VALUE(LEFT(F69,4))-VALUE(LEFT(TEXT(J69,"00000000"),4)))*12+(VALUE(MID(F69,5,2))-VALUE(MID(TEXT(J69,"00000000"),5,2)))),""))</f>
        <v/>
      </c>
      <c r="AB69" s="20">
        <f>IFERROR((VALUE(LEFT(TEXT(K69,"00000000"),4))-VALUE(LEFT(F69,4)))*12+(VALUE(MID(TEXT(K69,"00000000"),5,2))-VALUE(MID(F69,5,2))),"")</f>
        <v/>
      </c>
      <c r="AC69" s="20">
        <f>IF(OR(L69="",NOT(ISNUMBER(L69))),0,MAX(0,MIN(60,(VALUE(LEFT(F69,4))-VALUE(LEFT(TEXT(L69,"00000000"),4)))*12+(VALUE(MID(F69,5,2))-VALUE(MID(TEXT(L69,"00000000"),5,2))))))</f>
        <v/>
      </c>
      <c r="AD69" s="20">
        <f>IF(OR(L69="",NOT(ISNUMBER(L69))),0,IF(VALUE(F69)&lt;VALUE(LEFT(TEXT(L69,"00000000"),6)),1,0))</f>
        <v/>
      </c>
      <c r="AE69" s="20">
        <f>IF(OR(M69="",NOT(ISNUMBER(M69))),0,IF(VALUE(F69)&lt;VALUE(LEFT(TEXT(M69,"00000000"),6)),1,0))</f>
        <v/>
      </c>
      <c r="AF69" s="20">
        <f>IF(AND(AD69=0,AE69=0),1,0)</f>
        <v/>
      </c>
      <c r="AG69" s="20">
        <f>IF(ISNUMBER(X69),X69,IFERROR(VALUE(LEFT(TEXT(J69,"00000000"),4)),""))</f>
        <v/>
      </c>
      <c r="AH69" s="20">
        <f>IFERROR(XLOOKUP(AG69,Vintage_Rates!$A$2:$A$1000,Vintage_Rates!$B$2:$B$1000,""),"")</f>
        <v/>
      </c>
      <c r="AI69" s="20">
        <f>IF(ISNUMBER(Y69),Y69,IFERROR((G69-AH69)*100,""))</f>
        <v/>
      </c>
      <c r="AJ69" s="20">
        <f>IF(ISNUMBER(V69),V69,IFERROR(XLOOKUP(VALUE(F69),PLC_Rates!$A$2:$A$1000,PLC_Rates!$B$2:$B$1000,""),""))</f>
        <v/>
      </c>
      <c r="AK69" s="20">
        <f>IF(ISNUMBER(Z69),Z69,IF(AE69=0,0,MAX(0,MIN(10,((VALUE(LEFT(TEXT(M69,"00000000"),4))-VALUE(LEFT(F69,4)))*12+(VALUE(MID(TEXT(M69,"00000000"),5,2))-VALUE(MID(F69,5,2))))/12))))</f>
        <v/>
      </c>
      <c r="AL69" s="20">
        <f>IFERROR(G69*100-AJ69,"")</f>
        <v/>
      </c>
      <c r="AM69" s="20">
        <f>IFERROR(G69*100-(AJ69+(1+AK69)*12.5),"")</f>
        <v/>
      </c>
      <c r="AN69" s="21">
        <f>IFERROR(MIN(H69/1000000,100),"")</f>
        <v/>
      </c>
      <c r="AO69" s="20">
        <f>IFERROR(INDEX(FHA_Lookup!$B$2:$B$11,MATCH(TRUE,ISNUMBER(SEARCH(FHA_Lookup!$A$2:$A$11,UPPER(SUBSTITUTE(O69," ","")))),0)),"OTHER")</f>
        <v/>
      </c>
      <c r="AP69" s="20">
        <f>IFERROR(INDEX(FHA_Lookup!$C$2:$C$11,MATCH(TRUE,ISNUMBER(SEARCH(FHA_Lookup!$A$2:$A$11,UPPER(SUBSTITUTE(O69," ","")))),0)),"OTHER")</f>
        <v/>
      </c>
      <c r="AQ69" s="20">
        <f>IF(AP69="NC",1,0)</f>
        <v/>
      </c>
      <c r="AR69" s="20">
        <f>IF(UPPER(TRIM(P69))="AFF",1,0)</f>
        <v/>
      </c>
      <c r="AS69" s="20">
        <f>IF(UPPER(TRIM(P69))="BAF",1,0)</f>
        <v/>
      </c>
      <c r="AT69" s="20">
        <f>IF(UPPER(TRIM(P69))="MKT",1,0)</f>
        <v/>
      </c>
      <c r="AU69" s="20">
        <f>IF(AO69="221d4",1,0)</f>
        <v/>
      </c>
      <c r="AV69" s="20">
        <f>IF(AO69="223a7",1,0)</f>
        <v/>
      </c>
      <c r="AW69" s="20">
        <f>IF(AO69="232",1,0)</f>
        <v/>
      </c>
      <c r="AX69" s="20">
        <f>IF(AO69="538",1,0)</f>
        <v/>
      </c>
      <c r="AY69" s="20">
        <f>IF(AO69="241",1,0)</f>
        <v/>
      </c>
      <c r="AZ69" s="20">
        <f>IF(AO69="220",1,0)</f>
        <v/>
      </c>
      <c r="BA69" s="20">
        <f>IF(AO69="OTHER",1,0)</f>
        <v/>
      </c>
      <c r="BB69" s="20">
        <f>IF(UPPER(TRIM(C69))="LM",1,0)</f>
        <v/>
      </c>
      <c r="BC69" s="20">
        <f>IF(UPPER(TRIM(C69))="PN",1,0)</f>
        <v/>
      </c>
      <c r="BD69" s="20">
        <f>IF(UPPER(TRIM(C69))="LS",1,0)</f>
        <v/>
      </c>
      <c r="BE69" s="20">
        <f>IF(UPPER(TRIM(C69))="RX",1,0)</f>
        <v/>
      </c>
      <c r="BF69" s="22">
        <f>IFERROR((Parameters!$C$6*AM69+Parameters!$C$7*MAX(AM69-(-150),0)+Parameters!$C$8*MAX(AM69-(-50),0)+Parameters!$C$9*MAX(AM69-(0),0)+Parameters!$C$10*MAX(AM69-(50),0)+Parameters!$C$11*MAX(AM69-(100),0)+Parameters!$C$12*MAX(AM69-(150),0)+Parameters!$C$13*MAX(AM69-(250),0)),0)</f>
        <v/>
      </c>
      <c r="BG69" s="22">
        <f>IFERROR((Parameters!$C$14*AA69+Parameters!$C$15*MAX(AA69-(12),0)+Parameters!$C$16*MAX(AA69-(36),0)+Parameters!$C$17*MAX(AA69-(60),0)+Parameters!$C$18*MAX(AA69-(84),0)+Parameters!$C$19*MAX(AA69-(120),0)+Parameters!$C$20*MAX(AA69-(180),0)),0)</f>
        <v/>
      </c>
      <c r="BH69" s="22">
        <f>IFERROR((Parameters!$C$21*AK69+Parameters!$C$22*MAX(AK69-(0),0)+Parameters!$C$23*MAX(AK69-(2),0)+Parameters!$C$24*MAX(AK69-(5),0)+Parameters!$C$25*MAX(AK69-(8),0)),0)</f>
        <v/>
      </c>
      <c r="BI69" s="22">
        <f>IFERROR((Parameters!$C$26*AI69+Parameters!$C$27*MAX(AI69-(-100),0)+Parameters!$C$28*MAX(AI69-(-25),0)+Parameters!$C$29*MAX(AI69-(25),0)+Parameters!$C$30*MAX(AI69-(100),0)),0)</f>
        <v/>
      </c>
      <c r="BJ69" s="22">
        <f>IFERROR((Parameters!$C$31*AN69+Parameters!$C$32*MAX(AN69-(2),0)+Parameters!$C$33*MAX(AN69-(10),0)+Parameters!$C$34*MAX(AN69-(25),0)),0)</f>
        <v/>
      </c>
      <c r="BK69" s="22">
        <f>IFERROR((Parameters!$C$35*AB69+Parameters!$C$36*MAX(AB69-(12),0)+Parameters!$C$37*MAX(AB69-(24),0)+Parameters!$C$38*MAX(AB69-(60),0)),0)</f>
        <v/>
      </c>
      <c r="BL69" s="22">
        <f>IFERROR((Parameters!$C$39*AC69+Parameters!$C$40*MAX(AC69-(6),0)+Parameters!$C$41*MAX(AC69-(12),0)+Parameters!$C$42*MAX(AC69-(24),0)),0)</f>
        <v/>
      </c>
      <c r="BM69" s="22">
        <f>IFERROR(Parameters!$C$43*(MAX(AM69,0)*MIN(MAX(AK69,0),10))/100,0)</f>
        <v/>
      </c>
      <c r="BN69" s="22">
        <f>Parameters!$C$44*AE69</f>
        <v/>
      </c>
      <c r="BO69" s="22">
        <f>Parameters!$C$45*AU69 + Parameters!$C$46*AV69 + Parameters!$C$47*AW69 + Parameters!$C$48*AX69 + Parameters!$C$49*AY69 + Parameters!$C$50*AZ69 + Parameters!$C$51*BA69</f>
        <v/>
      </c>
      <c r="BP69" s="22">
        <f>Parameters!$C$52*AQ69</f>
        <v/>
      </c>
      <c r="BQ69" s="22">
        <f>Parameters!$C$53*AR69+Parameters!$C$54*AS69+Parameters!$C$55*AT69</f>
        <v/>
      </c>
      <c r="BR69" s="22">
        <f>Parameters!$C$56*BB69+Parameters!$C$57*BC69+Parameters!$C$58*BD69+Parameters!$C$59*BE69</f>
        <v/>
      </c>
      <c r="BS69" s="23">
        <f>Parameters!$B$2</f>
        <v/>
      </c>
      <c r="BT69" s="23">
        <f>BS69+BF69 + BG69 + BH69 + BI69 + BJ69 + BK69 + BL69 + BM69 + BN69 + BO69 + BP69 + BQ69 + BR69</f>
        <v/>
      </c>
      <c r="BU69" s="24">
        <f>IF(AD69=1,0,1/(1+EXP(-BT69))*Parameters!$B$3)</f>
        <v/>
      </c>
      <c r="BV69" s="25">
        <f>(1-(1-BU69)^12)*100</f>
        <v/>
      </c>
      <c r="BW69" s="25">
        <f>IF(AD69=1,0,(1-(1-1/(1+EXP(-Parameters!$B$2)))^12)*100)</f>
        <v/>
      </c>
      <c r="BX69" s="25">
        <f>IF(AD69=1,0,BV69-(1-(1-(1/(1+EXP(-(BT69-BF69)))*Parameters!$B$3))^12)*100)</f>
        <v/>
      </c>
      <c r="BY69" s="25">
        <f>IF(AD69=1,0,BV69-(1-(1-(1/(1+EXP(-(BT69-BG69)))*Parameters!$B$3))^12)*100)</f>
        <v/>
      </c>
      <c r="BZ69" s="25">
        <f>IF(AD69=1,0,BV69-(1-(1-(1/(1+EXP(-(BT69-BH69)))*Parameters!$B$3))^12)*100)</f>
        <v/>
      </c>
      <c r="CA69" s="25">
        <f>IF(AD69=1,0,BV69-(1-(1-(1/(1+EXP(-(BT69-BI69)))*Parameters!$B$3))^12)*100)</f>
        <v/>
      </c>
      <c r="CB69" s="25">
        <f>IF(AD69=1,0,BV69-(1-(1-(1/(1+EXP(-(BT69-BJ69)))*Parameters!$B$3))^12)*100)</f>
        <v/>
      </c>
      <c r="CC69" s="25">
        <f>IF(AD69=1,0,BV69-(1-(1-(1/(1+EXP(-(BT69-BK69)))*Parameters!$B$3))^12)*100)</f>
        <v/>
      </c>
      <c r="CD69" s="25">
        <f>IF(AD69=1,0,BV69-(1-(1-(1/(1+EXP(-(BT69-BL69)))*Parameters!$B$3))^12)*100)</f>
        <v/>
      </c>
      <c r="CE69" s="25">
        <f>IF(AD69=1,0,BV69-(1-(1-(1/(1+EXP(-(BT69-BM69)))*Parameters!$B$3))^12)*100)</f>
        <v/>
      </c>
      <c r="CF69" s="25">
        <f>IF(AD69=1,0,BV69-(1-(1-(1/(1+EXP(-(BT69-BN69)))*Parameters!$B$3))^12)*100)</f>
        <v/>
      </c>
      <c r="CG69" s="25">
        <f>IF(AD69=1,0,BV69-(1-(1-(1/(1+EXP(-(BT69-BO69)))*Parameters!$B$3))^12)*100)</f>
        <v/>
      </c>
      <c r="CH69" s="25">
        <f>IF(AD69=1,0,BV69-(1-(1-(1/(1+EXP(-(BT69-BP69)))*Parameters!$B$3))^12)*100)</f>
        <v/>
      </c>
      <c r="CI69" s="25">
        <f>IF(AD69=1,0,BV69-(1-(1-(1/(1+EXP(-(BT69-BQ69)))*Parameters!$B$3))^12)*100)</f>
        <v/>
      </c>
      <c r="CJ69" s="25">
        <f>IF(AD69=1,0,BV69-(1-(1-(1/(1+EXP(-(BT69-BR69)))*Parameters!$B$3))^12)*100)</f>
        <v/>
      </c>
    </row>
    <row r="70">
      <c r="A70" s="17" t="inlineStr">
        <is>
          <t>GNR_2014_SEASONED</t>
        </is>
      </c>
      <c r="B70" s="17" t="inlineStr">
        <is>
          <t>36195G3S0</t>
        </is>
      </c>
      <c r="C70" s="17" t="inlineStr">
        <is>
          <t>PN</t>
        </is>
      </c>
      <c r="D70" s="17" t="inlineStr">
        <is>
          <t>CAPITAL ONE, N.A.</t>
        </is>
      </c>
      <c r="E70" s="17" t="inlineStr">
        <is>
          <t>36195G3S0_000000006135858</t>
        </is>
      </c>
      <c r="F70" s="17" t="n">
        <v>202603</v>
      </c>
      <c r="G70" s="18" t="n">
        <v>3.93</v>
      </c>
      <c r="H70" s="19" t="n">
        <v>12554225.27</v>
      </c>
      <c r="I70" s="17" t="n">
        <v>498</v>
      </c>
      <c r="J70" s="17" t="n">
        <v>20161229</v>
      </c>
      <c r="K70" s="17" t="n">
        <v>20580701</v>
      </c>
      <c r="L70" s="17" t="n"/>
      <c r="M70" s="17" t="n">
        <v>20280801</v>
      </c>
      <c r="N70" s="17" t="n">
        <v>10</v>
      </c>
      <c r="O70" s="17" t="inlineStr">
        <is>
          <t>221(D)(4)</t>
        </is>
      </c>
      <c r="P70" s="17" t="inlineStr">
        <is>
          <t>BAF</t>
        </is>
      </c>
      <c r="Q70" s="17" t="n"/>
      <c r="R70" s="17" t="n"/>
      <c r="S70" s="17" t="n"/>
      <c r="T70" s="17" t="inlineStr">
        <is>
          <t>GA</t>
        </is>
      </c>
      <c r="U70" s="17" t="n">
        <v>170</v>
      </c>
      <c r="V70" s="17" t="n">
        <v>490.5</v>
      </c>
      <c r="W70" s="17" t="n">
        <v>111</v>
      </c>
      <c r="X70" s="17" t="n">
        <v>2016</v>
      </c>
      <c r="Y70" s="17" t="n">
        <v>48</v>
      </c>
      <c r="Z70" s="17" t="n">
        <v>3</v>
      </c>
      <c r="AA70" s="20">
        <f>IF(ISNUMBER(W70),W70,IFERROR(MAX(0,(VALUE(LEFT(F70,4))-VALUE(LEFT(TEXT(J70,"00000000"),4)))*12+(VALUE(MID(F70,5,2))-VALUE(MID(TEXT(J70,"00000000"),5,2)))),""))</f>
        <v/>
      </c>
      <c r="AB70" s="20">
        <f>IFERROR((VALUE(LEFT(TEXT(K70,"00000000"),4))-VALUE(LEFT(F70,4)))*12+(VALUE(MID(TEXT(K70,"00000000"),5,2))-VALUE(MID(F70,5,2))),"")</f>
        <v/>
      </c>
      <c r="AC70" s="20">
        <f>IF(OR(L70="",NOT(ISNUMBER(L70))),0,MAX(0,MIN(60,(VALUE(LEFT(F70,4))-VALUE(LEFT(TEXT(L70,"00000000"),4)))*12+(VALUE(MID(F70,5,2))-VALUE(MID(TEXT(L70,"00000000"),5,2))))))</f>
        <v/>
      </c>
      <c r="AD70" s="20">
        <f>IF(OR(L70="",NOT(ISNUMBER(L70))),0,IF(VALUE(F70)&lt;VALUE(LEFT(TEXT(L70,"00000000"),6)),1,0))</f>
        <v/>
      </c>
      <c r="AE70" s="20">
        <f>IF(OR(M70="",NOT(ISNUMBER(M70))),0,IF(VALUE(F70)&lt;VALUE(LEFT(TEXT(M70,"00000000"),6)),1,0))</f>
        <v/>
      </c>
      <c r="AF70" s="20">
        <f>IF(AND(AD70=0,AE70=0),1,0)</f>
        <v/>
      </c>
      <c r="AG70" s="20">
        <f>IF(ISNUMBER(X70),X70,IFERROR(VALUE(LEFT(TEXT(J70,"00000000"),4)),""))</f>
        <v/>
      </c>
      <c r="AH70" s="20">
        <f>IFERROR(XLOOKUP(AG70,Vintage_Rates!$A$2:$A$1000,Vintage_Rates!$B$2:$B$1000,""),"")</f>
        <v/>
      </c>
      <c r="AI70" s="20">
        <f>IF(ISNUMBER(Y70),Y70,IFERROR((G70-AH70)*100,""))</f>
        <v/>
      </c>
      <c r="AJ70" s="20">
        <f>IF(ISNUMBER(V70),V70,IFERROR(XLOOKUP(VALUE(F70),PLC_Rates!$A$2:$A$1000,PLC_Rates!$B$2:$B$1000,""),""))</f>
        <v/>
      </c>
      <c r="AK70" s="20">
        <f>IF(ISNUMBER(Z70),Z70,IF(AE70=0,0,MAX(0,MIN(10,((VALUE(LEFT(TEXT(M70,"00000000"),4))-VALUE(LEFT(F70,4)))*12+(VALUE(MID(TEXT(M70,"00000000"),5,2))-VALUE(MID(F70,5,2))))/12))))</f>
        <v/>
      </c>
      <c r="AL70" s="20">
        <f>IFERROR(G70*100-AJ70,"")</f>
        <v/>
      </c>
      <c r="AM70" s="20">
        <f>IFERROR(G70*100-(AJ70+(1+AK70)*12.5),"")</f>
        <v/>
      </c>
      <c r="AN70" s="21">
        <f>IFERROR(MIN(H70/1000000,100),"")</f>
        <v/>
      </c>
      <c r="AO70" s="20">
        <f>IFERROR(INDEX(FHA_Lookup!$B$2:$B$11,MATCH(TRUE,ISNUMBER(SEARCH(FHA_Lookup!$A$2:$A$11,UPPER(SUBSTITUTE(O70," ","")))),0)),"OTHER")</f>
        <v/>
      </c>
      <c r="AP70" s="20">
        <f>IFERROR(INDEX(FHA_Lookup!$C$2:$C$11,MATCH(TRUE,ISNUMBER(SEARCH(FHA_Lookup!$A$2:$A$11,UPPER(SUBSTITUTE(O70," ","")))),0)),"OTHER")</f>
        <v/>
      </c>
      <c r="AQ70" s="20">
        <f>IF(AP70="NC",1,0)</f>
        <v/>
      </c>
      <c r="AR70" s="20">
        <f>IF(UPPER(TRIM(P70))="AFF",1,0)</f>
        <v/>
      </c>
      <c r="AS70" s="20">
        <f>IF(UPPER(TRIM(P70))="BAF",1,0)</f>
        <v/>
      </c>
      <c r="AT70" s="20">
        <f>IF(UPPER(TRIM(P70))="MKT",1,0)</f>
        <v/>
      </c>
      <c r="AU70" s="20">
        <f>IF(AO70="221d4",1,0)</f>
        <v/>
      </c>
      <c r="AV70" s="20">
        <f>IF(AO70="223a7",1,0)</f>
        <v/>
      </c>
      <c r="AW70" s="20">
        <f>IF(AO70="232",1,0)</f>
        <v/>
      </c>
      <c r="AX70" s="20">
        <f>IF(AO70="538",1,0)</f>
        <v/>
      </c>
      <c r="AY70" s="20">
        <f>IF(AO70="241",1,0)</f>
        <v/>
      </c>
      <c r="AZ70" s="20">
        <f>IF(AO70="220",1,0)</f>
        <v/>
      </c>
      <c r="BA70" s="20">
        <f>IF(AO70="OTHER",1,0)</f>
        <v/>
      </c>
      <c r="BB70" s="20">
        <f>IF(UPPER(TRIM(C70))="LM",1,0)</f>
        <v/>
      </c>
      <c r="BC70" s="20">
        <f>IF(UPPER(TRIM(C70))="PN",1,0)</f>
        <v/>
      </c>
      <c r="BD70" s="20">
        <f>IF(UPPER(TRIM(C70))="LS",1,0)</f>
        <v/>
      </c>
      <c r="BE70" s="20">
        <f>IF(UPPER(TRIM(C70))="RX",1,0)</f>
        <v/>
      </c>
      <c r="BF70" s="22">
        <f>IFERROR((Parameters!$C$6*AM70+Parameters!$C$7*MAX(AM70-(-150),0)+Parameters!$C$8*MAX(AM70-(-50),0)+Parameters!$C$9*MAX(AM70-(0),0)+Parameters!$C$10*MAX(AM70-(50),0)+Parameters!$C$11*MAX(AM70-(100),0)+Parameters!$C$12*MAX(AM70-(150),0)+Parameters!$C$13*MAX(AM70-(250),0)),0)</f>
        <v/>
      </c>
      <c r="BG70" s="22">
        <f>IFERROR((Parameters!$C$14*AA70+Parameters!$C$15*MAX(AA70-(12),0)+Parameters!$C$16*MAX(AA70-(36),0)+Parameters!$C$17*MAX(AA70-(60),0)+Parameters!$C$18*MAX(AA70-(84),0)+Parameters!$C$19*MAX(AA70-(120),0)+Parameters!$C$20*MAX(AA70-(180),0)),0)</f>
        <v/>
      </c>
      <c r="BH70" s="22">
        <f>IFERROR((Parameters!$C$21*AK70+Parameters!$C$22*MAX(AK70-(0),0)+Parameters!$C$23*MAX(AK70-(2),0)+Parameters!$C$24*MAX(AK70-(5),0)+Parameters!$C$25*MAX(AK70-(8),0)),0)</f>
        <v/>
      </c>
      <c r="BI70" s="22">
        <f>IFERROR((Parameters!$C$26*AI70+Parameters!$C$27*MAX(AI70-(-100),0)+Parameters!$C$28*MAX(AI70-(-25),0)+Parameters!$C$29*MAX(AI70-(25),0)+Parameters!$C$30*MAX(AI70-(100),0)),0)</f>
        <v/>
      </c>
      <c r="BJ70" s="22">
        <f>IFERROR((Parameters!$C$31*AN70+Parameters!$C$32*MAX(AN70-(2),0)+Parameters!$C$33*MAX(AN70-(10),0)+Parameters!$C$34*MAX(AN70-(25),0)),0)</f>
        <v/>
      </c>
      <c r="BK70" s="22">
        <f>IFERROR((Parameters!$C$35*AB70+Parameters!$C$36*MAX(AB70-(12),0)+Parameters!$C$37*MAX(AB70-(24),0)+Parameters!$C$38*MAX(AB70-(60),0)),0)</f>
        <v/>
      </c>
      <c r="BL70" s="22">
        <f>IFERROR((Parameters!$C$39*AC70+Parameters!$C$40*MAX(AC70-(6),0)+Parameters!$C$41*MAX(AC70-(12),0)+Parameters!$C$42*MAX(AC70-(24),0)),0)</f>
        <v/>
      </c>
      <c r="BM70" s="22">
        <f>IFERROR(Parameters!$C$43*(MAX(AM70,0)*MIN(MAX(AK70,0),10))/100,0)</f>
        <v/>
      </c>
      <c r="BN70" s="22">
        <f>Parameters!$C$44*AE70</f>
        <v/>
      </c>
      <c r="BO70" s="22">
        <f>Parameters!$C$45*AU70 + Parameters!$C$46*AV70 + Parameters!$C$47*AW70 + Parameters!$C$48*AX70 + Parameters!$C$49*AY70 + Parameters!$C$50*AZ70 + Parameters!$C$51*BA70</f>
        <v/>
      </c>
      <c r="BP70" s="22">
        <f>Parameters!$C$52*AQ70</f>
        <v/>
      </c>
      <c r="BQ70" s="22">
        <f>Parameters!$C$53*AR70+Parameters!$C$54*AS70+Parameters!$C$55*AT70</f>
        <v/>
      </c>
      <c r="BR70" s="22">
        <f>Parameters!$C$56*BB70+Parameters!$C$57*BC70+Parameters!$C$58*BD70+Parameters!$C$59*BE70</f>
        <v/>
      </c>
      <c r="BS70" s="23">
        <f>Parameters!$B$2</f>
        <v/>
      </c>
      <c r="BT70" s="23">
        <f>BS70+BF70 + BG70 + BH70 + BI70 + BJ70 + BK70 + BL70 + BM70 + BN70 + BO70 + BP70 + BQ70 + BR70</f>
        <v/>
      </c>
      <c r="BU70" s="24">
        <f>IF(AD70=1,0,1/(1+EXP(-BT70))*Parameters!$B$3)</f>
        <v/>
      </c>
      <c r="BV70" s="25">
        <f>(1-(1-BU70)^12)*100</f>
        <v/>
      </c>
      <c r="BW70" s="25">
        <f>IF(AD70=1,0,(1-(1-1/(1+EXP(-Parameters!$B$2)))^12)*100)</f>
        <v/>
      </c>
      <c r="BX70" s="25">
        <f>IF(AD70=1,0,BV70-(1-(1-(1/(1+EXP(-(BT70-BF70)))*Parameters!$B$3))^12)*100)</f>
        <v/>
      </c>
      <c r="BY70" s="25">
        <f>IF(AD70=1,0,BV70-(1-(1-(1/(1+EXP(-(BT70-BG70)))*Parameters!$B$3))^12)*100)</f>
        <v/>
      </c>
      <c r="BZ70" s="25">
        <f>IF(AD70=1,0,BV70-(1-(1-(1/(1+EXP(-(BT70-BH70)))*Parameters!$B$3))^12)*100)</f>
        <v/>
      </c>
      <c r="CA70" s="25">
        <f>IF(AD70=1,0,BV70-(1-(1-(1/(1+EXP(-(BT70-BI70)))*Parameters!$B$3))^12)*100)</f>
        <v/>
      </c>
      <c r="CB70" s="25">
        <f>IF(AD70=1,0,BV70-(1-(1-(1/(1+EXP(-(BT70-BJ70)))*Parameters!$B$3))^12)*100)</f>
        <v/>
      </c>
      <c r="CC70" s="25">
        <f>IF(AD70=1,0,BV70-(1-(1-(1/(1+EXP(-(BT70-BK70)))*Parameters!$B$3))^12)*100)</f>
        <v/>
      </c>
      <c r="CD70" s="25">
        <f>IF(AD70=1,0,BV70-(1-(1-(1/(1+EXP(-(BT70-BL70)))*Parameters!$B$3))^12)*100)</f>
        <v/>
      </c>
      <c r="CE70" s="25">
        <f>IF(AD70=1,0,BV70-(1-(1-(1/(1+EXP(-(BT70-BM70)))*Parameters!$B$3))^12)*100)</f>
        <v/>
      </c>
      <c r="CF70" s="25">
        <f>IF(AD70=1,0,BV70-(1-(1-(1/(1+EXP(-(BT70-BN70)))*Parameters!$B$3))^12)*100)</f>
        <v/>
      </c>
      <c r="CG70" s="25">
        <f>IF(AD70=1,0,BV70-(1-(1-(1/(1+EXP(-(BT70-BO70)))*Parameters!$B$3))^12)*100)</f>
        <v/>
      </c>
      <c r="CH70" s="25">
        <f>IF(AD70=1,0,BV70-(1-(1-(1/(1+EXP(-(BT70-BP70)))*Parameters!$B$3))^12)*100)</f>
        <v/>
      </c>
      <c r="CI70" s="25">
        <f>IF(AD70=1,0,BV70-(1-(1-(1/(1+EXP(-(BT70-BQ70)))*Parameters!$B$3))^12)*100)</f>
        <v/>
      </c>
      <c r="CJ70" s="25">
        <f>IF(AD70=1,0,BV70-(1-(1-(1/(1+EXP(-(BT70-BR70)))*Parameters!$B$3))^12)*100)</f>
        <v/>
      </c>
    </row>
    <row r="71">
      <c r="A71" s="17" t="inlineStr">
        <is>
          <t>GNR_2014_SEASONED</t>
        </is>
      </c>
      <c r="B71" s="17" t="inlineStr">
        <is>
          <t>36180WH73</t>
        </is>
      </c>
      <c r="C71" s="17" t="inlineStr">
        <is>
          <t>PN</t>
        </is>
      </c>
      <c r="D71" s="17" t="inlineStr">
        <is>
          <t>WALKER &amp; DUNLOP, LLC</t>
        </is>
      </c>
      <c r="E71" s="17" t="inlineStr">
        <is>
          <t>36180WH73_000000006535720</t>
        </is>
      </c>
      <c r="F71" s="17" t="n">
        <v>202603</v>
      </c>
      <c r="G71" s="18" t="n">
        <v>3.55</v>
      </c>
      <c r="H71" s="19" t="n">
        <v>3780400.25</v>
      </c>
      <c r="I71" s="17" t="n">
        <v>496</v>
      </c>
      <c r="J71" s="17" t="n">
        <v>20130508</v>
      </c>
      <c r="K71" s="17" t="n">
        <v>20541101</v>
      </c>
      <c r="L71" s="17" t="n">
        <v>20151201</v>
      </c>
      <c r="M71" s="17" t="n">
        <v>20241201</v>
      </c>
      <c r="N71" s="17" t="n">
        <v>9</v>
      </c>
      <c r="O71" s="17" t="inlineStr">
        <is>
          <t>221(d)(4)</t>
        </is>
      </c>
      <c r="P71" s="17" t="inlineStr">
        <is>
          <t>MKT</t>
        </is>
      </c>
      <c r="Q71" s="17" t="n"/>
      <c r="R71" s="17" t="n"/>
      <c r="S71" s="17" t="n"/>
      <c r="T71" s="17" t="inlineStr">
        <is>
          <t>MS</t>
        </is>
      </c>
      <c r="U71" s="17" t="n">
        <v>102</v>
      </c>
      <c r="V71" s="17" t="n">
        <v>490.5</v>
      </c>
      <c r="W71" s="17" t="n">
        <v>154</v>
      </c>
      <c r="X71" s="17" t="n">
        <v>2013</v>
      </c>
      <c r="Y71" s="17" t="n">
        <v>17</v>
      </c>
      <c r="Z71" s="17" t="n">
        <v>0</v>
      </c>
      <c r="AA71" s="20">
        <f>IF(ISNUMBER(W71),W71,IFERROR(MAX(0,(VALUE(LEFT(F71,4))-VALUE(LEFT(TEXT(J71,"00000000"),4)))*12+(VALUE(MID(F71,5,2))-VALUE(MID(TEXT(J71,"00000000"),5,2)))),""))</f>
        <v/>
      </c>
      <c r="AB71" s="20">
        <f>IFERROR((VALUE(LEFT(TEXT(K71,"00000000"),4))-VALUE(LEFT(F71,4)))*12+(VALUE(MID(TEXT(K71,"00000000"),5,2))-VALUE(MID(F71,5,2))),"")</f>
        <v/>
      </c>
      <c r="AC71" s="20">
        <f>IF(OR(L71="",NOT(ISNUMBER(L71))),0,MAX(0,MIN(60,(VALUE(LEFT(F71,4))-VALUE(LEFT(TEXT(L71,"00000000"),4)))*12+(VALUE(MID(F71,5,2))-VALUE(MID(TEXT(L71,"00000000"),5,2))))))</f>
        <v/>
      </c>
      <c r="AD71" s="20">
        <f>IF(OR(L71="",NOT(ISNUMBER(L71))),0,IF(VALUE(F71)&lt;VALUE(LEFT(TEXT(L71,"00000000"),6)),1,0))</f>
        <v/>
      </c>
      <c r="AE71" s="20">
        <f>IF(OR(M71="",NOT(ISNUMBER(M71))),0,IF(VALUE(F71)&lt;VALUE(LEFT(TEXT(M71,"00000000"),6)),1,0))</f>
        <v/>
      </c>
      <c r="AF71" s="20">
        <f>IF(AND(AD71=0,AE71=0),1,0)</f>
        <v/>
      </c>
      <c r="AG71" s="20">
        <f>IF(ISNUMBER(X71),X71,IFERROR(VALUE(LEFT(TEXT(J71,"00000000"),4)),""))</f>
        <v/>
      </c>
      <c r="AH71" s="20">
        <f>IFERROR(XLOOKUP(AG71,Vintage_Rates!$A$2:$A$1000,Vintage_Rates!$B$2:$B$1000,""),"")</f>
        <v/>
      </c>
      <c r="AI71" s="20">
        <f>IF(ISNUMBER(Y71),Y71,IFERROR((G71-AH71)*100,""))</f>
        <v/>
      </c>
      <c r="AJ71" s="20">
        <f>IF(ISNUMBER(V71),V71,IFERROR(XLOOKUP(VALUE(F71),PLC_Rates!$A$2:$A$1000,PLC_Rates!$B$2:$B$1000,""),""))</f>
        <v/>
      </c>
      <c r="AK71" s="20">
        <f>IF(ISNUMBER(Z71),Z71,IF(AE71=0,0,MAX(0,MIN(10,((VALUE(LEFT(TEXT(M71,"00000000"),4))-VALUE(LEFT(F71,4)))*12+(VALUE(MID(TEXT(M71,"00000000"),5,2))-VALUE(MID(F71,5,2))))/12))))</f>
        <v/>
      </c>
      <c r="AL71" s="20">
        <f>IFERROR(G71*100-AJ71,"")</f>
        <v/>
      </c>
      <c r="AM71" s="20">
        <f>IFERROR(G71*100-(AJ71+(1+AK71)*12.5),"")</f>
        <v/>
      </c>
      <c r="AN71" s="21">
        <f>IFERROR(MIN(H71/1000000,100),"")</f>
        <v/>
      </c>
      <c r="AO71" s="20">
        <f>IFERROR(INDEX(FHA_Lookup!$B$2:$B$11,MATCH(TRUE,ISNUMBER(SEARCH(FHA_Lookup!$A$2:$A$11,UPPER(SUBSTITUTE(O71," ","")))),0)),"OTHER")</f>
        <v/>
      </c>
      <c r="AP71" s="20">
        <f>IFERROR(INDEX(FHA_Lookup!$C$2:$C$11,MATCH(TRUE,ISNUMBER(SEARCH(FHA_Lookup!$A$2:$A$11,UPPER(SUBSTITUTE(O71," ","")))),0)),"OTHER")</f>
        <v/>
      </c>
      <c r="AQ71" s="20">
        <f>IF(AP71="NC",1,0)</f>
        <v/>
      </c>
      <c r="AR71" s="20">
        <f>IF(UPPER(TRIM(P71))="AFF",1,0)</f>
        <v/>
      </c>
      <c r="AS71" s="20">
        <f>IF(UPPER(TRIM(P71))="BAF",1,0)</f>
        <v/>
      </c>
      <c r="AT71" s="20">
        <f>IF(UPPER(TRIM(P71))="MKT",1,0)</f>
        <v/>
      </c>
      <c r="AU71" s="20">
        <f>IF(AO71="221d4",1,0)</f>
        <v/>
      </c>
      <c r="AV71" s="20">
        <f>IF(AO71="223a7",1,0)</f>
        <v/>
      </c>
      <c r="AW71" s="20">
        <f>IF(AO71="232",1,0)</f>
        <v/>
      </c>
      <c r="AX71" s="20">
        <f>IF(AO71="538",1,0)</f>
        <v/>
      </c>
      <c r="AY71" s="20">
        <f>IF(AO71="241",1,0)</f>
        <v/>
      </c>
      <c r="AZ71" s="20">
        <f>IF(AO71="220",1,0)</f>
        <v/>
      </c>
      <c r="BA71" s="20">
        <f>IF(AO71="OTHER",1,0)</f>
        <v/>
      </c>
      <c r="BB71" s="20">
        <f>IF(UPPER(TRIM(C71))="LM",1,0)</f>
        <v/>
      </c>
      <c r="BC71" s="20">
        <f>IF(UPPER(TRIM(C71))="PN",1,0)</f>
        <v/>
      </c>
      <c r="BD71" s="20">
        <f>IF(UPPER(TRIM(C71))="LS",1,0)</f>
        <v/>
      </c>
      <c r="BE71" s="20">
        <f>IF(UPPER(TRIM(C71))="RX",1,0)</f>
        <v/>
      </c>
      <c r="BF71" s="22">
        <f>IFERROR((Parameters!$C$6*AM71+Parameters!$C$7*MAX(AM71-(-150),0)+Parameters!$C$8*MAX(AM71-(-50),0)+Parameters!$C$9*MAX(AM71-(0),0)+Parameters!$C$10*MAX(AM71-(50),0)+Parameters!$C$11*MAX(AM71-(100),0)+Parameters!$C$12*MAX(AM71-(150),0)+Parameters!$C$13*MAX(AM71-(250),0)),0)</f>
        <v/>
      </c>
      <c r="BG71" s="22">
        <f>IFERROR((Parameters!$C$14*AA71+Parameters!$C$15*MAX(AA71-(12),0)+Parameters!$C$16*MAX(AA71-(36),0)+Parameters!$C$17*MAX(AA71-(60),0)+Parameters!$C$18*MAX(AA71-(84),0)+Parameters!$C$19*MAX(AA71-(120),0)+Parameters!$C$20*MAX(AA71-(180),0)),0)</f>
        <v/>
      </c>
      <c r="BH71" s="22">
        <f>IFERROR((Parameters!$C$21*AK71+Parameters!$C$22*MAX(AK71-(0),0)+Parameters!$C$23*MAX(AK71-(2),0)+Parameters!$C$24*MAX(AK71-(5),0)+Parameters!$C$25*MAX(AK71-(8),0)),0)</f>
        <v/>
      </c>
      <c r="BI71" s="22">
        <f>IFERROR((Parameters!$C$26*AI71+Parameters!$C$27*MAX(AI71-(-100),0)+Parameters!$C$28*MAX(AI71-(-25),0)+Parameters!$C$29*MAX(AI71-(25),0)+Parameters!$C$30*MAX(AI71-(100),0)),0)</f>
        <v/>
      </c>
      <c r="BJ71" s="22">
        <f>IFERROR((Parameters!$C$31*AN71+Parameters!$C$32*MAX(AN71-(2),0)+Parameters!$C$33*MAX(AN71-(10),0)+Parameters!$C$34*MAX(AN71-(25),0)),0)</f>
        <v/>
      </c>
      <c r="BK71" s="22">
        <f>IFERROR((Parameters!$C$35*AB71+Parameters!$C$36*MAX(AB71-(12),0)+Parameters!$C$37*MAX(AB71-(24),0)+Parameters!$C$38*MAX(AB71-(60),0)),0)</f>
        <v/>
      </c>
      <c r="BL71" s="22">
        <f>IFERROR((Parameters!$C$39*AC71+Parameters!$C$40*MAX(AC71-(6),0)+Parameters!$C$41*MAX(AC71-(12),0)+Parameters!$C$42*MAX(AC71-(24),0)),0)</f>
        <v/>
      </c>
      <c r="BM71" s="22">
        <f>IFERROR(Parameters!$C$43*(MAX(AM71,0)*MIN(MAX(AK71,0),10))/100,0)</f>
        <v/>
      </c>
      <c r="BN71" s="22">
        <f>Parameters!$C$44*AE71</f>
        <v/>
      </c>
      <c r="BO71" s="22">
        <f>Parameters!$C$45*AU71 + Parameters!$C$46*AV71 + Parameters!$C$47*AW71 + Parameters!$C$48*AX71 + Parameters!$C$49*AY71 + Parameters!$C$50*AZ71 + Parameters!$C$51*BA71</f>
        <v/>
      </c>
      <c r="BP71" s="22">
        <f>Parameters!$C$52*AQ71</f>
        <v/>
      </c>
      <c r="BQ71" s="22">
        <f>Parameters!$C$53*AR71+Parameters!$C$54*AS71+Parameters!$C$55*AT71</f>
        <v/>
      </c>
      <c r="BR71" s="22">
        <f>Parameters!$C$56*BB71+Parameters!$C$57*BC71+Parameters!$C$58*BD71+Parameters!$C$59*BE71</f>
        <v/>
      </c>
      <c r="BS71" s="23">
        <f>Parameters!$B$2</f>
        <v/>
      </c>
      <c r="BT71" s="23">
        <f>BS71+BF71 + BG71 + BH71 + BI71 + BJ71 + BK71 + BL71 + BM71 + BN71 + BO71 + BP71 + BQ71 + BR71</f>
        <v/>
      </c>
      <c r="BU71" s="24">
        <f>IF(AD71=1,0,1/(1+EXP(-BT71))*Parameters!$B$3)</f>
        <v/>
      </c>
      <c r="BV71" s="25">
        <f>(1-(1-BU71)^12)*100</f>
        <v/>
      </c>
      <c r="BW71" s="25">
        <f>IF(AD71=1,0,(1-(1-1/(1+EXP(-Parameters!$B$2)))^12)*100)</f>
        <v/>
      </c>
      <c r="BX71" s="25">
        <f>IF(AD71=1,0,BV71-(1-(1-(1/(1+EXP(-(BT71-BF71)))*Parameters!$B$3))^12)*100)</f>
        <v/>
      </c>
      <c r="BY71" s="25">
        <f>IF(AD71=1,0,BV71-(1-(1-(1/(1+EXP(-(BT71-BG71)))*Parameters!$B$3))^12)*100)</f>
        <v/>
      </c>
      <c r="BZ71" s="25">
        <f>IF(AD71=1,0,BV71-(1-(1-(1/(1+EXP(-(BT71-BH71)))*Parameters!$B$3))^12)*100)</f>
        <v/>
      </c>
      <c r="CA71" s="25">
        <f>IF(AD71=1,0,BV71-(1-(1-(1/(1+EXP(-(BT71-BI71)))*Parameters!$B$3))^12)*100)</f>
        <v/>
      </c>
      <c r="CB71" s="25">
        <f>IF(AD71=1,0,BV71-(1-(1-(1/(1+EXP(-(BT71-BJ71)))*Parameters!$B$3))^12)*100)</f>
        <v/>
      </c>
      <c r="CC71" s="25">
        <f>IF(AD71=1,0,BV71-(1-(1-(1/(1+EXP(-(BT71-BK71)))*Parameters!$B$3))^12)*100)</f>
        <v/>
      </c>
      <c r="CD71" s="25">
        <f>IF(AD71=1,0,BV71-(1-(1-(1/(1+EXP(-(BT71-BL71)))*Parameters!$B$3))^12)*100)</f>
        <v/>
      </c>
      <c r="CE71" s="25">
        <f>IF(AD71=1,0,BV71-(1-(1-(1/(1+EXP(-(BT71-BM71)))*Parameters!$B$3))^12)*100)</f>
        <v/>
      </c>
      <c r="CF71" s="25">
        <f>IF(AD71=1,0,BV71-(1-(1-(1/(1+EXP(-(BT71-BN71)))*Parameters!$B$3))^12)*100)</f>
        <v/>
      </c>
      <c r="CG71" s="25">
        <f>IF(AD71=1,0,BV71-(1-(1-(1/(1+EXP(-(BT71-BO71)))*Parameters!$B$3))^12)*100)</f>
        <v/>
      </c>
      <c r="CH71" s="25">
        <f>IF(AD71=1,0,BV71-(1-(1-(1/(1+EXP(-(BT71-BP71)))*Parameters!$B$3))^12)*100)</f>
        <v/>
      </c>
      <c r="CI71" s="25">
        <f>IF(AD71=1,0,BV71-(1-(1-(1/(1+EXP(-(BT71-BQ71)))*Parameters!$B$3))^12)*100)</f>
        <v/>
      </c>
      <c r="CJ71" s="25">
        <f>IF(AD71=1,0,BV71-(1-(1-(1/(1+EXP(-(BT71-BR71)))*Parameters!$B$3))^12)*100)</f>
        <v/>
      </c>
    </row>
    <row r="72">
      <c r="A72" s="17" t="inlineStr">
        <is>
          <t>GNR_2014_SEASONED</t>
        </is>
      </c>
      <c r="B72" s="17" t="inlineStr">
        <is>
          <t>3617NWB35</t>
        </is>
      </c>
      <c r="C72" s="17" t="inlineStr">
        <is>
          <t>LM</t>
        </is>
      </c>
      <c r="D72" s="17" t="inlineStr">
        <is>
          <t>BERKADIA COMMERCIAL MORTGAGE, LLC</t>
        </is>
      </c>
      <c r="E72" s="17" t="inlineStr">
        <is>
          <t>3617NWB35_000000011735247</t>
        </is>
      </c>
      <c r="F72" s="17" t="n">
        <v>202603</v>
      </c>
      <c r="G72" s="18" t="n">
        <v>2.5</v>
      </c>
      <c r="H72" s="19" t="n">
        <v>19844401.68</v>
      </c>
      <c r="I72" s="17" t="n">
        <v>464</v>
      </c>
      <c r="J72" s="17" t="n">
        <v>20140108</v>
      </c>
      <c r="K72" s="17" t="n">
        <v>20551201</v>
      </c>
      <c r="L72" s="17" t="n"/>
      <c r="M72" s="17" t="n">
        <v>20301101</v>
      </c>
      <c r="N72" s="17" t="n">
        <v>10</v>
      </c>
      <c r="O72" s="17" t="inlineStr">
        <is>
          <t>221(D)(4)</t>
        </is>
      </c>
      <c r="P72" s="17" t="inlineStr">
        <is>
          <t>MKT</t>
        </is>
      </c>
      <c r="Q72" s="17" t="inlineStr">
        <is>
          <t>M</t>
        </is>
      </c>
      <c r="R72" s="17" t="n"/>
      <c r="S72" s="17" t="n">
        <v>1</v>
      </c>
      <c r="T72" s="17" t="inlineStr">
        <is>
          <t>OK</t>
        </is>
      </c>
      <c r="U72" s="17" t="n">
        <v>230</v>
      </c>
      <c r="V72" s="17" t="n">
        <v>490.5</v>
      </c>
      <c r="W72" s="17" t="n">
        <v>146</v>
      </c>
      <c r="X72" s="17" t="n">
        <v>2014</v>
      </c>
      <c r="Y72" s="17" t="n">
        <v>-135</v>
      </c>
      <c r="Z72" s="17" t="n">
        <v>6</v>
      </c>
      <c r="AA72" s="20">
        <f>IF(ISNUMBER(W72),W72,IFERROR(MAX(0,(VALUE(LEFT(F72,4))-VALUE(LEFT(TEXT(J72,"00000000"),4)))*12+(VALUE(MID(F72,5,2))-VALUE(MID(TEXT(J72,"00000000"),5,2)))),""))</f>
        <v/>
      </c>
      <c r="AB72" s="20">
        <f>IFERROR((VALUE(LEFT(TEXT(K72,"00000000"),4))-VALUE(LEFT(F72,4)))*12+(VALUE(MID(TEXT(K72,"00000000"),5,2))-VALUE(MID(F72,5,2))),"")</f>
        <v/>
      </c>
      <c r="AC72" s="20">
        <f>IF(OR(L72="",NOT(ISNUMBER(L72))),0,MAX(0,MIN(60,(VALUE(LEFT(F72,4))-VALUE(LEFT(TEXT(L72,"00000000"),4)))*12+(VALUE(MID(F72,5,2))-VALUE(MID(TEXT(L72,"00000000"),5,2))))))</f>
        <v/>
      </c>
      <c r="AD72" s="20">
        <f>IF(OR(L72="",NOT(ISNUMBER(L72))),0,IF(VALUE(F72)&lt;VALUE(LEFT(TEXT(L72,"00000000"),6)),1,0))</f>
        <v/>
      </c>
      <c r="AE72" s="20">
        <f>IF(OR(M72="",NOT(ISNUMBER(M72))),0,IF(VALUE(F72)&lt;VALUE(LEFT(TEXT(M72,"00000000"),6)),1,0))</f>
        <v/>
      </c>
      <c r="AF72" s="20">
        <f>IF(AND(AD72=0,AE72=0),1,0)</f>
        <v/>
      </c>
      <c r="AG72" s="20">
        <f>IF(ISNUMBER(X72),X72,IFERROR(VALUE(LEFT(TEXT(J72,"00000000"),4)),""))</f>
        <v/>
      </c>
      <c r="AH72" s="20">
        <f>IFERROR(XLOOKUP(AG72,Vintage_Rates!$A$2:$A$1000,Vintage_Rates!$B$2:$B$1000,""),"")</f>
        <v/>
      </c>
      <c r="AI72" s="20">
        <f>IF(ISNUMBER(Y72),Y72,IFERROR((G72-AH72)*100,""))</f>
        <v/>
      </c>
      <c r="AJ72" s="20">
        <f>IF(ISNUMBER(V72),V72,IFERROR(XLOOKUP(VALUE(F72),PLC_Rates!$A$2:$A$1000,PLC_Rates!$B$2:$B$1000,""),""))</f>
        <v/>
      </c>
      <c r="AK72" s="20">
        <f>IF(ISNUMBER(Z72),Z72,IF(AE72=0,0,MAX(0,MIN(10,((VALUE(LEFT(TEXT(M72,"00000000"),4))-VALUE(LEFT(F72,4)))*12+(VALUE(MID(TEXT(M72,"00000000"),5,2))-VALUE(MID(F72,5,2))))/12))))</f>
        <v/>
      </c>
      <c r="AL72" s="20">
        <f>IFERROR(G72*100-AJ72,"")</f>
        <v/>
      </c>
      <c r="AM72" s="20">
        <f>IFERROR(G72*100-(AJ72+(1+AK72)*12.5),"")</f>
        <v/>
      </c>
      <c r="AN72" s="21">
        <f>IFERROR(MIN(H72/1000000,100),"")</f>
        <v/>
      </c>
      <c r="AO72" s="20">
        <f>IFERROR(INDEX(FHA_Lookup!$B$2:$B$11,MATCH(TRUE,ISNUMBER(SEARCH(FHA_Lookup!$A$2:$A$11,UPPER(SUBSTITUTE(O72," ","")))),0)),"OTHER")</f>
        <v/>
      </c>
      <c r="AP72" s="20">
        <f>IFERROR(INDEX(FHA_Lookup!$C$2:$C$11,MATCH(TRUE,ISNUMBER(SEARCH(FHA_Lookup!$A$2:$A$11,UPPER(SUBSTITUTE(O72," ","")))),0)),"OTHER")</f>
        <v/>
      </c>
      <c r="AQ72" s="20">
        <f>IF(AP72="NC",1,0)</f>
        <v/>
      </c>
      <c r="AR72" s="20">
        <f>IF(UPPER(TRIM(P72))="AFF",1,0)</f>
        <v/>
      </c>
      <c r="AS72" s="20">
        <f>IF(UPPER(TRIM(P72))="BAF",1,0)</f>
        <v/>
      </c>
      <c r="AT72" s="20">
        <f>IF(UPPER(TRIM(P72))="MKT",1,0)</f>
        <v/>
      </c>
      <c r="AU72" s="20">
        <f>IF(AO72="221d4",1,0)</f>
        <v/>
      </c>
      <c r="AV72" s="20">
        <f>IF(AO72="223a7",1,0)</f>
        <v/>
      </c>
      <c r="AW72" s="20">
        <f>IF(AO72="232",1,0)</f>
        <v/>
      </c>
      <c r="AX72" s="20">
        <f>IF(AO72="538",1,0)</f>
        <v/>
      </c>
      <c r="AY72" s="20">
        <f>IF(AO72="241",1,0)</f>
        <v/>
      </c>
      <c r="AZ72" s="20">
        <f>IF(AO72="220",1,0)</f>
        <v/>
      </c>
      <c r="BA72" s="20">
        <f>IF(AO72="OTHER",1,0)</f>
        <v/>
      </c>
      <c r="BB72" s="20">
        <f>IF(UPPER(TRIM(C72))="LM",1,0)</f>
        <v/>
      </c>
      <c r="BC72" s="20">
        <f>IF(UPPER(TRIM(C72))="PN",1,0)</f>
        <v/>
      </c>
      <c r="BD72" s="20">
        <f>IF(UPPER(TRIM(C72))="LS",1,0)</f>
        <v/>
      </c>
      <c r="BE72" s="20">
        <f>IF(UPPER(TRIM(C72))="RX",1,0)</f>
        <v/>
      </c>
      <c r="BF72" s="22">
        <f>IFERROR((Parameters!$C$6*AM72+Parameters!$C$7*MAX(AM72-(-150),0)+Parameters!$C$8*MAX(AM72-(-50),0)+Parameters!$C$9*MAX(AM72-(0),0)+Parameters!$C$10*MAX(AM72-(50),0)+Parameters!$C$11*MAX(AM72-(100),0)+Parameters!$C$12*MAX(AM72-(150),0)+Parameters!$C$13*MAX(AM72-(250),0)),0)</f>
        <v/>
      </c>
      <c r="BG72" s="22">
        <f>IFERROR((Parameters!$C$14*AA72+Parameters!$C$15*MAX(AA72-(12),0)+Parameters!$C$16*MAX(AA72-(36),0)+Parameters!$C$17*MAX(AA72-(60),0)+Parameters!$C$18*MAX(AA72-(84),0)+Parameters!$C$19*MAX(AA72-(120),0)+Parameters!$C$20*MAX(AA72-(180),0)),0)</f>
        <v/>
      </c>
      <c r="BH72" s="22">
        <f>IFERROR((Parameters!$C$21*AK72+Parameters!$C$22*MAX(AK72-(0),0)+Parameters!$C$23*MAX(AK72-(2),0)+Parameters!$C$24*MAX(AK72-(5),0)+Parameters!$C$25*MAX(AK72-(8),0)),0)</f>
        <v/>
      </c>
      <c r="BI72" s="22">
        <f>IFERROR((Parameters!$C$26*AI72+Parameters!$C$27*MAX(AI72-(-100),0)+Parameters!$C$28*MAX(AI72-(-25),0)+Parameters!$C$29*MAX(AI72-(25),0)+Parameters!$C$30*MAX(AI72-(100),0)),0)</f>
        <v/>
      </c>
      <c r="BJ72" s="22">
        <f>IFERROR((Parameters!$C$31*AN72+Parameters!$C$32*MAX(AN72-(2),0)+Parameters!$C$33*MAX(AN72-(10),0)+Parameters!$C$34*MAX(AN72-(25),0)),0)</f>
        <v/>
      </c>
      <c r="BK72" s="22">
        <f>IFERROR((Parameters!$C$35*AB72+Parameters!$C$36*MAX(AB72-(12),0)+Parameters!$C$37*MAX(AB72-(24),0)+Parameters!$C$38*MAX(AB72-(60),0)),0)</f>
        <v/>
      </c>
      <c r="BL72" s="22">
        <f>IFERROR((Parameters!$C$39*AC72+Parameters!$C$40*MAX(AC72-(6),0)+Parameters!$C$41*MAX(AC72-(12),0)+Parameters!$C$42*MAX(AC72-(24),0)),0)</f>
        <v/>
      </c>
      <c r="BM72" s="22">
        <f>IFERROR(Parameters!$C$43*(MAX(AM72,0)*MIN(MAX(AK72,0),10))/100,0)</f>
        <v/>
      </c>
      <c r="BN72" s="22">
        <f>Parameters!$C$44*AE72</f>
        <v/>
      </c>
      <c r="BO72" s="22">
        <f>Parameters!$C$45*AU72 + Parameters!$C$46*AV72 + Parameters!$C$47*AW72 + Parameters!$C$48*AX72 + Parameters!$C$49*AY72 + Parameters!$C$50*AZ72 + Parameters!$C$51*BA72</f>
        <v/>
      </c>
      <c r="BP72" s="22">
        <f>Parameters!$C$52*AQ72</f>
        <v/>
      </c>
      <c r="BQ72" s="22">
        <f>Parameters!$C$53*AR72+Parameters!$C$54*AS72+Parameters!$C$55*AT72</f>
        <v/>
      </c>
      <c r="BR72" s="22">
        <f>Parameters!$C$56*BB72+Parameters!$C$57*BC72+Parameters!$C$58*BD72+Parameters!$C$59*BE72</f>
        <v/>
      </c>
      <c r="BS72" s="23">
        <f>Parameters!$B$2</f>
        <v/>
      </c>
      <c r="BT72" s="23">
        <f>BS72+BF72 + BG72 + BH72 + BI72 + BJ72 + BK72 + BL72 + BM72 + BN72 + BO72 + BP72 + BQ72 + BR72</f>
        <v/>
      </c>
      <c r="BU72" s="24">
        <f>IF(AD72=1,0,1/(1+EXP(-BT72))*Parameters!$B$3)</f>
        <v/>
      </c>
      <c r="BV72" s="25">
        <f>(1-(1-BU72)^12)*100</f>
        <v/>
      </c>
      <c r="BW72" s="25">
        <f>IF(AD72=1,0,(1-(1-1/(1+EXP(-Parameters!$B$2)))^12)*100)</f>
        <v/>
      </c>
      <c r="BX72" s="25">
        <f>IF(AD72=1,0,BV72-(1-(1-(1/(1+EXP(-(BT72-BF72)))*Parameters!$B$3))^12)*100)</f>
        <v/>
      </c>
      <c r="BY72" s="25">
        <f>IF(AD72=1,0,BV72-(1-(1-(1/(1+EXP(-(BT72-BG72)))*Parameters!$B$3))^12)*100)</f>
        <v/>
      </c>
      <c r="BZ72" s="25">
        <f>IF(AD72=1,0,BV72-(1-(1-(1/(1+EXP(-(BT72-BH72)))*Parameters!$B$3))^12)*100)</f>
        <v/>
      </c>
      <c r="CA72" s="25">
        <f>IF(AD72=1,0,BV72-(1-(1-(1/(1+EXP(-(BT72-BI72)))*Parameters!$B$3))^12)*100)</f>
        <v/>
      </c>
      <c r="CB72" s="25">
        <f>IF(AD72=1,0,BV72-(1-(1-(1/(1+EXP(-(BT72-BJ72)))*Parameters!$B$3))^12)*100)</f>
        <v/>
      </c>
      <c r="CC72" s="25">
        <f>IF(AD72=1,0,BV72-(1-(1-(1/(1+EXP(-(BT72-BK72)))*Parameters!$B$3))^12)*100)</f>
        <v/>
      </c>
      <c r="CD72" s="25">
        <f>IF(AD72=1,0,BV72-(1-(1-(1/(1+EXP(-(BT72-BL72)))*Parameters!$B$3))^12)*100)</f>
        <v/>
      </c>
      <c r="CE72" s="25">
        <f>IF(AD72=1,0,BV72-(1-(1-(1/(1+EXP(-(BT72-BM72)))*Parameters!$B$3))^12)*100)</f>
        <v/>
      </c>
      <c r="CF72" s="25">
        <f>IF(AD72=1,0,BV72-(1-(1-(1/(1+EXP(-(BT72-BN72)))*Parameters!$B$3))^12)*100)</f>
        <v/>
      </c>
      <c r="CG72" s="25">
        <f>IF(AD72=1,0,BV72-(1-(1-(1/(1+EXP(-(BT72-BO72)))*Parameters!$B$3))^12)*100)</f>
        <v/>
      </c>
      <c r="CH72" s="25">
        <f>IF(AD72=1,0,BV72-(1-(1-(1/(1+EXP(-(BT72-BP72)))*Parameters!$B$3))^12)*100)</f>
        <v/>
      </c>
      <c r="CI72" s="25">
        <f>IF(AD72=1,0,BV72-(1-(1-(1/(1+EXP(-(BT72-BQ72)))*Parameters!$B$3))^12)*100)</f>
        <v/>
      </c>
      <c r="CJ72" s="25">
        <f>IF(AD72=1,0,BV72-(1-(1-(1/(1+EXP(-(BT72-BR72)))*Parameters!$B$3))^12)*100)</f>
        <v/>
      </c>
    </row>
    <row r="73">
      <c r="A73" s="17" t="inlineStr">
        <is>
          <t>GNR_2014_SEASONED</t>
        </is>
      </c>
      <c r="B73" s="17" t="inlineStr">
        <is>
          <t>36183HUD5</t>
        </is>
      </c>
      <c r="C73" s="17" t="inlineStr">
        <is>
          <t>PN</t>
        </is>
      </c>
      <c r="D73" s="17" t="inlineStr">
        <is>
          <t>LUMENT REAL ESTATE CAPITAL,LLC</t>
        </is>
      </c>
      <c r="E73" s="17" t="inlineStr">
        <is>
          <t>36183HUD5_000000001711181</t>
        </is>
      </c>
      <c r="F73" s="17" t="n">
        <v>202603</v>
      </c>
      <c r="G73" s="18" t="n">
        <v>3.75</v>
      </c>
      <c r="H73" s="19" t="n">
        <v>5703706.16</v>
      </c>
      <c r="I73" s="17" t="n">
        <v>420</v>
      </c>
      <c r="J73" s="17" t="n">
        <v>20150206</v>
      </c>
      <c r="K73" s="17" t="n">
        <v>20500301</v>
      </c>
      <c r="L73" s="17" t="n"/>
      <c r="M73" s="17" t="n">
        <v>20250401</v>
      </c>
      <c r="N73" s="17" t="n">
        <v>10</v>
      </c>
      <c r="O73" s="17" t="inlineStr">
        <is>
          <t>223F/223A7</t>
        </is>
      </c>
      <c r="P73" s="17" t="inlineStr">
        <is>
          <t>MKT</t>
        </is>
      </c>
      <c r="Q73" s="17" t="n"/>
      <c r="R73" s="17" t="n"/>
      <c r="S73" s="17" t="n"/>
      <c r="T73" s="17" t="inlineStr">
        <is>
          <t>CT</t>
        </is>
      </c>
      <c r="U73" s="17" t="n">
        <v>150</v>
      </c>
      <c r="V73" s="17" t="n">
        <v>490.5</v>
      </c>
      <c r="W73" s="17" t="n">
        <v>133</v>
      </c>
      <c r="X73" s="17" t="n">
        <v>2015</v>
      </c>
      <c r="Y73" s="17" t="n">
        <v>20</v>
      </c>
      <c r="Z73" s="17" t="n">
        <v>0</v>
      </c>
      <c r="AA73" s="20">
        <f>IF(ISNUMBER(W73),W73,IFERROR(MAX(0,(VALUE(LEFT(F73,4))-VALUE(LEFT(TEXT(J73,"00000000"),4)))*12+(VALUE(MID(F73,5,2))-VALUE(MID(TEXT(J73,"00000000"),5,2)))),""))</f>
        <v/>
      </c>
      <c r="AB73" s="20">
        <f>IFERROR((VALUE(LEFT(TEXT(K73,"00000000"),4))-VALUE(LEFT(F73,4)))*12+(VALUE(MID(TEXT(K73,"00000000"),5,2))-VALUE(MID(F73,5,2))),"")</f>
        <v/>
      </c>
      <c r="AC73" s="20">
        <f>IF(OR(L73="",NOT(ISNUMBER(L73))),0,MAX(0,MIN(60,(VALUE(LEFT(F73,4))-VALUE(LEFT(TEXT(L73,"00000000"),4)))*12+(VALUE(MID(F73,5,2))-VALUE(MID(TEXT(L73,"00000000"),5,2))))))</f>
        <v/>
      </c>
      <c r="AD73" s="20">
        <f>IF(OR(L73="",NOT(ISNUMBER(L73))),0,IF(VALUE(F73)&lt;VALUE(LEFT(TEXT(L73,"00000000"),6)),1,0))</f>
        <v/>
      </c>
      <c r="AE73" s="20">
        <f>IF(OR(M73="",NOT(ISNUMBER(M73))),0,IF(VALUE(F73)&lt;VALUE(LEFT(TEXT(M73,"00000000"),6)),1,0))</f>
        <v/>
      </c>
      <c r="AF73" s="20">
        <f>IF(AND(AD73=0,AE73=0),1,0)</f>
        <v/>
      </c>
      <c r="AG73" s="20">
        <f>IF(ISNUMBER(X73),X73,IFERROR(VALUE(LEFT(TEXT(J73,"00000000"),4)),""))</f>
        <v/>
      </c>
      <c r="AH73" s="20">
        <f>IFERROR(XLOOKUP(AG73,Vintage_Rates!$A$2:$A$1000,Vintage_Rates!$B$2:$B$1000,""),"")</f>
        <v/>
      </c>
      <c r="AI73" s="20">
        <f>IF(ISNUMBER(Y73),Y73,IFERROR((G73-AH73)*100,""))</f>
        <v/>
      </c>
      <c r="AJ73" s="20">
        <f>IF(ISNUMBER(V73),V73,IFERROR(XLOOKUP(VALUE(F73),PLC_Rates!$A$2:$A$1000,PLC_Rates!$B$2:$B$1000,""),""))</f>
        <v/>
      </c>
      <c r="AK73" s="20">
        <f>IF(ISNUMBER(Z73),Z73,IF(AE73=0,0,MAX(0,MIN(10,((VALUE(LEFT(TEXT(M73,"00000000"),4))-VALUE(LEFT(F73,4)))*12+(VALUE(MID(TEXT(M73,"00000000"),5,2))-VALUE(MID(F73,5,2))))/12))))</f>
        <v/>
      </c>
      <c r="AL73" s="20">
        <f>IFERROR(G73*100-AJ73,"")</f>
        <v/>
      </c>
      <c r="AM73" s="20">
        <f>IFERROR(G73*100-(AJ73+(1+AK73)*12.5),"")</f>
        <v/>
      </c>
      <c r="AN73" s="21">
        <f>IFERROR(MIN(H73/1000000,100),"")</f>
        <v/>
      </c>
      <c r="AO73" s="20">
        <f>IFERROR(INDEX(FHA_Lookup!$B$2:$B$11,MATCH(TRUE,ISNUMBER(SEARCH(FHA_Lookup!$A$2:$A$11,UPPER(SUBSTITUTE(O73," ","")))),0)),"OTHER")</f>
        <v/>
      </c>
      <c r="AP73" s="20">
        <f>IFERROR(INDEX(FHA_Lookup!$C$2:$C$11,MATCH(TRUE,ISNUMBER(SEARCH(FHA_Lookup!$A$2:$A$11,UPPER(SUBSTITUTE(O73," ","")))),0)),"OTHER")</f>
        <v/>
      </c>
      <c r="AQ73" s="20">
        <f>IF(AP73="NC",1,0)</f>
        <v/>
      </c>
      <c r="AR73" s="20">
        <f>IF(UPPER(TRIM(P73))="AFF",1,0)</f>
        <v/>
      </c>
      <c r="AS73" s="20">
        <f>IF(UPPER(TRIM(P73))="BAF",1,0)</f>
        <v/>
      </c>
      <c r="AT73" s="20">
        <f>IF(UPPER(TRIM(P73))="MKT",1,0)</f>
        <v/>
      </c>
      <c r="AU73" s="20">
        <f>IF(AO73="221d4",1,0)</f>
        <v/>
      </c>
      <c r="AV73" s="20">
        <f>IF(AO73="223a7",1,0)</f>
        <v/>
      </c>
      <c r="AW73" s="20">
        <f>IF(AO73="232",1,0)</f>
        <v/>
      </c>
      <c r="AX73" s="20">
        <f>IF(AO73="538",1,0)</f>
        <v/>
      </c>
      <c r="AY73" s="20">
        <f>IF(AO73="241",1,0)</f>
        <v/>
      </c>
      <c r="AZ73" s="20">
        <f>IF(AO73="220",1,0)</f>
        <v/>
      </c>
      <c r="BA73" s="20">
        <f>IF(AO73="OTHER",1,0)</f>
        <v/>
      </c>
      <c r="BB73" s="20">
        <f>IF(UPPER(TRIM(C73))="LM",1,0)</f>
        <v/>
      </c>
      <c r="BC73" s="20">
        <f>IF(UPPER(TRIM(C73))="PN",1,0)</f>
        <v/>
      </c>
      <c r="BD73" s="20">
        <f>IF(UPPER(TRIM(C73))="LS",1,0)</f>
        <v/>
      </c>
      <c r="BE73" s="20">
        <f>IF(UPPER(TRIM(C73))="RX",1,0)</f>
        <v/>
      </c>
      <c r="BF73" s="22">
        <f>IFERROR((Parameters!$C$6*AM73+Parameters!$C$7*MAX(AM73-(-150),0)+Parameters!$C$8*MAX(AM73-(-50),0)+Parameters!$C$9*MAX(AM73-(0),0)+Parameters!$C$10*MAX(AM73-(50),0)+Parameters!$C$11*MAX(AM73-(100),0)+Parameters!$C$12*MAX(AM73-(150),0)+Parameters!$C$13*MAX(AM73-(250),0)),0)</f>
        <v/>
      </c>
      <c r="BG73" s="22">
        <f>IFERROR((Parameters!$C$14*AA73+Parameters!$C$15*MAX(AA73-(12),0)+Parameters!$C$16*MAX(AA73-(36),0)+Parameters!$C$17*MAX(AA73-(60),0)+Parameters!$C$18*MAX(AA73-(84),0)+Parameters!$C$19*MAX(AA73-(120),0)+Parameters!$C$20*MAX(AA73-(180),0)),0)</f>
        <v/>
      </c>
      <c r="BH73" s="22">
        <f>IFERROR((Parameters!$C$21*AK73+Parameters!$C$22*MAX(AK73-(0),0)+Parameters!$C$23*MAX(AK73-(2),0)+Parameters!$C$24*MAX(AK73-(5),0)+Parameters!$C$25*MAX(AK73-(8),0)),0)</f>
        <v/>
      </c>
      <c r="BI73" s="22">
        <f>IFERROR((Parameters!$C$26*AI73+Parameters!$C$27*MAX(AI73-(-100),0)+Parameters!$C$28*MAX(AI73-(-25),0)+Parameters!$C$29*MAX(AI73-(25),0)+Parameters!$C$30*MAX(AI73-(100),0)),0)</f>
        <v/>
      </c>
      <c r="BJ73" s="22">
        <f>IFERROR((Parameters!$C$31*AN73+Parameters!$C$32*MAX(AN73-(2),0)+Parameters!$C$33*MAX(AN73-(10),0)+Parameters!$C$34*MAX(AN73-(25),0)),0)</f>
        <v/>
      </c>
      <c r="BK73" s="22">
        <f>IFERROR((Parameters!$C$35*AB73+Parameters!$C$36*MAX(AB73-(12),0)+Parameters!$C$37*MAX(AB73-(24),0)+Parameters!$C$38*MAX(AB73-(60),0)),0)</f>
        <v/>
      </c>
      <c r="BL73" s="22">
        <f>IFERROR((Parameters!$C$39*AC73+Parameters!$C$40*MAX(AC73-(6),0)+Parameters!$C$41*MAX(AC73-(12),0)+Parameters!$C$42*MAX(AC73-(24),0)),0)</f>
        <v/>
      </c>
      <c r="BM73" s="22">
        <f>IFERROR(Parameters!$C$43*(MAX(AM73,0)*MIN(MAX(AK73,0),10))/100,0)</f>
        <v/>
      </c>
      <c r="BN73" s="22">
        <f>Parameters!$C$44*AE73</f>
        <v/>
      </c>
      <c r="BO73" s="22">
        <f>Parameters!$C$45*AU73 + Parameters!$C$46*AV73 + Parameters!$C$47*AW73 + Parameters!$C$48*AX73 + Parameters!$C$49*AY73 + Parameters!$C$50*AZ73 + Parameters!$C$51*BA73</f>
        <v/>
      </c>
      <c r="BP73" s="22">
        <f>Parameters!$C$52*AQ73</f>
        <v/>
      </c>
      <c r="BQ73" s="22">
        <f>Parameters!$C$53*AR73+Parameters!$C$54*AS73+Parameters!$C$55*AT73</f>
        <v/>
      </c>
      <c r="BR73" s="22">
        <f>Parameters!$C$56*BB73+Parameters!$C$57*BC73+Parameters!$C$58*BD73+Parameters!$C$59*BE73</f>
        <v/>
      </c>
      <c r="BS73" s="23">
        <f>Parameters!$B$2</f>
        <v/>
      </c>
      <c r="BT73" s="23">
        <f>BS73+BF73 + BG73 + BH73 + BI73 + BJ73 + BK73 + BL73 + BM73 + BN73 + BO73 + BP73 + BQ73 + BR73</f>
        <v/>
      </c>
      <c r="BU73" s="24">
        <f>IF(AD73=1,0,1/(1+EXP(-BT73))*Parameters!$B$3)</f>
        <v/>
      </c>
      <c r="BV73" s="25">
        <f>(1-(1-BU73)^12)*100</f>
        <v/>
      </c>
      <c r="BW73" s="25">
        <f>IF(AD73=1,0,(1-(1-1/(1+EXP(-Parameters!$B$2)))^12)*100)</f>
        <v/>
      </c>
      <c r="BX73" s="25">
        <f>IF(AD73=1,0,BV73-(1-(1-(1/(1+EXP(-(BT73-BF73)))*Parameters!$B$3))^12)*100)</f>
        <v/>
      </c>
      <c r="BY73" s="25">
        <f>IF(AD73=1,0,BV73-(1-(1-(1/(1+EXP(-(BT73-BG73)))*Parameters!$B$3))^12)*100)</f>
        <v/>
      </c>
      <c r="BZ73" s="25">
        <f>IF(AD73=1,0,BV73-(1-(1-(1/(1+EXP(-(BT73-BH73)))*Parameters!$B$3))^12)*100)</f>
        <v/>
      </c>
      <c r="CA73" s="25">
        <f>IF(AD73=1,0,BV73-(1-(1-(1/(1+EXP(-(BT73-BI73)))*Parameters!$B$3))^12)*100)</f>
        <v/>
      </c>
      <c r="CB73" s="25">
        <f>IF(AD73=1,0,BV73-(1-(1-(1/(1+EXP(-(BT73-BJ73)))*Parameters!$B$3))^12)*100)</f>
        <v/>
      </c>
      <c r="CC73" s="25">
        <f>IF(AD73=1,0,BV73-(1-(1-(1/(1+EXP(-(BT73-BK73)))*Parameters!$B$3))^12)*100)</f>
        <v/>
      </c>
      <c r="CD73" s="25">
        <f>IF(AD73=1,0,BV73-(1-(1-(1/(1+EXP(-(BT73-BL73)))*Parameters!$B$3))^12)*100)</f>
        <v/>
      </c>
      <c r="CE73" s="25">
        <f>IF(AD73=1,0,BV73-(1-(1-(1/(1+EXP(-(BT73-BM73)))*Parameters!$B$3))^12)*100)</f>
        <v/>
      </c>
      <c r="CF73" s="25">
        <f>IF(AD73=1,0,BV73-(1-(1-(1/(1+EXP(-(BT73-BN73)))*Parameters!$B$3))^12)*100)</f>
        <v/>
      </c>
      <c r="CG73" s="25">
        <f>IF(AD73=1,0,BV73-(1-(1-(1/(1+EXP(-(BT73-BO73)))*Parameters!$B$3))^12)*100)</f>
        <v/>
      </c>
      <c r="CH73" s="25">
        <f>IF(AD73=1,0,BV73-(1-(1-(1/(1+EXP(-(BT73-BP73)))*Parameters!$B$3))^12)*100)</f>
        <v/>
      </c>
      <c r="CI73" s="25">
        <f>IF(AD73=1,0,BV73-(1-(1-(1/(1+EXP(-(BT73-BQ73)))*Parameters!$B$3))^12)*100)</f>
        <v/>
      </c>
      <c r="CJ73" s="25">
        <f>IF(AD73=1,0,BV73-(1-(1-(1/(1+EXP(-(BT73-BR73)))*Parameters!$B$3))^12)*100)</f>
        <v/>
      </c>
    </row>
    <row r="74">
      <c r="A74" s="17" t="inlineStr">
        <is>
          <t>GNR_2014_SEASONED</t>
        </is>
      </c>
      <c r="B74" s="17" t="inlineStr">
        <is>
          <t>36196PH54</t>
        </is>
      </c>
      <c r="C74" s="17" t="inlineStr">
        <is>
          <t>PN</t>
        </is>
      </c>
      <c r="D74" s="17" t="inlineStr">
        <is>
          <t>LUMENT REAL ESTATE CAPITAL,LLC</t>
        </is>
      </c>
      <c r="E74" s="17" t="inlineStr">
        <is>
          <t>36196PH54_000000004211287</t>
        </is>
      </c>
      <c r="F74" s="17" t="n">
        <v>202603</v>
      </c>
      <c r="G74" s="18" t="n">
        <v>3.03</v>
      </c>
      <c r="H74" s="19" t="n">
        <v>3919049.31</v>
      </c>
      <c r="I74" s="17" t="n">
        <v>420</v>
      </c>
      <c r="J74" s="17" t="n">
        <v>20161215</v>
      </c>
      <c r="K74" s="17" t="n">
        <v>20520101</v>
      </c>
      <c r="L74" s="17" t="n"/>
      <c r="M74" s="17" t="n">
        <v>20270201</v>
      </c>
      <c r="N74" s="17" t="n">
        <v>10</v>
      </c>
      <c r="O74" s="17" t="inlineStr">
        <is>
          <t>207/223(F)</t>
        </is>
      </c>
      <c r="P74" s="17" t="inlineStr">
        <is>
          <t>MKT</t>
        </is>
      </c>
      <c r="Q74" s="17" t="n"/>
      <c r="R74" s="17" t="n"/>
      <c r="S74" s="17" t="n"/>
      <c r="T74" s="17" t="inlineStr">
        <is>
          <t>OH</t>
        </is>
      </c>
      <c r="U74" s="17" t="n">
        <v>68</v>
      </c>
      <c r="V74" s="17" t="n">
        <v>490.5</v>
      </c>
      <c r="W74" s="17" t="n">
        <v>111</v>
      </c>
      <c r="X74" s="17" t="n">
        <v>2016</v>
      </c>
      <c r="Y74" s="17" t="n">
        <v>-42</v>
      </c>
      <c r="Z74" s="17" t="n">
        <v>1</v>
      </c>
      <c r="AA74" s="20">
        <f>IF(ISNUMBER(W74),W74,IFERROR(MAX(0,(VALUE(LEFT(F74,4))-VALUE(LEFT(TEXT(J74,"00000000"),4)))*12+(VALUE(MID(F74,5,2))-VALUE(MID(TEXT(J74,"00000000"),5,2)))),""))</f>
        <v/>
      </c>
      <c r="AB74" s="20">
        <f>IFERROR((VALUE(LEFT(TEXT(K74,"00000000"),4))-VALUE(LEFT(F74,4)))*12+(VALUE(MID(TEXT(K74,"00000000"),5,2))-VALUE(MID(F74,5,2))),"")</f>
        <v/>
      </c>
      <c r="AC74" s="20">
        <f>IF(OR(L74="",NOT(ISNUMBER(L74))),0,MAX(0,MIN(60,(VALUE(LEFT(F74,4))-VALUE(LEFT(TEXT(L74,"00000000"),4)))*12+(VALUE(MID(F74,5,2))-VALUE(MID(TEXT(L74,"00000000"),5,2))))))</f>
        <v/>
      </c>
      <c r="AD74" s="20">
        <f>IF(OR(L74="",NOT(ISNUMBER(L74))),0,IF(VALUE(F74)&lt;VALUE(LEFT(TEXT(L74,"00000000"),6)),1,0))</f>
        <v/>
      </c>
      <c r="AE74" s="20">
        <f>IF(OR(M74="",NOT(ISNUMBER(M74))),0,IF(VALUE(F74)&lt;VALUE(LEFT(TEXT(M74,"00000000"),6)),1,0))</f>
        <v/>
      </c>
      <c r="AF74" s="20">
        <f>IF(AND(AD74=0,AE74=0),1,0)</f>
        <v/>
      </c>
      <c r="AG74" s="20">
        <f>IF(ISNUMBER(X74),X74,IFERROR(VALUE(LEFT(TEXT(J74,"00000000"),4)),""))</f>
        <v/>
      </c>
      <c r="AH74" s="20">
        <f>IFERROR(XLOOKUP(AG74,Vintage_Rates!$A$2:$A$1000,Vintage_Rates!$B$2:$B$1000,""),"")</f>
        <v/>
      </c>
      <c r="AI74" s="20">
        <f>IF(ISNUMBER(Y74),Y74,IFERROR((G74-AH74)*100,""))</f>
        <v/>
      </c>
      <c r="AJ74" s="20">
        <f>IF(ISNUMBER(V74),V74,IFERROR(XLOOKUP(VALUE(F74),PLC_Rates!$A$2:$A$1000,PLC_Rates!$B$2:$B$1000,""),""))</f>
        <v/>
      </c>
      <c r="AK74" s="20">
        <f>IF(ISNUMBER(Z74),Z74,IF(AE74=0,0,MAX(0,MIN(10,((VALUE(LEFT(TEXT(M74,"00000000"),4))-VALUE(LEFT(F74,4)))*12+(VALUE(MID(TEXT(M74,"00000000"),5,2))-VALUE(MID(F74,5,2))))/12))))</f>
        <v/>
      </c>
      <c r="AL74" s="20">
        <f>IFERROR(G74*100-AJ74,"")</f>
        <v/>
      </c>
      <c r="AM74" s="20">
        <f>IFERROR(G74*100-(AJ74+(1+AK74)*12.5),"")</f>
        <v/>
      </c>
      <c r="AN74" s="21">
        <f>IFERROR(MIN(H74/1000000,100),"")</f>
        <v/>
      </c>
      <c r="AO74" s="20">
        <f>IFERROR(INDEX(FHA_Lookup!$B$2:$B$11,MATCH(TRUE,ISNUMBER(SEARCH(FHA_Lookup!$A$2:$A$11,UPPER(SUBSTITUTE(O74," ","")))),0)),"OTHER")</f>
        <v/>
      </c>
      <c r="AP74" s="20">
        <f>IFERROR(INDEX(FHA_Lookup!$C$2:$C$11,MATCH(TRUE,ISNUMBER(SEARCH(FHA_Lookup!$A$2:$A$11,UPPER(SUBSTITUTE(O74," ","")))),0)),"OTHER")</f>
        <v/>
      </c>
      <c r="AQ74" s="20">
        <f>IF(AP74="NC",1,0)</f>
        <v/>
      </c>
      <c r="AR74" s="20">
        <f>IF(UPPER(TRIM(P74))="AFF",1,0)</f>
        <v/>
      </c>
      <c r="AS74" s="20">
        <f>IF(UPPER(TRIM(P74))="BAF",1,0)</f>
        <v/>
      </c>
      <c r="AT74" s="20">
        <f>IF(UPPER(TRIM(P74))="MKT",1,0)</f>
        <v/>
      </c>
      <c r="AU74" s="20">
        <f>IF(AO74="221d4",1,0)</f>
        <v/>
      </c>
      <c r="AV74" s="20">
        <f>IF(AO74="223a7",1,0)</f>
        <v/>
      </c>
      <c r="AW74" s="20">
        <f>IF(AO74="232",1,0)</f>
        <v/>
      </c>
      <c r="AX74" s="20">
        <f>IF(AO74="538",1,0)</f>
        <v/>
      </c>
      <c r="AY74" s="20">
        <f>IF(AO74="241",1,0)</f>
        <v/>
      </c>
      <c r="AZ74" s="20">
        <f>IF(AO74="220",1,0)</f>
        <v/>
      </c>
      <c r="BA74" s="20">
        <f>IF(AO74="OTHER",1,0)</f>
        <v/>
      </c>
      <c r="BB74" s="20">
        <f>IF(UPPER(TRIM(C74))="LM",1,0)</f>
        <v/>
      </c>
      <c r="BC74" s="20">
        <f>IF(UPPER(TRIM(C74))="PN",1,0)</f>
        <v/>
      </c>
      <c r="BD74" s="20">
        <f>IF(UPPER(TRIM(C74))="LS",1,0)</f>
        <v/>
      </c>
      <c r="BE74" s="20">
        <f>IF(UPPER(TRIM(C74))="RX",1,0)</f>
        <v/>
      </c>
      <c r="BF74" s="22">
        <f>IFERROR((Parameters!$C$6*AM74+Parameters!$C$7*MAX(AM74-(-150),0)+Parameters!$C$8*MAX(AM74-(-50),0)+Parameters!$C$9*MAX(AM74-(0),0)+Parameters!$C$10*MAX(AM74-(50),0)+Parameters!$C$11*MAX(AM74-(100),0)+Parameters!$C$12*MAX(AM74-(150),0)+Parameters!$C$13*MAX(AM74-(250),0)),0)</f>
        <v/>
      </c>
      <c r="BG74" s="22">
        <f>IFERROR((Parameters!$C$14*AA74+Parameters!$C$15*MAX(AA74-(12),0)+Parameters!$C$16*MAX(AA74-(36),0)+Parameters!$C$17*MAX(AA74-(60),0)+Parameters!$C$18*MAX(AA74-(84),0)+Parameters!$C$19*MAX(AA74-(120),0)+Parameters!$C$20*MAX(AA74-(180),0)),0)</f>
        <v/>
      </c>
      <c r="BH74" s="22">
        <f>IFERROR((Parameters!$C$21*AK74+Parameters!$C$22*MAX(AK74-(0),0)+Parameters!$C$23*MAX(AK74-(2),0)+Parameters!$C$24*MAX(AK74-(5),0)+Parameters!$C$25*MAX(AK74-(8),0)),0)</f>
        <v/>
      </c>
      <c r="BI74" s="22">
        <f>IFERROR((Parameters!$C$26*AI74+Parameters!$C$27*MAX(AI74-(-100),0)+Parameters!$C$28*MAX(AI74-(-25),0)+Parameters!$C$29*MAX(AI74-(25),0)+Parameters!$C$30*MAX(AI74-(100),0)),0)</f>
        <v/>
      </c>
      <c r="BJ74" s="22">
        <f>IFERROR((Parameters!$C$31*AN74+Parameters!$C$32*MAX(AN74-(2),0)+Parameters!$C$33*MAX(AN74-(10),0)+Parameters!$C$34*MAX(AN74-(25),0)),0)</f>
        <v/>
      </c>
      <c r="BK74" s="22">
        <f>IFERROR((Parameters!$C$35*AB74+Parameters!$C$36*MAX(AB74-(12),0)+Parameters!$C$37*MAX(AB74-(24),0)+Parameters!$C$38*MAX(AB74-(60),0)),0)</f>
        <v/>
      </c>
      <c r="BL74" s="22">
        <f>IFERROR((Parameters!$C$39*AC74+Parameters!$C$40*MAX(AC74-(6),0)+Parameters!$C$41*MAX(AC74-(12),0)+Parameters!$C$42*MAX(AC74-(24),0)),0)</f>
        <v/>
      </c>
      <c r="BM74" s="22">
        <f>IFERROR(Parameters!$C$43*(MAX(AM74,0)*MIN(MAX(AK74,0),10))/100,0)</f>
        <v/>
      </c>
      <c r="BN74" s="22">
        <f>Parameters!$C$44*AE74</f>
        <v/>
      </c>
      <c r="BO74" s="22">
        <f>Parameters!$C$45*AU74 + Parameters!$C$46*AV74 + Parameters!$C$47*AW74 + Parameters!$C$48*AX74 + Parameters!$C$49*AY74 + Parameters!$C$50*AZ74 + Parameters!$C$51*BA74</f>
        <v/>
      </c>
      <c r="BP74" s="22">
        <f>Parameters!$C$52*AQ74</f>
        <v/>
      </c>
      <c r="BQ74" s="22">
        <f>Parameters!$C$53*AR74+Parameters!$C$54*AS74+Parameters!$C$55*AT74</f>
        <v/>
      </c>
      <c r="BR74" s="22">
        <f>Parameters!$C$56*BB74+Parameters!$C$57*BC74+Parameters!$C$58*BD74+Parameters!$C$59*BE74</f>
        <v/>
      </c>
      <c r="BS74" s="23">
        <f>Parameters!$B$2</f>
        <v/>
      </c>
      <c r="BT74" s="23">
        <f>BS74+BF74 + BG74 + BH74 + BI74 + BJ74 + BK74 + BL74 + BM74 + BN74 + BO74 + BP74 + BQ74 + BR74</f>
        <v/>
      </c>
      <c r="BU74" s="24">
        <f>IF(AD74=1,0,1/(1+EXP(-BT74))*Parameters!$B$3)</f>
        <v/>
      </c>
      <c r="BV74" s="25">
        <f>(1-(1-BU74)^12)*100</f>
        <v/>
      </c>
      <c r="BW74" s="25">
        <f>IF(AD74=1,0,(1-(1-1/(1+EXP(-Parameters!$B$2)))^12)*100)</f>
        <v/>
      </c>
      <c r="BX74" s="25">
        <f>IF(AD74=1,0,BV74-(1-(1-(1/(1+EXP(-(BT74-BF74)))*Parameters!$B$3))^12)*100)</f>
        <v/>
      </c>
      <c r="BY74" s="25">
        <f>IF(AD74=1,0,BV74-(1-(1-(1/(1+EXP(-(BT74-BG74)))*Parameters!$B$3))^12)*100)</f>
        <v/>
      </c>
      <c r="BZ74" s="25">
        <f>IF(AD74=1,0,BV74-(1-(1-(1/(1+EXP(-(BT74-BH74)))*Parameters!$B$3))^12)*100)</f>
        <v/>
      </c>
      <c r="CA74" s="25">
        <f>IF(AD74=1,0,BV74-(1-(1-(1/(1+EXP(-(BT74-BI74)))*Parameters!$B$3))^12)*100)</f>
        <v/>
      </c>
      <c r="CB74" s="25">
        <f>IF(AD74=1,0,BV74-(1-(1-(1/(1+EXP(-(BT74-BJ74)))*Parameters!$B$3))^12)*100)</f>
        <v/>
      </c>
      <c r="CC74" s="25">
        <f>IF(AD74=1,0,BV74-(1-(1-(1/(1+EXP(-(BT74-BK74)))*Parameters!$B$3))^12)*100)</f>
        <v/>
      </c>
      <c r="CD74" s="25">
        <f>IF(AD74=1,0,BV74-(1-(1-(1/(1+EXP(-(BT74-BL74)))*Parameters!$B$3))^12)*100)</f>
        <v/>
      </c>
      <c r="CE74" s="25">
        <f>IF(AD74=1,0,BV74-(1-(1-(1/(1+EXP(-(BT74-BM74)))*Parameters!$B$3))^12)*100)</f>
        <v/>
      </c>
      <c r="CF74" s="25">
        <f>IF(AD74=1,0,BV74-(1-(1-(1/(1+EXP(-(BT74-BN74)))*Parameters!$B$3))^12)*100)</f>
        <v/>
      </c>
      <c r="CG74" s="25">
        <f>IF(AD74=1,0,BV74-(1-(1-(1/(1+EXP(-(BT74-BO74)))*Parameters!$B$3))^12)*100)</f>
        <v/>
      </c>
      <c r="CH74" s="25">
        <f>IF(AD74=1,0,BV74-(1-(1-(1/(1+EXP(-(BT74-BP74)))*Parameters!$B$3))^12)*100)</f>
        <v/>
      </c>
      <c r="CI74" s="25">
        <f>IF(AD74=1,0,BV74-(1-(1-(1/(1+EXP(-(BT74-BQ74)))*Parameters!$B$3))^12)*100)</f>
        <v/>
      </c>
      <c r="CJ74" s="25">
        <f>IF(AD74=1,0,BV74-(1-(1-(1/(1+EXP(-(BT74-BR74)))*Parameters!$B$3))^12)*100)</f>
        <v/>
      </c>
    </row>
    <row r="75">
      <c r="A75" s="17" t="inlineStr">
        <is>
          <t>GNR_2014_SEASONED</t>
        </is>
      </c>
      <c r="B75" s="17" t="inlineStr">
        <is>
          <t>36181KQY9</t>
        </is>
      </c>
      <c r="C75" s="17" t="inlineStr">
        <is>
          <t>PN</t>
        </is>
      </c>
      <c r="D75" s="17" t="inlineStr">
        <is>
          <t>PNC BANK, NA</t>
        </is>
      </c>
      <c r="E75" s="17" t="inlineStr">
        <is>
          <t>36181KQY9_000000014311162</t>
        </is>
      </c>
      <c r="F75" s="17" t="n">
        <v>202603</v>
      </c>
      <c r="G75" s="18" t="n">
        <v>3.94</v>
      </c>
      <c r="H75" s="19" t="n">
        <v>1875558.96</v>
      </c>
      <c r="I75" s="17" t="n">
        <v>420</v>
      </c>
      <c r="J75" s="17" t="n">
        <v>20140321</v>
      </c>
      <c r="K75" s="17" t="n">
        <v>20490401</v>
      </c>
      <c r="L75" s="17" t="n"/>
      <c r="M75" s="17" t="n">
        <v>20240501</v>
      </c>
      <c r="N75" s="17" t="n">
        <v>10</v>
      </c>
      <c r="O75" s="17" t="inlineStr">
        <is>
          <t>207/223(F)</t>
        </is>
      </c>
      <c r="P75" s="17" t="inlineStr">
        <is>
          <t>MKT</t>
        </is>
      </c>
      <c r="Q75" s="17" t="n"/>
      <c r="R75" s="17" t="n"/>
      <c r="S75" s="17" t="n"/>
      <c r="T75" s="17" t="inlineStr">
        <is>
          <t>CA</t>
        </is>
      </c>
      <c r="U75" s="17" t="n">
        <v>40</v>
      </c>
      <c r="V75" s="17" t="n">
        <v>490.5</v>
      </c>
      <c r="W75" s="17" t="n">
        <v>144</v>
      </c>
      <c r="X75" s="17" t="n">
        <v>2014</v>
      </c>
      <c r="Y75" s="17" t="n">
        <v>9</v>
      </c>
      <c r="Z75" s="17" t="n">
        <v>0</v>
      </c>
      <c r="AA75" s="20">
        <f>IF(ISNUMBER(W75),W75,IFERROR(MAX(0,(VALUE(LEFT(F75,4))-VALUE(LEFT(TEXT(J75,"00000000"),4)))*12+(VALUE(MID(F75,5,2))-VALUE(MID(TEXT(J75,"00000000"),5,2)))),""))</f>
        <v/>
      </c>
      <c r="AB75" s="20">
        <f>IFERROR((VALUE(LEFT(TEXT(K75,"00000000"),4))-VALUE(LEFT(F75,4)))*12+(VALUE(MID(TEXT(K75,"00000000"),5,2))-VALUE(MID(F75,5,2))),"")</f>
        <v/>
      </c>
      <c r="AC75" s="20">
        <f>IF(OR(L75="",NOT(ISNUMBER(L75))),0,MAX(0,MIN(60,(VALUE(LEFT(F75,4))-VALUE(LEFT(TEXT(L75,"00000000"),4)))*12+(VALUE(MID(F75,5,2))-VALUE(MID(TEXT(L75,"00000000"),5,2))))))</f>
        <v/>
      </c>
      <c r="AD75" s="20">
        <f>IF(OR(L75="",NOT(ISNUMBER(L75))),0,IF(VALUE(F75)&lt;VALUE(LEFT(TEXT(L75,"00000000"),6)),1,0))</f>
        <v/>
      </c>
      <c r="AE75" s="20">
        <f>IF(OR(M75="",NOT(ISNUMBER(M75))),0,IF(VALUE(F75)&lt;VALUE(LEFT(TEXT(M75,"00000000"),6)),1,0))</f>
        <v/>
      </c>
      <c r="AF75" s="20">
        <f>IF(AND(AD75=0,AE75=0),1,0)</f>
        <v/>
      </c>
      <c r="AG75" s="20">
        <f>IF(ISNUMBER(X75),X75,IFERROR(VALUE(LEFT(TEXT(J75,"00000000"),4)),""))</f>
        <v/>
      </c>
      <c r="AH75" s="20">
        <f>IFERROR(XLOOKUP(AG75,Vintage_Rates!$A$2:$A$1000,Vintage_Rates!$B$2:$B$1000,""),"")</f>
        <v/>
      </c>
      <c r="AI75" s="20">
        <f>IF(ISNUMBER(Y75),Y75,IFERROR((G75-AH75)*100,""))</f>
        <v/>
      </c>
      <c r="AJ75" s="20">
        <f>IF(ISNUMBER(V75),V75,IFERROR(XLOOKUP(VALUE(F75),PLC_Rates!$A$2:$A$1000,PLC_Rates!$B$2:$B$1000,""),""))</f>
        <v/>
      </c>
      <c r="AK75" s="20">
        <f>IF(ISNUMBER(Z75),Z75,IF(AE75=0,0,MAX(0,MIN(10,((VALUE(LEFT(TEXT(M75,"00000000"),4))-VALUE(LEFT(F75,4)))*12+(VALUE(MID(TEXT(M75,"00000000"),5,2))-VALUE(MID(F75,5,2))))/12))))</f>
        <v/>
      </c>
      <c r="AL75" s="20">
        <f>IFERROR(G75*100-AJ75,"")</f>
        <v/>
      </c>
      <c r="AM75" s="20">
        <f>IFERROR(G75*100-(AJ75+(1+AK75)*12.5),"")</f>
        <v/>
      </c>
      <c r="AN75" s="21">
        <f>IFERROR(MIN(H75/1000000,100),"")</f>
        <v/>
      </c>
      <c r="AO75" s="20">
        <f>IFERROR(INDEX(FHA_Lookup!$B$2:$B$11,MATCH(TRUE,ISNUMBER(SEARCH(FHA_Lookup!$A$2:$A$11,UPPER(SUBSTITUTE(O75," ","")))),0)),"OTHER")</f>
        <v/>
      </c>
      <c r="AP75" s="20">
        <f>IFERROR(INDEX(FHA_Lookup!$C$2:$C$11,MATCH(TRUE,ISNUMBER(SEARCH(FHA_Lookup!$A$2:$A$11,UPPER(SUBSTITUTE(O75," ","")))),0)),"OTHER")</f>
        <v/>
      </c>
      <c r="AQ75" s="20">
        <f>IF(AP75="NC",1,0)</f>
        <v/>
      </c>
      <c r="AR75" s="20">
        <f>IF(UPPER(TRIM(P75))="AFF",1,0)</f>
        <v/>
      </c>
      <c r="AS75" s="20">
        <f>IF(UPPER(TRIM(P75))="BAF",1,0)</f>
        <v/>
      </c>
      <c r="AT75" s="20">
        <f>IF(UPPER(TRIM(P75))="MKT",1,0)</f>
        <v/>
      </c>
      <c r="AU75" s="20">
        <f>IF(AO75="221d4",1,0)</f>
        <v/>
      </c>
      <c r="AV75" s="20">
        <f>IF(AO75="223a7",1,0)</f>
        <v/>
      </c>
      <c r="AW75" s="20">
        <f>IF(AO75="232",1,0)</f>
        <v/>
      </c>
      <c r="AX75" s="20">
        <f>IF(AO75="538",1,0)</f>
        <v/>
      </c>
      <c r="AY75" s="20">
        <f>IF(AO75="241",1,0)</f>
        <v/>
      </c>
      <c r="AZ75" s="20">
        <f>IF(AO75="220",1,0)</f>
        <v/>
      </c>
      <c r="BA75" s="20">
        <f>IF(AO75="OTHER",1,0)</f>
        <v/>
      </c>
      <c r="BB75" s="20">
        <f>IF(UPPER(TRIM(C75))="LM",1,0)</f>
        <v/>
      </c>
      <c r="BC75" s="20">
        <f>IF(UPPER(TRIM(C75))="PN",1,0)</f>
        <v/>
      </c>
      <c r="BD75" s="20">
        <f>IF(UPPER(TRIM(C75))="LS",1,0)</f>
        <v/>
      </c>
      <c r="BE75" s="20">
        <f>IF(UPPER(TRIM(C75))="RX",1,0)</f>
        <v/>
      </c>
      <c r="BF75" s="22">
        <f>IFERROR((Parameters!$C$6*AM75+Parameters!$C$7*MAX(AM75-(-150),0)+Parameters!$C$8*MAX(AM75-(-50),0)+Parameters!$C$9*MAX(AM75-(0),0)+Parameters!$C$10*MAX(AM75-(50),0)+Parameters!$C$11*MAX(AM75-(100),0)+Parameters!$C$12*MAX(AM75-(150),0)+Parameters!$C$13*MAX(AM75-(250),0)),0)</f>
        <v/>
      </c>
      <c r="BG75" s="22">
        <f>IFERROR((Parameters!$C$14*AA75+Parameters!$C$15*MAX(AA75-(12),0)+Parameters!$C$16*MAX(AA75-(36),0)+Parameters!$C$17*MAX(AA75-(60),0)+Parameters!$C$18*MAX(AA75-(84),0)+Parameters!$C$19*MAX(AA75-(120),0)+Parameters!$C$20*MAX(AA75-(180),0)),0)</f>
        <v/>
      </c>
      <c r="BH75" s="22">
        <f>IFERROR((Parameters!$C$21*AK75+Parameters!$C$22*MAX(AK75-(0),0)+Parameters!$C$23*MAX(AK75-(2),0)+Parameters!$C$24*MAX(AK75-(5),0)+Parameters!$C$25*MAX(AK75-(8),0)),0)</f>
        <v/>
      </c>
      <c r="BI75" s="22">
        <f>IFERROR((Parameters!$C$26*AI75+Parameters!$C$27*MAX(AI75-(-100),0)+Parameters!$C$28*MAX(AI75-(-25),0)+Parameters!$C$29*MAX(AI75-(25),0)+Parameters!$C$30*MAX(AI75-(100),0)),0)</f>
        <v/>
      </c>
      <c r="BJ75" s="22">
        <f>IFERROR((Parameters!$C$31*AN75+Parameters!$C$32*MAX(AN75-(2),0)+Parameters!$C$33*MAX(AN75-(10),0)+Parameters!$C$34*MAX(AN75-(25),0)),0)</f>
        <v/>
      </c>
      <c r="BK75" s="22">
        <f>IFERROR((Parameters!$C$35*AB75+Parameters!$C$36*MAX(AB75-(12),0)+Parameters!$C$37*MAX(AB75-(24),0)+Parameters!$C$38*MAX(AB75-(60),0)),0)</f>
        <v/>
      </c>
      <c r="BL75" s="22">
        <f>IFERROR((Parameters!$C$39*AC75+Parameters!$C$40*MAX(AC75-(6),0)+Parameters!$C$41*MAX(AC75-(12),0)+Parameters!$C$42*MAX(AC75-(24),0)),0)</f>
        <v/>
      </c>
      <c r="BM75" s="22">
        <f>IFERROR(Parameters!$C$43*(MAX(AM75,0)*MIN(MAX(AK75,0),10))/100,0)</f>
        <v/>
      </c>
      <c r="BN75" s="22">
        <f>Parameters!$C$44*AE75</f>
        <v/>
      </c>
      <c r="BO75" s="22">
        <f>Parameters!$C$45*AU75 + Parameters!$C$46*AV75 + Parameters!$C$47*AW75 + Parameters!$C$48*AX75 + Parameters!$C$49*AY75 + Parameters!$C$50*AZ75 + Parameters!$C$51*BA75</f>
        <v/>
      </c>
      <c r="BP75" s="22">
        <f>Parameters!$C$52*AQ75</f>
        <v/>
      </c>
      <c r="BQ75" s="22">
        <f>Parameters!$C$53*AR75+Parameters!$C$54*AS75+Parameters!$C$55*AT75</f>
        <v/>
      </c>
      <c r="BR75" s="22">
        <f>Parameters!$C$56*BB75+Parameters!$C$57*BC75+Parameters!$C$58*BD75+Parameters!$C$59*BE75</f>
        <v/>
      </c>
      <c r="BS75" s="23">
        <f>Parameters!$B$2</f>
        <v/>
      </c>
      <c r="BT75" s="23">
        <f>BS75+BF75 + BG75 + BH75 + BI75 + BJ75 + BK75 + BL75 + BM75 + BN75 + BO75 + BP75 + BQ75 + BR75</f>
        <v/>
      </c>
      <c r="BU75" s="24">
        <f>IF(AD75=1,0,1/(1+EXP(-BT75))*Parameters!$B$3)</f>
        <v/>
      </c>
      <c r="BV75" s="25">
        <f>(1-(1-BU75)^12)*100</f>
        <v/>
      </c>
      <c r="BW75" s="25">
        <f>IF(AD75=1,0,(1-(1-1/(1+EXP(-Parameters!$B$2)))^12)*100)</f>
        <v/>
      </c>
      <c r="BX75" s="25">
        <f>IF(AD75=1,0,BV75-(1-(1-(1/(1+EXP(-(BT75-BF75)))*Parameters!$B$3))^12)*100)</f>
        <v/>
      </c>
      <c r="BY75" s="25">
        <f>IF(AD75=1,0,BV75-(1-(1-(1/(1+EXP(-(BT75-BG75)))*Parameters!$B$3))^12)*100)</f>
        <v/>
      </c>
      <c r="BZ75" s="25">
        <f>IF(AD75=1,0,BV75-(1-(1-(1/(1+EXP(-(BT75-BH75)))*Parameters!$B$3))^12)*100)</f>
        <v/>
      </c>
      <c r="CA75" s="25">
        <f>IF(AD75=1,0,BV75-(1-(1-(1/(1+EXP(-(BT75-BI75)))*Parameters!$B$3))^12)*100)</f>
        <v/>
      </c>
      <c r="CB75" s="25">
        <f>IF(AD75=1,0,BV75-(1-(1-(1/(1+EXP(-(BT75-BJ75)))*Parameters!$B$3))^12)*100)</f>
        <v/>
      </c>
      <c r="CC75" s="25">
        <f>IF(AD75=1,0,BV75-(1-(1-(1/(1+EXP(-(BT75-BK75)))*Parameters!$B$3))^12)*100)</f>
        <v/>
      </c>
      <c r="CD75" s="25">
        <f>IF(AD75=1,0,BV75-(1-(1-(1/(1+EXP(-(BT75-BL75)))*Parameters!$B$3))^12)*100)</f>
        <v/>
      </c>
      <c r="CE75" s="25">
        <f>IF(AD75=1,0,BV75-(1-(1-(1/(1+EXP(-(BT75-BM75)))*Parameters!$B$3))^12)*100)</f>
        <v/>
      </c>
      <c r="CF75" s="25">
        <f>IF(AD75=1,0,BV75-(1-(1-(1/(1+EXP(-(BT75-BN75)))*Parameters!$B$3))^12)*100)</f>
        <v/>
      </c>
      <c r="CG75" s="25">
        <f>IF(AD75=1,0,BV75-(1-(1-(1/(1+EXP(-(BT75-BO75)))*Parameters!$B$3))^12)*100)</f>
        <v/>
      </c>
      <c r="CH75" s="25">
        <f>IF(AD75=1,0,BV75-(1-(1-(1/(1+EXP(-(BT75-BP75)))*Parameters!$B$3))^12)*100)</f>
        <v/>
      </c>
      <c r="CI75" s="25">
        <f>IF(AD75=1,0,BV75-(1-(1-(1/(1+EXP(-(BT75-BQ75)))*Parameters!$B$3))^12)*100)</f>
        <v/>
      </c>
      <c r="CJ75" s="25">
        <f>IF(AD75=1,0,BV75-(1-(1-(1/(1+EXP(-(BT75-BR75)))*Parameters!$B$3))^12)*100)</f>
        <v/>
      </c>
    </row>
    <row r="76">
      <c r="A76" s="17" t="inlineStr">
        <is>
          <t>GNR_2014_SEASONED</t>
        </is>
      </c>
      <c r="B76" s="17" t="inlineStr">
        <is>
          <t>36188MLH0</t>
        </is>
      </c>
      <c r="C76" s="17" t="inlineStr">
        <is>
          <t>PN</t>
        </is>
      </c>
      <c r="D76" s="17" t="inlineStr">
        <is>
          <t>BELLWETHER ENTERPRISE REAL ESTATE CAPITA</t>
        </is>
      </c>
      <c r="E76" s="17" t="inlineStr">
        <is>
          <t>36188MLH0_000000007311834</t>
        </is>
      </c>
      <c r="F76" s="17" t="n">
        <v>202603</v>
      </c>
      <c r="G76" s="18" t="n">
        <v>3.75</v>
      </c>
      <c r="H76" s="19" t="n">
        <v>1035238.26</v>
      </c>
      <c r="I76" s="17" t="n">
        <v>420</v>
      </c>
      <c r="J76" s="17" t="n">
        <v>20150827</v>
      </c>
      <c r="K76" s="17" t="n">
        <v>20500901</v>
      </c>
      <c r="L76" s="17" t="n"/>
      <c r="M76" s="17" t="n">
        <v>20250930</v>
      </c>
      <c r="N76" s="17" t="n">
        <v>10</v>
      </c>
      <c r="O76" s="17" t="inlineStr">
        <is>
          <t>223(F)</t>
        </is>
      </c>
      <c r="P76" s="17" t="inlineStr">
        <is>
          <t>MKT</t>
        </is>
      </c>
      <c r="Q76" s="17" t="n"/>
      <c r="R76" s="17" t="n"/>
      <c r="S76" s="17" t="n"/>
      <c r="T76" s="17" t="inlineStr">
        <is>
          <t>IN</t>
        </is>
      </c>
      <c r="U76" s="17" t="n">
        <v>30</v>
      </c>
      <c r="V76" s="17" t="n">
        <v>490.5</v>
      </c>
      <c r="W76" s="17" t="n">
        <v>127</v>
      </c>
      <c r="X76" s="17" t="n">
        <v>2015</v>
      </c>
      <c r="Y76" s="17" t="n">
        <v>20</v>
      </c>
      <c r="Z76" s="17" t="n">
        <v>0</v>
      </c>
      <c r="AA76" s="20">
        <f>IF(ISNUMBER(W76),W76,IFERROR(MAX(0,(VALUE(LEFT(F76,4))-VALUE(LEFT(TEXT(J76,"00000000"),4)))*12+(VALUE(MID(F76,5,2))-VALUE(MID(TEXT(J76,"00000000"),5,2)))),""))</f>
        <v/>
      </c>
      <c r="AB76" s="20">
        <f>IFERROR((VALUE(LEFT(TEXT(K76,"00000000"),4))-VALUE(LEFT(F76,4)))*12+(VALUE(MID(TEXT(K76,"00000000"),5,2))-VALUE(MID(F76,5,2))),"")</f>
        <v/>
      </c>
      <c r="AC76" s="20">
        <f>IF(OR(L76="",NOT(ISNUMBER(L76))),0,MAX(0,MIN(60,(VALUE(LEFT(F76,4))-VALUE(LEFT(TEXT(L76,"00000000"),4)))*12+(VALUE(MID(F76,5,2))-VALUE(MID(TEXT(L76,"00000000"),5,2))))))</f>
        <v/>
      </c>
      <c r="AD76" s="20">
        <f>IF(OR(L76="",NOT(ISNUMBER(L76))),0,IF(VALUE(F76)&lt;VALUE(LEFT(TEXT(L76,"00000000"),6)),1,0))</f>
        <v/>
      </c>
      <c r="AE76" s="20">
        <f>IF(OR(M76="",NOT(ISNUMBER(M76))),0,IF(VALUE(F76)&lt;VALUE(LEFT(TEXT(M76,"00000000"),6)),1,0))</f>
        <v/>
      </c>
      <c r="AF76" s="20">
        <f>IF(AND(AD76=0,AE76=0),1,0)</f>
        <v/>
      </c>
      <c r="AG76" s="20">
        <f>IF(ISNUMBER(X76),X76,IFERROR(VALUE(LEFT(TEXT(J76,"00000000"),4)),""))</f>
        <v/>
      </c>
      <c r="AH76" s="20">
        <f>IFERROR(XLOOKUP(AG76,Vintage_Rates!$A$2:$A$1000,Vintage_Rates!$B$2:$B$1000,""),"")</f>
        <v/>
      </c>
      <c r="AI76" s="20">
        <f>IF(ISNUMBER(Y76),Y76,IFERROR((G76-AH76)*100,""))</f>
        <v/>
      </c>
      <c r="AJ76" s="20">
        <f>IF(ISNUMBER(V76),V76,IFERROR(XLOOKUP(VALUE(F76),PLC_Rates!$A$2:$A$1000,PLC_Rates!$B$2:$B$1000,""),""))</f>
        <v/>
      </c>
      <c r="AK76" s="20">
        <f>IF(ISNUMBER(Z76),Z76,IF(AE76=0,0,MAX(0,MIN(10,((VALUE(LEFT(TEXT(M76,"00000000"),4))-VALUE(LEFT(F76,4)))*12+(VALUE(MID(TEXT(M76,"00000000"),5,2))-VALUE(MID(F76,5,2))))/12))))</f>
        <v/>
      </c>
      <c r="AL76" s="20">
        <f>IFERROR(G76*100-AJ76,"")</f>
        <v/>
      </c>
      <c r="AM76" s="20">
        <f>IFERROR(G76*100-(AJ76+(1+AK76)*12.5),"")</f>
        <v/>
      </c>
      <c r="AN76" s="21">
        <f>IFERROR(MIN(H76/1000000,100),"")</f>
        <v/>
      </c>
      <c r="AO76" s="20">
        <f>IFERROR(INDEX(FHA_Lookup!$B$2:$B$11,MATCH(TRUE,ISNUMBER(SEARCH(FHA_Lookup!$A$2:$A$11,UPPER(SUBSTITUTE(O76," ","")))),0)),"OTHER")</f>
        <v/>
      </c>
      <c r="AP76" s="20">
        <f>IFERROR(INDEX(FHA_Lookup!$C$2:$C$11,MATCH(TRUE,ISNUMBER(SEARCH(FHA_Lookup!$A$2:$A$11,UPPER(SUBSTITUTE(O76," ","")))),0)),"OTHER")</f>
        <v/>
      </c>
      <c r="AQ76" s="20">
        <f>IF(AP76="NC",1,0)</f>
        <v/>
      </c>
      <c r="AR76" s="20">
        <f>IF(UPPER(TRIM(P76))="AFF",1,0)</f>
        <v/>
      </c>
      <c r="AS76" s="20">
        <f>IF(UPPER(TRIM(P76))="BAF",1,0)</f>
        <v/>
      </c>
      <c r="AT76" s="20">
        <f>IF(UPPER(TRIM(P76))="MKT",1,0)</f>
        <v/>
      </c>
      <c r="AU76" s="20">
        <f>IF(AO76="221d4",1,0)</f>
        <v/>
      </c>
      <c r="AV76" s="20">
        <f>IF(AO76="223a7",1,0)</f>
        <v/>
      </c>
      <c r="AW76" s="20">
        <f>IF(AO76="232",1,0)</f>
        <v/>
      </c>
      <c r="AX76" s="20">
        <f>IF(AO76="538",1,0)</f>
        <v/>
      </c>
      <c r="AY76" s="20">
        <f>IF(AO76="241",1,0)</f>
        <v/>
      </c>
      <c r="AZ76" s="20">
        <f>IF(AO76="220",1,0)</f>
        <v/>
      </c>
      <c r="BA76" s="20">
        <f>IF(AO76="OTHER",1,0)</f>
        <v/>
      </c>
      <c r="BB76" s="20">
        <f>IF(UPPER(TRIM(C76))="LM",1,0)</f>
        <v/>
      </c>
      <c r="BC76" s="20">
        <f>IF(UPPER(TRIM(C76))="PN",1,0)</f>
        <v/>
      </c>
      <c r="BD76" s="20">
        <f>IF(UPPER(TRIM(C76))="LS",1,0)</f>
        <v/>
      </c>
      <c r="BE76" s="20">
        <f>IF(UPPER(TRIM(C76))="RX",1,0)</f>
        <v/>
      </c>
      <c r="BF76" s="22">
        <f>IFERROR((Parameters!$C$6*AM76+Parameters!$C$7*MAX(AM76-(-150),0)+Parameters!$C$8*MAX(AM76-(-50),0)+Parameters!$C$9*MAX(AM76-(0),0)+Parameters!$C$10*MAX(AM76-(50),0)+Parameters!$C$11*MAX(AM76-(100),0)+Parameters!$C$12*MAX(AM76-(150),0)+Parameters!$C$13*MAX(AM76-(250),0)),0)</f>
        <v/>
      </c>
      <c r="BG76" s="22">
        <f>IFERROR((Parameters!$C$14*AA76+Parameters!$C$15*MAX(AA76-(12),0)+Parameters!$C$16*MAX(AA76-(36),0)+Parameters!$C$17*MAX(AA76-(60),0)+Parameters!$C$18*MAX(AA76-(84),0)+Parameters!$C$19*MAX(AA76-(120),0)+Parameters!$C$20*MAX(AA76-(180),0)),0)</f>
        <v/>
      </c>
      <c r="BH76" s="22">
        <f>IFERROR((Parameters!$C$21*AK76+Parameters!$C$22*MAX(AK76-(0),0)+Parameters!$C$23*MAX(AK76-(2),0)+Parameters!$C$24*MAX(AK76-(5),0)+Parameters!$C$25*MAX(AK76-(8),0)),0)</f>
        <v/>
      </c>
      <c r="BI76" s="22">
        <f>IFERROR((Parameters!$C$26*AI76+Parameters!$C$27*MAX(AI76-(-100),0)+Parameters!$C$28*MAX(AI76-(-25),0)+Parameters!$C$29*MAX(AI76-(25),0)+Parameters!$C$30*MAX(AI76-(100),0)),0)</f>
        <v/>
      </c>
      <c r="BJ76" s="22">
        <f>IFERROR((Parameters!$C$31*AN76+Parameters!$C$32*MAX(AN76-(2),0)+Parameters!$C$33*MAX(AN76-(10),0)+Parameters!$C$34*MAX(AN76-(25),0)),0)</f>
        <v/>
      </c>
      <c r="BK76" s="22">
        <f>IFERROR((Parameters!$C$35*AB76+Parameters!$C$36*MAX(AB76-(12),0)+Parameters!$C$37*MAX(AB76-(24),0)+Parameters!$C$38*MAX(AB76-(60),0)),0)</f>
        <v/>
      </c>
      <c r="BL76" s="22">
        <f>IFERROR((Parameters!$C$39*AC76+Parameters!$C$40*MAX(AC76-(6),0)+Parameters!$C$41*MAX(AC76-(12),0)+Parameters!$C$42*MAX(AC76-(24),0)),0)</f>
        <v/>
      </c>
      <c r="BM76" s="22">
        <f>IFERROR(Parameters!$C$43*(MAX(AM76,0)*MIN(MAX(AK76,0),10))/100,0)</f>
        <v/>
      </c>
      <c r="BN76" s="22">
        <f>Parameters!$C$44*AE76</f>
        <v/>
      </c>
      <c r="BO76" s="22">
        <f>Parameters!$C$45*AU76 + Parameters!$C$46*AV76 + Parameters!$C$47*AW76 + Parameters!$C$48*AX76 + Parameters!$C$49*AY76 + Parameters!$C$50*AZ76 + Parameters!$C$51*BA76</f>
        <v/>
      </c>
      <c r="BP76" s="22">
        <f>Parameters!$C$52*AQ76</f>
        <v/>
      </c>
      <c r="BQ76" s="22">
        <f>Parameters!$C$53*AR76+Parameters!$C$54*AS76+Parameters!$C$55*AT76</f>
        <v/>
      </c>
      <c r="BR76" s="22">
        <f>Parameters!$C$56*BB76+Parameters!$C$57*BC76+Parameters!$C$58*BD76+Parameters!$C$59*BE76</f>
        <v/>
      </c>
      <c r="BS76" s="23">
        <f>Parameters!$B$2</f>
        <v/>
      </c>
      <c r="BT76" s="23">
        <f>BS76+BF76 + BG76 + BH76 + BI76 + BJ76 + BK76 + BL76 + BM76 + BN76 + BO76 + BP76 + BQ76 + BR76</f>
        <v/>
      </c>
      <c r="BU76" s="24">
        <f>IF(AD76=1,0,1/(1+EXP(-BT76))*Parameters!$B$3)</f>
        <v/>
      </c>
      <c r="BV76" s="25">
        <f>(1-(1-BU76)^12)*100</f>
        <v/>
      </c>
      <c r="BW76" s="25">
        <f>IF(AD76=1,0,(1-(1-1/(1+EXP(-Parameters!$B$2)))^12)*100)</f>
        <v/>
      </c>
      <c r="BX76" s="25">
        <f>IF(AD76=1,0,BV76-(1-(1-(1/(1+EXP(-(BT76-BF76)))*Parameters!$B$3))^12)*100)</f>
        <v/>
      </c>
      <c r="BY76" s="25">
        <f>IF(AD76=1,0,BV76-(1-(1-(1/(1+EXP(-(BT76-BG76)))*Parameters!$B$3))^12)*100)</f>
        <v/>
      </c>
      <c r="BZ76" s="25">
        <f>IF(AD76=1,0,BV76-(1-(1-(1/(1+EXP(-(BT76-BH76)))*Parameters!$B$3))^12)*100)</f>
        <v/>
      </c>
      <c r="CA76" s="25">
        <f>IF(AD76=1,0,BV76-(1-(1-(1/(1+EXP(-(BT76-BI76)))*Parameters!$B$3))^12)*100)</f>
        <v/>
      </c>
      <c r="CB76" s="25">
        <f>IF(AD76=1,0,BV76-(1-(1-(1/(1+EXP(-(BT76-BJ76)))*Parameters!$B$3))^12)*100)</f>
        <v/>
      </c>
      <c r="CC76" s="25">
        <f>IF(AD76=1,0,BV76-(1-(1-(1/(1+EXP(-(BT76-BK76)))*Parameters!$B$3))^12)*100)</f>
        <v/>
      </c>
      <c r="CD76" s="25">
        <f>IF(AD76=1,0,BV76-(1-(1-(1/(1+EXP(-(BT76-BL76)))*Parameters!$B$3))^12)*100)</f>
        <v/>
      </c>
      <c r="CE76" s="25">
        <f>IF(AD76=1,0,BV76-(1-(1-(1/(1+EXP(-(BT76-BM76)))*Parameters!$B$3))^12)*100)</f>
        <v/>
      </c>
      <c r="CF76" s="25">
        <f>IF(AD76=1,0,BV76-(1-(1-(1/(1+EXP(-(BT76-BN76)))*Parameters!$B$3))^12)*100)</f>
        <v/>
      </c>
      <c r="CG76" s="25">
        <f>IF(AD76=1,0,BV76-(1-(1-(1/(1+EXP(-(BT76-BO76)))*Parameters!$B$3))^12)*100)</f>
        <v/>
      </c>
      <c r="CH76" s="25">
        <f>IF(AD76=1,0,BV76-(1-(1-(1/(1+EXP(-(BT76-BP76)))*Parameters!$B$3))^12)*100)</f>
        <v/>
      </c>
      <c r="CI76" s="25">
        <f>IF(AD76=1,0,BV76-(1-(1-(1/(1+EXP(-(BT76-BQ76)))*Parameters!$B$3))^12)*100)</f>
        <v/>
      </c>
      <c r="CJ76" s="25">
        <f>IF(AD76=1,0,BV76-(1-(1-(1/(1+EXP(-(BT76-BR76)))*Parameters!$B$3))^12)*100)</f>
        <v/>
      </c>
    </row>
    <row r="77">
      <c r="A77" s="17" t="inlineStr">
        <is>
          <t>GNR_2014_SEASONED</t>
        </is>
      </c>
      <c r="B77" s="17" t="inlineStr">
        <is>
          <t>36180KYX3</t>
        </is>
      </c>
      <c r="C77" s="17" t="inlineStr">
        <is>
          <t>PN</t>
        </is>
      </c>
      <c r="D77" s="17" t="inlineStr">
        <is>
          <t>LUMENT REAL ESTATE CAPITAL,LLC</t>
        </is>
      </c>
      <c r="E77" s="17" t="inlineStr">
        <is>
          <t>36180KYX3_000000005111263</t>
        </is>
      </c>
      <c r="F77" s="17" t="n">
        <v>202603</v>
      </c>
      <c r="G77" s="18" t="n">
        <v>3.07</v>
      </c>
      <c r="H77" s="19" t="n">
        <v>1401502.48</v>
      </c>
      <c r="I77" s="17" t="n">
        <v>240</v>
      </c>
      <c r="J77" s="17" t="n">
        <v>20130529</v>
      </c>
      <c r="K77" s="17" t="n">
        <v>20330601</v>
      </c>
      <c r="L77" s="17" t="n"/>
      <c r="M77" s="17" t="n">
        <v>20230630</v>
      </c>
      <c r="N77" s="17" t="n">
        <v>10</v>
      </c>
      <c r="O77" s="17" t="inlineStr">
        <is>
          <t>207/223(F)</t>
        </is>
      </c>
      <c r="P77" s="17" t="inlineStr">
        <is>
          <t>MKT</t>
        </is>
      </c>
      <c r="Q77" s="17" t="n"/>
      <c r="R77" s="17" t="n"/>
      <c r="S77" s="17" t="n"/>
      <c r="T77" s="17" t="inlineStr">
        <is>
          <t>VA</t>
        </is>
      </c>
      <c r="U77" s="17" t="n">
        <v>60</v>
      </c>
      <c r="V77" s="17" t="n">
        <v>490.5</v>
      </c>
      <c r="W77" s="17" t="n">
        <v>154</v>
      </c>
      <c r="X77" s="17" t="n">
        <v>2013</v>
      </c>
      <c r="Y77" s="17" t="n">
        <v>-31</v>
      </c>
      <c r="Z77" s="17" t="n">
        <v>0</v>
      </c>
      <c r="AA77" s="20">
        <f>IF(ISNUMBER(W77),W77,IFERROR(MAX(0,(VALUE(LEFT(F77,4))-VALUE(LEFT(TEXT(J77,"00000000"),4)))*12+(VALUE(MID(F77,5,2))-VALUE(MID(TEXT(J77,"00000000"),5,2)))),""))</f>
        <v/>
      </c>
      <c r="AB77" s="20">
        <f>IFERROR((VALUE(LEFT(TEXT(K77,"00000000"),4))-VALUE(LEFT(F77,4)))*12+(VALUE(MID(TEXT(K77,"00000000"),5,2))-VALUE(MID(F77,5,2))),"")</f>
        <v/>
      </c>
      <c r="AC77" s="20">
        <f>IF(OR(L77="",NOT(ISNUMBER(L77))),0,MAX(0,MIN(60,(VALUE(LEFT(F77,4))-VALUE(LEFT(TEXT(L77,"00000000"),4)))*12+(VALUE(MID(F77,5,2))-VALUE(MID(TEXT(L77,"00000000"),5,2))))))</f>
        <v/>
      </c>
      <c r="AD77" s="20">
        <f>IF(OR(L77="",NOT(ISNUMBER(L77))),0,IF(VALUE(F77)&lt;VALUE(LEFT(TEXT(L77,"00000000"),6)),1,0))</f>
        <v/>
      </c>
      <c r="AE77" s="20">
        <f>IF(OR(M77="",NOT(ISNUMBER(M77))),0,IF(VALUE(F77)&lt;VALUE(LEFT(TEXT(M77,"00000000"),6)),1,0))</f>
        <v/>
      </c>
      <c r="AF77" s="20">
        <f>IF(AND(AD77=0,AE77=0),1,0)</f>
        <v/>
      </c>
      <c r="AG77" s="20">
        <f>IF(ISNUMBER(X77),X77,IFERROR(VALUE(LEFT(TEXT(J77,"00000000"),4)),""))</f>
        <v/>
      </c>
      <c r="AH77" s="20">
        <f>IFERROR(XLOOKUP(AG77,Vintage_Rates!$A$2:$A$1000,Vintage_Rates!$B$2:$B$1000,""),"")</f>
        <v/>
      </c>
      <c r="AI77" s="20">
        <f>IF(ISNUMBER(Y77),Y77,IFERROR((G77-AH77)*100,""))</f>
        <v/>
      </c>
      <c r="AJ77" s="20">
        <f>IF(ISNUMBER(V77),V77,IFERROR(XLOOKUP(VALUE(F77),PLC_Rates!$A$2:$A$1000,PLC_Rates!$B$2:$B$1000,""),""))</f>
        <v/>
      </c>
      <c r="AK77" s="20">
        <f>IF(ISNUMBER(Z77),Z77,IF(AE77=0,0,MAX(0,MIN(10,((VALUE(LEFT(TEXT(M77,"00000000"),4))-VALUE(LEFT(F77,4)))*12+(VALUE(MID(TEXT(M77,"00000000"),5,2))-VALUE(MID(F77,5,2))))/12))))</f>
        <v/>
      </c>
      <c r="AL77" s="20">
        <f>IFERROR(G77*100-AJ77,"")</f>
        <v/>
      </c>
      <c r="AM77" s="20">
        <f>IFERROR(G77*100-(AJ77+(1+AK77)*12.5),"")</f>
        <v/>
      </c>
      <c r="AN77" s="21">
        <f>IFERROR(MIN(H77/1000000,100),"")</f>
        <v/>
      </c>
      <c r="AO77" s="20">
        <f>IFERROR(INDEX(FHA_Lookup!$B$2:$B$11,MATCH(TRUE,ISNUMBER(SEARCH(FHA_Lookup!$A$2:$A$11,UPPER(SUBSTITUTE(O77," ","")))),0)),"OTHER")</f>
        <v/>
      </c>
      <c r="AP77" s="20">
        <f>IFERROR(INDEX(FHA_Lookup!$C$2:$C$11,MATCH(TRUE,ISNUMBER(SEARCH(FHA_Lookup!$A$2:$A$11,UPPER(SUBSTITUTE(O77," ","")))),0)),"OTHER")</f>
        <v/>
      </c>
      <c r="AQ77" s="20">
        <f>IF(AP77="NC",1,0)</f>
        <v/>
      </c>
      <c r="AR77" s="20">
        <f>IF(UPPER(TRIM(P77))="AFF",1,0)</f>
        <v/>
      </c>
      <c r="AS77" s="20">
        <f>IF(UPPER(TRIM(P77))="BAF",1,0)</f>
        <v/>
      </c>
      <c r="AT77" s="20">
        <f>IF(UPPER(TRIM(P77))="MKT",1,0)</f>
        <v/>
      </c>
      <c r="AU77" s="20">
        <f>IF(AO77="221d4",1,0)</f>
        <v/>
      </c>
      <c r="AV77" s="20">
        <f>IF(AO77="223a7",1,0)</f>
        <v/>
      </c>
      <c r="AW77" s="20">
        <f>IF(AO77="232",1,0)</f>
        <v/>
      </c>
      <c r="AX77" s="20">
        <f>IF(AO77="538",1,0)</f>
        <v/>
      </c>
      <c r="AY77" s="20">
        <f>IF(AO77="241",1,0)</f>
        <v/>
      </c>
      <c r="AZ77" s="20">
        <f>IF(AO77="220",1,0)</f>
        <v/>
      </c>
      <c r="BA77" s="20">
        <f>IF(AO77="OTHER",1,0)</f>
        <v/>
      </c>
      <c r="BB77" s="20">
        <f>IF(UPPER(TRIM(C77))="LM",1,0)</f>
        <v/>
      </c>
      <c r="BC77" s="20">
        <f>IF(UPPER(TRIM(C77))="PN",1,0)</f>
        <v/>
      </c>
      <c r="BD77" s="20">
        <f>IF(UPPER(TRIM(C77))="LS",1,0)</f>
        <v/>
      </c>
      <c r="BE77" s="20">
        <f>IF(UPPER(TRIM(C77))="RX",1,0)</f>
        <v/>
      </c>
      <c r="BF77" s="22">
        <f>IFERROR((Parameters!$C$6*AM77+Parameters!$C$7*MAX(AM77-(-150),0)+Parameters!$C$8*MAX(AM77-(-50),0)+Parameters!$C$9*MAX(AM77-(0),0)+Parameters!$C$10*MAX(AM77-(50),0)+Parameters!$C$11*MAX(AM77-(100),0)+Parameters!$C$12*MAX(AM77-(150),0)+Parameters!$C$13*MAX(AM77-(250),0)),0)</f>
        <v/>
      </c>
      <c r="BG77" s="22">
        <f>IFERROR((Parameters!$C$14*AA77+Parameters!$C$15*MAX(AA77-(12),0)+Parameters!$C$16*MAX(AA77-(36),0)+Parameters!$C$17*MAX(AA77-(60),0)+Parameters!$C$18*MAX(AA77-(84),0)+Parameters!$C$19*MAX(AA77-(120),0)+Parameters!$C$20*MAX(AA77-(180),0)),0)</f>
        <v/>
      </c>
      <c r="BH77" s="22">
        <f>IFERROR((Parameters!$C$21*AK77+Parameters!$C$22*MAX(AK77-(0),0)+Parameters!$C$23*MAX(AK77-(2),0)+Parameters!$C$24*MAX(AK77-(5),0)+Parameters!$C$25*MAX(AK77-(8),0)),0)</f>
        <v/>
      </c>
      <c r="BI77" s="22">
        <f>IFERROR((Parameters!$C$26*AI77+Parameters!$C$27*MAX(AI77-(-100),0)+Parameters!$C$28*MAX(AI77-(-25),0)+Parameters!$C$29*MAX(AI77-(25),0)+Parameters!$C$30*MAX(AI77-(100),0)),0)</f>
        <v/>
      </c>
      <c r="BJ77" s="22">
        <f>IFERROR((Parameters!$C$31*AN77+Parameters!$C$32*MAX(AN77-(2),0)+Parameters!$C$33*MAX(AN77-(10),0)+Parameters!$C$34*MAX(AN77-(25),0)),0)</f>
        <v/>
      </c>
      <c r="BK77" s="22">
        <f>IFERROR((Parameters!$C$35*AB77+Parameters!$C$36*MAX(AB77-(12),0)+Parameters!$C$37*MAX(AB77-(24),0)+Parameters!$C$38*MAX(AB77-(60),0)),0)</f>
        <v/>
      </c>
      <c r="BL77" s="22">
        <f>IFERROR((Parameters!$C$39*AC77+Parameters!$C$40*MAX(AC77-(6),0)+Parameters!$C$41*MAX(AC77-(12),0)+Parameters!$C$42*MAX(AC77-(24),0)),0)</f>
        <v/>
      </c>
      <c r="BM77" s="22">
        <f>IFERROR(Parameters!$C$43*(MAX(AM77,0)*MIN(MAX(AK77,0),10))/100,0)</f>
        <v/>
      </c>
      <c r="BN77" s="22">
        <f>Parameters!$C$44*AE77</f>
        <v/>
      </c>
      <c r="BO77" s="22">
        <f>Parameters!$C$45*AU77 + Parameters!$C$46*AV77 + Parameters!$C$47*AW77 + Parameters!$C$48*AX77 + Parameters!$C$49*AY77 + Parameters!$C$50*AZ77 + Parameters!$C$51*BA77</f>
        <v/>
      </c>
      <c r="BP77" s="22">
        <f>Parameters!$C$52*AQ77</f>
        <v/>
      </c>
      <c r="BQ77" s="22">
        <f>Parameters!$C$53*AR77+Parameters!$C$54*AS77+Parameters!$C$55*AT77</f>
        <v/>
      </c>
      <c r="BR77" s="22">
        <f>Parameters!$C$56*BB77+Parameters!$C$57*BC77+Parameters!$C$58*BD77+Parameters!$C$59*BE77</f>
        <v/>
      </c>
      <c r="BS77" s="23">
        <f>Parameters!$B$2</f>
        <v/>
      </c>
      <c r="BT77" s="23">
        <f>BS77+BF77 + BG77 + BH77 + BI77 + BJ77 + BK77 + BL77 + BM77 + BN77 + BO77 + BP77 + BQ77 + BR77</f>
        <v/>
      </c>
      <c r="BU77" s="24">
        <f>IF(AD77=1,0,1/(1+EXP(-BT77))*Parameters!$B$3)</f>
        <v/>
      </c>
      <c r="BV77" s="25">
        <f>(1-(1-BU77)^12)*100</f>
        <v/>
      </c>
      <c r="BW77" s="25">
        <f>IF(AD77=1,0,(1-(1-1/(1+EXP(-Parameters!$B$2)))^12)*100)</f>
        <v/>
      </c>
      <c r="BX77" s="25">
        <f>IF(AD77=1,0,BV77-(1-(1-(1/(1+EXP(-(BT77-BF77)))*Parameters!$B$3))^12)*100)</f>
        <v/>
      </c>
      <c r="BY77" s="25">
        <f>IF(AD77=1,0,BV77-(1-(1-(1/(1+EXP(-(BT77-BG77)))*Parameters!$B$3))^12)*100)</f>
        <v/>
      </c>
      <c r="BZ77" s="25">
        <f>IF(AD77=1,0,BV77-(1-(1-(1/(1+EXP(-(BT77-BH77)))*Parameters!$B$3))^12)*100)</f>
        <v/>
      </c>
      <c r="CA77" s="25">
        <f>IF(AD77=1,0,BV77-(1-(1-(1/(1+EXP(-(BT77-BI77)))*Parameters!$B$3))^12)*100)</f>
        <v/>
      </c>
      <c r="CB77" s="25">
        <f>IF(AD77=1,0,BV77-(1-(1-(1/(1+EXP(-(BT77-BJ77)))*Parameters!$B$3))^12)*100)</f>
        <v/>
      </c>
      <c r="CC77" s="25">
        <f>IF(AD77=1,0,BV77-(1-(1-(1/(1+EXP(-(BT77-BK77)))*Parameters!$B$3))^12)*100)</f>
        <v/>
      </c>
      <c r="CD77" s="25">
        <f>IF(AD77=1,0,BV77-(1-(1-(1/(1+EXP(-(BT77-BL77)))*Parameters!$B$3))^12)*100)</f>
        <v/>
      </c>
      <c r="CE77" s="25">
        <f>IF(AD77=1,0,BV77-(1-(1-(1/(1+EXP(-(BT77-BM77)))*Parameters!$B$3))^12)*100)</f>
        <v/>
      </c>
      <c r="CF77" s="25">
        <f>IF(AD77=1,0,BV77-(1-(1-(1/(1+EXP(-(BT77-BN77)))*Parameters!$B$3))^12)*100)</f>
        <v/>
      </c>
      <c r="CG77" s="25">
        <f>IF(AD77=1,0,BV77-(1-(1-(1/(1+EXP(-(BT77-BO77)))*Parameters!$B$3))^12)*100)</f>
        <v/>
      </c>
      <c r="CH77" s="25">
        <f>IF(AD77=1,0,BV77-(1-(1-(1/(1+EXP(-(BT77-BP77)))*Parameters!$B$3))^12)*100)</f>
        <v/>
      </c>
      <c r="CI77" s="25">
        <f>IF(AD77=1,0,BV77-(1-(1-(1/(1+EXP(-(BT77-BQ77)))*Parameters!$B$3))^12)*100)</f>
        <v/>
      </c>
      <c r="CJ77" s="25">
        <f>IF(AD77=1,0,BV77-(1-(1-(1/(1+EXP(-(BT77-BR77)))*Parameters!$B$3))^12)*100)</f>
        <v/>
      </c>
    </row>
    <row r="78">
      <c r="A78" s="17" t="inlineStr">
        <is>
          <t>GNR_2014_SEASONED</t>
        </is>
      </c>
      <c r="B78" s="17" t="inlineStr">
        <is>
          <t>3617NECA8</t>
        </is>
      </c>
      <c r="C78" s="17" t="inlineStr">
        <is>
          <t>LM</t>
        </is>
      </c>
      <c r="D78" s="17" t="inlineStr">
        <is>
          <t>BERKADIA COMMERCIAL MORTGAGE, LLC</t>
        </is>
      </c>
      <c r="E78" s="17" t="inlineStr">
        <is>
          <t>3617NECA8_000000012935122</t>
        </is>
      </c>
      <c r="F78" s="17" t="n">
        <v>202603</v>
      </c>
      <c r="G78" s="18" t="n">
        <v>3.35</v>
      </c>
      <c r="H78" s="19" t="n">
        <v>8653453.539999999</v>
      </c>
      <c r="I78" s="17" t="n">
        <v>452</v>
      </c>
      <c r="J78" s="17" t="n">
        <v>20150402</v>
      </c>
      <c r="K78" s="17" t="n">
        <v>20560801</v>
      </c>
      <c r="L78" s="17" t="n"/>
      <c r="M78" s="17" t="n">
        <v>20300901</v>
      </c>
      <c r="N78" s="17" t="n">
        <v>10</v>
      </c>
      <c r="O78" s="17" t="inlineStr">
        <is>
          <t>221(D)(4)</t>
        </is>
      </c>
      <c r="P78" s="17" t="inlineStr">
        <is>
          <t>MKT</t>
        </is>
      </c>
      <c r="Q78" s="17" t="inlineStr">
        <is>
          <t>M</t>
        </is>
      </c>
      <c r="R78" s="17" t="n"/>
      <c r="S78" s="17" t="n">
        <v>1</v>
      </c>
      <c r="T78" s="17" t="inlineStr">
        <is>
          <t>CA</t>
        </is>
      </c>
      <c r="U78" s="17" t="n">
        <v>168</v>
      </c>
      <c r="V78" s="17" t="n">
        <v>490.5</v>
      </c>
      <c r="W78" s="17" t="n">
        <v>131</v>
      </c>
      <c r="X78" s="17" t="n">
        <v>2015</v>
      </c>
      <c r="Y78" s="17" t="n">
        <v>-20</v>
      </c>
      <c r="Z78" s="17" t="n">
        <v>6</v>
      </c>
      <c r="AA78" s="20">
        <f>IF(ISNUMBER(W78),W78,IFERROR(MAX(0,(VALUE(LEFT(F78,4))-VALUE(LEFT(TEXT(J78,"00000000"),4)))*12+(VALUE(MID(F78,5,2))-VALUE(MID(TEXT(J78,"00000000"),5,2)))),""))</f>
        <v/>
      </c>
      <c r="AB78" s="20">
        <f>IFERROR((VALUE(LEFT(TEXT(K78,"00000000"),4))-VALUE(LEFT(F78,4)))*12+(VALUE(MID(TEXT(K78,"00000000"),5,2))-VALUE(MID(F78,5,2))),"")</f>
        <v/>
      </c>
      <c r="AC78" s="20">
        <f>IF(OR(L78="",NOT(ISNUMBER(L78))),0,MAX(0,MIN(60,(VALUE(LEFT(F78,4))-VALUE(LEFT(TEXT(L78,"00000000"),4)))*12+(VALUE(MID(F78,5,2))-VALUE(MID(TEXT(L78,"00000000"),5,2))))))</f>
        <v/>
      </c>
      <c r="AD78" s="20">
        <f>IF(OR(L78="",NOT(ISNUMBER(L78))),0,IF(VALUE(F78)&lt;VALUE(LEFT(TEXT(L78,"00000000"),6)),1,0))</f>
        <v/>
      </c>
      <c r="AE78" s="20">
        <f>IF(OR(M78="",NOT(ISNUMBER(M78))),0,IF(VALUE(F78)&lt;VALUE(LEFT(TEXT(M78,"00000000"),6)),1,0))</f>
        <v/>
      </c>
      <c r="AF78" s="20">
        <f>IF(AND(AD78=0,AE78=0),1,0)</f>
        <v/>
      </c>
      <c r="AG78" s="20">
        <f>IF(ISNUMBER(X78),X78,IFERROR(VALUE(LEFT(TEXT(J78,"00000000"),4)),""))</f>
        <v/>
      </c>
      <c r="AH78" s="20">
        <f>IFERROR(XLOOKUP(AG78,Vintage_Rates!$A$2:$A$1000,Vintage_Rates!$B$2:$B$1000,""),"")</f>
        <v/>
      </c>
      <c r="AI78" s="20">
        <f>IF(ISNUMBER(Y78),Y78,IFERROR((G78-AH78)*100,""))</f>
        <v/>
      </c>
      <c r="AJ78" s="20">
        <f>IF(ISNUMBER(V78),V78,IFERROR(XLOOKUP(VALUE(F78),PLC_Rates!$A$2:$A$1000,PLC_Rates!$B$2:$B$1000,""),""))</f>
        <v/>
      </c>
      <c r="AK78" s="20">
        <f>IF(ISNUMBER(Z78),Z78,IF(AE78=0,0,MAX(0,MIN(10,((VALUE(LEFT(TEXT(M78,"00000000"),4))-VALUE(LEFT(F78,4)))*12+(VALUE(MID(TEXT(M78,"00000000"),5,2))-VALUE(MID(F78,5,2))))/12))))</f>
        <v/>
      </c>
      <c r="AL78" s="20">
        <f>IFERROR(G78*100-AJ78,"")</f>
        <v/>
      </c>
      <c r="AM78" s="20">
        <f>IFERROR(G78*100-(AJ78+(1+AK78)*12.5),"")</f>
        <v/>
      </c>
      <c r="AN78" s="21">
        <f>IFERROR(MIN(H78/1000000,100),"")</f>
        <v/>
      </c>
      <c r="AO78" s="20">
        <f>IFERROR(INDEX(FHA_Lookup!$B$2:$B$11,MATCH(TRUE,ISNUMBER(SEARCH(FHA_Lookup!$A$2:$A$11,UPPER(SUBSTITUTE(O78," ","")))),0)),"OTHER")</f>
        <v/>
      </c>
      <c r="AP78" s="20">
        <f>IFERROR(INDEX(FHA_Lookup!$C$2:$C$11,MATCH(TRUE,ISNUMBER(SEARCH(FHA_Lookup!$A$2:$A$11,UPPER(SUBSTITUTE(O78," ","")))),0)),"OTHER")</f>
        <v/>
      </c>
      <c r="AQ78" s="20">
        <f>IF(AP78="NC",1,0)</f>
        <v/>
      </c>
      <c r="AR78" s="20">
        <f>IF(UPPER(TRIM(P78))="AFF",1,0)</f>
        <v/>
      </c>
      <c r="AS78" s="20">
        <f>IF(UPPER(TRIM(P78))="BAF",1,0)</f>
        <v/>
      </c>
      <c r="AT78" s="20">
        <f>IF(UPPER(TRIM(P78))="MKT",1,0)</f>
        <v/>
      </c>
      <c r="AU78" s="20">
        <f>IF(AO78="221d4",1,0)</f>
        <v/>
      </c>
      <c r="AV78" s="20">
        <f>IF(AO78="223a7",1,0)</f>
        <v/>
      </c>
      <c r="AW78" s="20">
        <f>IF(AO78="232",1,0)</f>
        <v/>
      </c>
      <c r="AX78" s="20">
        <f>IF(AO78="538",1,0)</f>
        <v/>
      </c>
      <c r="AY78" s="20">
        <f>IF(AO78="241",1,0)</f>
        <v/>
      </c>
      <c r="AZ78" s="20">
        <f>IF(AO78="220",1,0)</f>
        <v/>
      </c>
      <c r="BA78" s="20">
        <f>IF(AO78="OTHER",1,0)</f>
        <v/>
      </c>
      <c r="BB78" s="20">
        <f>IF(UPPER(TRIM(C78))="LM",1,0)</f>
        <v/>
      </c>
      <c r="BC78" s="20">
        <f>IF(UPPER(TRIM(C78))="PN",1,0)</f>
        <v/>
      </c>
      <c r="BD78" s="20">
        <f>IF(UPPER(TRIM(C78))="LS",1,0)</f>
        <v/>
      </c>
      <c r="BE78" s="20">
        <f>IF(UPPER(TRIM(C78))="RX",1,0)</f>
        <v/>
      </c>
      <c r="BF78" s="22">
        <f>IFERROR((Parameters!$C$6*AM78+Parameters!$C$7*MAX(AM78-(-150),0)+Parameters!$C$8*MAX(AM78-(-50),0)+Parameters!$C$9*MAX(AM78-(0),0)+Parameters!$C$10*MAX(AM78-(50),0)+Parameters!$C$11*MAX(AM78-(100),0)+Parameters!$C$12*MAX(AM78-(150),0)+Parameters!$C$13*MAX(AM78-(250),0)),0)</f>
        <v/>
      </c>
      <c r="BG78" s="22">
        <f>IFERROR((Parameters!$C$14*AA78+Parameters!$C$15*MAX(AA78-(12),0)+Parameters!$C$16*MAX(AA78-(36),0)+Parameters!$C$17*MAX(AA78-(60),0)+Parameters!$C$18*MAX(AA78-(84),0)+Parameters!$C$19*MAX(AA78-(120),0)+Parameters!$C$20*MAX(AA78-(180),0)),0)</f>
        <v/>
      </c>
      <c r="BH78" s="22">
        <f>IFERROR((Parameters!$C$21*AK78+Parameters!$C$22*MAX(AK78-(0),0)+Parameters!$C$23*MAX(AK78-(2),0)+Parameters!$C$24*MAX(AK78-(5),0)+Parameters!$C$25*MAX(AK78-(8),0)),0)</f>
        <v/>
      </c>
      <c r="BI78" s="22">
        <f>IFERROR((Parameters!$C$26*AI78+Parameters!$C$27*MAX(AI78-(-100),0)+Parameters!$C$28*MAX(AI78-(-25),0)+Parameters!$C$29*MAX(AI78-(25),0)+Parameters!$C$30*MAX(AI78-(100),0)),0)</f>
        <v/>
      </c>
      <c r="BJ78" s="22">
        <f>IFERROR((Parameters!$C$31*AN78+Parameters!$C$32*MAX(AN78-(2),0)+Parameters!$C$33*MAX(AN78-(10),0)+Parameters!$C$34*MAX(AN78-(25),0)),0)</f>
        <v/>
      </c>
      <c r="BK78" s="22">
        <f>IFERROR((Parameters!$C$35*AB78+Parameters!$C$36*MAX(AB78-(12),0)+Parameters!$C$37*MAX(AB78-(24),0)+Parameters!$C$38*MAX(AB78-(60),0)),0)</f>
        <v/>
      </c>
      <c r="BL78" s="22">
        <f>IFERROR((Parameters!$C$39*AC78+Parameters!$C$40*MAX(AC78-(6),0)+Parameters!$C$41*MAX(AC78-(12),0)+Parameters!$C$42*MAX(AC78-(24),0)),0)</f>
        <v/>
      </c>
      <c r="BM78" s="22">
        <f>IFERROR(Parameters!$C$43*(MAX(AM78,0)*MIN(MAX(AK78,0),10))/100,0)</f>
        <v/>
      </c>
      <c r="BN78" s="22">
        <f>Parameters!$C$44*AE78</f>
        <v/>
      </c>
      <c r="BO78" s="22">
        <f>Parameters!$C$45*AU78 + Parameters!$C$46*AV78 + Parameters!$C$47*AW78 + Parameters!$C$48*AX78 + Parameters!$C$49*AY78 + Parameters!$C$50*AZ78 + Parameters!$C$51*BA78</f>
        <v/>
      </c>
      <c r="BP78" s="22">
        <f>Parameters!$C$52*AQ78</f>
        <v/>
      </c>
      <c r="BQ78" s="22">
        <f>Parameters!$C$53*AR78+Parameters!$C$54*AS78+Parameters!$C$55*AT78</f>
        <v/>
      </c>
      <c r="BR78" s="22">
        <f>Parameters!$C$56*BB78+Parameters!$C$57*BC78+Parameters!$C$58*BD78+Parameters!$C$59*BE78</f>
        <v/>
      </c>
      <c r="BS78" s="23">
        <f>Parameters!$B$2</f>
        <v/>
      </c>
      <c r="BT78" s="23">
        <f>BS78+BF78 + BG78 + BH78 + BI78 + BJ78 + BK78 + BL78 + BM78 + BN78 + BO78 + BP78 + BQ78 + BR78</f>
        <v/>
      </c>
      <c r="BU78" s="24">
        <f>IF(AD78=1,0,1/(1+EXP(-BT78))*Parameters!$B$3)</f>
        <v/>
      </c>
      <c r="BV78" s="25">
        <f>(1-(1-BU78)^12)*100</f>
        <v/>
      </c>
      <c r="BW78" s="25">
        <f>IF(AD78=1,0,(1-(1-1/(1+EXP(-Parameters!$B$2)))^12)*100)</f>
        <v/>
      </c>
      <c r="BX78" s="25">
        <f>IF(AD78=1,0,BV78-(1-(1-(1/(1+EXP(-(BT78-BF78)))*Parameters!$B$3))^12)*100)</f>
        <v/>
      </c>
      <c r="BY78" s="25">
        <f>IF(AD78=1,0,BV78-(1-(1-(1/(1+EXP(-(BT78-BG78)))*Parameters!$B$3))^12)*100)</f>
        <v/>
      </c>
      <c r="BZ78" s="25">
        <f>IF(AD78=1,0,BV78-(1-(1-(1/(1+EXP(-(BT78-BH78)))*Parameters!$B$3))^12)*100)</f>
        <v/>
      </c>
      <c r="CA78" s="25">
        <f>IF(AD78=1,0,BV78-(1-(1-(1/(1+EXP(-(BT78-BI78)))*Parameters!$B$3))^12)*100)</f>
        <v/>
      </c>
      <c r="CB78" s="25">
        <f>IF(AD78=1,0,BV78-(1-(1-(1/(1+EXP(-(BT78-BJ78)))*Parameters!$B$3))^12)*100)</f>
        <v/>
      </c>
      <c r="CC78" s="25">
        <f>IF(AD78=1,0,BV78-(1-(1-(1/(1+EXP(-(BT78-BK78)))*Parameters!$B$3))^12)*100)</f>
        <v/>
      </c>
      <c r="CD78" s="25">
        <f>IF(AD78=1,0,BV78-(1-(1-(1/(1+EXP(-(BT78-BL78)))*Parameters!$B$3))^12)*100)</f>
        <v/>
      </c>
      <c r="CE78" s="25">
        <f>IF(AD78=1,0,BV78-(1-(1-(1/(1+EXP(-(BT78-BM78)))*Parameters!$B$3))^12)*100)</f>
        <v/>
      </c>
      <c r="CF78" s="25">
        <f>IF(AD78=1,0,BV78-(1-(1-(1/(1+EXP(-(BT78-BN78)))*Parameters!$B$3))^12)*100)</f>
        <v/>
      </c>
      <c r="CG78" s="25">
        <f>IF(AD78=1,0,BV78-(1-(1-(1/(1+EXP(-(BT78-BO78)))*Parameters!$B$3))^12)*100)</f>
        <v/>
      </c>
      <c r="CH78" s="25">
        <f>IF(AD78=1,0,BV78-(1-(1-(1/(1+EXP(-(BT78-BP78)))*Parameters!$B$3))^12)*100)</f>
        <v/>
      </c>
      <c r="CI78" s="25">
        <f>IF(AD78=1,0,BV78-(1-(1-(1/(1+EXP(-(BT78-BQ78)))*Parameters!$B$3))^12)*100)</f>
        <v/>
      </c>
      <c r="CJ78" s="25">
        <f>IF(AD78=1,0,BV78-(1-(1-(1/(1+EXP(-(BT78-BR78)))*Parameters!$B$3))^12)*100)</f>
        <v/>
      </c>
    </row>
    <row r="79">
      <c r="A79" s="17" t="inlineStr">
        <is>
          <t>GNR_2014_SEASONED</t>
        </is>
      </c>
      <c r="B79" s="17" t="inlineStr">
        <is>
          <t>36180GUC2</t>
        </is>
      </c>
      <c r="C79" s="17" t="inlineStr">
        <is>
          <t>PN</t>
        </is>
      </c>
      <c r="D79" s="17" t="inlineStr">
        <is>
          <t>WALKER &amp; DUNLOP, LLC</t>
        </is>
      </c>
      <c r="E79" s="17" t="inlineStr">
        <is>
          <t>36180GUC2_000000012911085</t>
        </is>
      </c>
      <c r="F79" s="17" t="n">
        <v>202603</v>
      </c>
      <c r="G79" s="18" t="n">
        <v>3.94</v>
      </c>
      <c r="H79" s="19" t="n">
        <v>4809813.09</v>
      </c>
      <c r="I79" s="17" t="n">
        <v>420</v>
      </c>
      <c r="J79" s="17" t="n">
        <v>20140225</v>
      </c>
      <c r="K79" s="17" t="n">
        <v>20490601</v>
      </c>
      <c r="L79" s="17" t="n"/>
      <c r="M79" s="17" t="n">
        <v>20240701</v>
      </c>
      <c r="N79" s="17" t="n">
        <v>10</v>
      </c>
      <c r="O79" s="17" t="inlineStr">
        <is>
          <t>207/223(F)</t>
        </is>
      </c>
      <c r="P79" s="17" t="inlineStr">
        <is>
          <t>MKT</t>
        </is>
      </c>
      <c r="Q79" s="17" t="n"/>
      <c r="R79" s="17" t="n"/>
      <c r="S79" s="17" t="n"/>
      <c r="T79" s="17" t="inlineStr">
        <is>
          <t>CA</t>
        </is>
      </c>
      <c r="U79" s="17" t="n">
        <v>89</v>
      </c>
      <c r="V79" s="17" t="n">
        <v>490.5</v>
      </c>
      <c r="W79" s="17" t="n">
        <v>145</v>
      </c>
      <c r="X79" s="17" t="n">
        <v>2014</v>
      </c>
      <c r="Y79" s="17" t="n">
        <v>9</v>
      </c>
      <c r="Z79" s="17" t="n">
        <v>0</v>
      </c>
      <c r="AA79" s="20">
        <f>IF(ISNUMBER(W79),W79,IFERROR(MAX(0,(VALUE(LEFT(F79,4))-VALUE(LEFT(TEXT(J79,"00000000"),4)))*12+(VALUE(MID(F79,5,2))-VALUE(MID(TEXT(J79,"00000000"),5,2)))),""))</f>
        <v/>
      </c>
      <c r="AB79" s="20">
        <f>IFERROR((VALUE(LEFT(TEXT(K79,"00000000"),4))-VALUE(LEFT(F79,4)))*12+(VALUE(MID(TEXT(K79,"00000000"),5,2))-VALUE(MID(F79,5,2))),"")</f>
        <v/>
      </c>
      <c r="AC79" s="20">
        <f>IF(OR(L79="",NOT(ISNUMBER(L79))),0,MAX(0,MIN(60,(VALUE(LEFT(F79,4))-VALUE(LEFT(TEXT(L79,"00000000"),4)))*12+(VALUE(MID(F79,5,2))-VALUE(MID(TEXT(L79,"00000000"),5,2))))))</f>
        <v/>
      </c>
      <c r="AD79" s="20">
        <f>IF(OR(L79="",NOT(ISNUMBER(L79))),0,IF(VALUE(F79)&lt;VALUE(LEFT(TEXT(L79,"00000000"),6)),1,0))</f>
        <v/>
      </c>
      <c r="AE79" s="20">
        <f>IF(OR(M79="",NOT(ISNUMBER(M79))),0,IF(VALUE(F79)&lt;VALUE(LEFT(TEXT(M79,"00000000"),6)),1,0))</f>
        <v/>
      </c>
      <c r="AF79" s="20">
        <f>IF(AND(AD79=0,AE79=0),1,0)</f>
        <v/>
      </c>
      <c r="AG79" s="20">
        <f>IF(ISNUMBER(X79),X79,IFERROR(VALUE(LEFT(TEXT(J79,"00000000"),4)),""))</f>
        <v/>
      </c>
      <c r="AH79" s="20">
        <f>IFERROR(XLOOKUP(AG79,Vintage_Rates!$A$2:$A$1000,Vintage_Rates!$B$2:$B$1000,""),"")</f>
        <v/>
      </c>
      <c r="AI79" s="20">
        <f>IF(ISNUMBER(Y79),Y79,IFERROR((G79-AH79)*100,""))</f>
        <v/>
      </c>
      <c r="AJ79" s="20">
        <f>IF(ISNUMBER(V79),V79,IFERROR(XLOOKUP(VALUE(F79),PLC_Rates!$A$2:$A$1000,PLC_Rates!$B$2:$B$1000,""),""))</f>
        <v/>
      </c>
      <c r="AK79" s="20">
        <f>IF(ISNUMBER(Z79),Z79,IF(AE79=0,0,MAX(0,MIN(10,((VALUE(LEFT(TEXT(M79,"00000000"),4))-VALUE(LEFT(F79,4)))*12+(VALUE(MID(TEXT(M79,"00000000"),5,2))-VALUE(MID(F79,5,2))))/12))))</f>
        <v/>
      </c>
      <c r="AL79" s="20">
        <f>IFERROR(G79*100-AJ79,"")</f>
        <v/>
      </c>
      <c r="AM79" s="20">
        <f>IFERROR(G79*100-(AJ79+(1+AK79)*12.5),"")</f>
        <v/>
      </c>
      <c r="AN79" s="21">
        <f>IFERROR(MIN(H79/1000000,100),"")</f>
        <v/>
      </c>
      <c r="AO79" s="20">
        <f>IFERROR(INDEX(FHA_Lookup!$B$2:$B$11,MATCH(TRUE,ISNUMBER(SEARCH(FHA_Lookup!$A$2:$A$11,UPPER(SUBSTITUTE(O79," ","")))),0)),"OTHER")</f>
        <v/>
      </c>
      <c r="AP79" s="20">
        <f>IFERROR(INDEX(FHA_Lookup!$C$2:$C$11,MATCH(TRUE,ISNUMBER(SEARCH(FHA_Lookup!$A$2:$A$11,UPPER(SUBSTITUTE(O79," ","")))),0)),"OTHER")</f>
        <v/>
      </c>
      <c r="AQ79" s="20">
        <f>IF(AP79="NC",1,0)</f>
        <v/>
      </c>
      <c r="AR79" s="20">
        <f>IF(UPPER(TRIM(P79))="AFF",1,0)</f>
        <v/>
      </c>
      <c r="AS79" s="20">
        <f>IF(UPPER(TRIM(P79))="BAF",1,0)</f>
        <v/>
      </c>
      <c r="AT79" s="20">
        <f>IF(UPPER(TRIM(P79))="MKT",1,0)</f>
        <v/>
      </c>
      <c r="AU79" s="20">
        <f>IF(AO79="221d4",1,0)</f>
        <v/>
      </c>
      <c r="AV79" s="20">
        <f>IF(AO79="223a7",1,0)</f>
        <v/>
      </c>
      <c r="AW79" s="20">
        <f>IF(AO79="232",1,0)</f>
        <v/>
      </c>
      <c r="AX79" s="20">
        <f>IF(AO79="538",1,0)</f>
        <v/>
      </c>
      <c r="AY79" s="20">
        <f>IF(AO79="241",1,0)</f>
        <v/>
      </c>
      <c r="AZ79" s="20">
        <f>IF(AO79="220",1,0)</f>
        <v/>
      </c>
      <c r="BA79" s="20">
        <f>IF(AO79="OTHER",1,0)</f>
        <v/>
      </c>
      <c r="BB79" s="20">
        <f>IF(UPPER(TRIM(C79))="LM",1,0)</f>
        <v/>
      </c>
      <c r="BC79" s="20">
        <f>IF(UPPER(TRIM(C79))="PN",1,0)</f>
        <v/>
      </c>
      <c r="BD79" s="20">
        <f>IF(UPPER(TRIM(C79))="LS",1,0)</f>
        <v/>
      </c>
      <c r="BE79" s="20">
        <f>IF(UPPER(TRIM(C79))="RX",1,0)</f>
        <v/>
      </c>
      <c r="BF79" s="22">
        <f>IFERROR((Parameters!$C$6*AM79+Parameters!$C$7*MAX(AM79-(-150),0)+Parameters!$C$8*MAX(AM79-(-50),0)+Parameters!$C$9*MAX(AM79-(0),0)+Parameters!$C$10*MAX(AM79-(50),0)+Parameters!$C$11*MAX(AM79-(100),0)+Parameters!$C$12*MAX(AM79-(150),0)+Parameters!$C$13*MAX(AM79-(250),0)),0)</f>
        <v/>
      </c>
      <c r="BG79" s="22">
        <f>IFERROR((Parameters!$C$14*AA79+Parameters!$C$15*MAX(AA79-(12),0)+Parameters!$C$16*MAX(AA79-(36),0)+Parameters!$C$17*MAX(AA79-(60),0)+Parameters!$C$18*MAX(AA79-(84),0)+Parameters!$C$19*MAX(AA79-(120),0)+Parameters!$C$20*MAX(AA79-(180),0)),0)</f>
        <v/>
      </c>
      <c r="BH79" s="22">
        <f>IFERROR((Parameters!$C$21*AK79+Parameters!$C$22*MAX(AK79-(0),0)+Parameters!$C$23*MAX(AK79-(2),0)+Parameters!$C$24*MAX(AK79-(5),0)+Parameters!$C$25*MAX(AK79-(8),0)),0)</f>
        <v/>
      </c>
      <c r="BI79" s="22">
        <f>IFERROR((Parameters!$C$26*AI79+Parameters!$C$27*MAX(AI79-(-100),0)+Parameters!$C$28*MAX(AI79-(-25),0)+Parameters!$C$29*MAX(AI79-(25),0)+Parameters!$C$30*MAX(AI79-(100),0)),0)</f>
        <v/>
      </c>
      <c r="BJ79" s="22">
        <f>IFERROR((Parameters!$C$31*AN79+Parameters!$C$32*MAX(AN79-(2),0)+Parameters!$C$33*MAX(AN79-(10),0)+Parameters!$C$34*MAX(AN79-(25),0)),0)</f>
        <v/>
      </c>
      <c r="BK79" s="22">
        <f>IFERROR((Parameters!$C$35*AB79+Parameters!$C$36*MAX(AB79-(12),0)+Parameters!$C$37*MAX(AB79-(24),0)+Parameters!$C$38*MAX(AB79-(60),0)),0)</f>
        <v/>
      </c>
      <c r="BL79" s="22">
        <f>IFERROR((Parameters!$C$39*AC79+Parameters!$C$40*MAX(AC79-(6),0)+Parameters!$C$41*MAX(AC79-(12),0)+Parameters!$C$42*MAX(AC79-(24),0)),0)</f>
        <v/>
      </c>
      <c r="BM79" s="22">
        <f>IFERROR(Parameters!$C$43*(MAX(AM79,0)*MIN(MAX(AK79,0),10))/100,0)</f>
        <v/>
      </c>
      <c r="BN79" s="22">
        <f>Parameters!$C$44*AE79</f>
        <v/>
      </c>
      <c r="BO79" s="22">
        <f>Parameters!$C$45*AU79 + Parameters!$C$46*AV79 + Parameters!$C$47*AW79 + Parameters!$C$48*AX79 + Parameters!$C$49*AY79 + Parameters!$C$50*AZ79 + Parameters!$C$51*BA79</f>
        <v/>
      </c>
      <c r="BP79" s="22">
        <f>Parameters!$C$52*AQ79</f>
        <v/>
      </c>
      <c r="BQ79" s="22">
        <f>Parameters!$C$53*AR79+Parameters!$C$54*AS79+Parameters!$C$55*AT79</f>
        <v/>
      </c>
      <c r="BR79" s="22">
        <f>Parameters!$C$56*BB79+Parameters!$C$57*BC79+Parameters!$C$58*BD79+Parameters!$C$59*BE79</f>
        <v/>
      </c>
      <c r="BS79" s="23">
        <f>Parameters!$B$2</f>
        <v/>
      </c>
      <c r="BT79" s="23">
        <f>BS79+BF79 + BG79 + BH79 + BI79 + BJ79 + BK79 + BL79 + BM79 + BN79 + BO79 + BP79 + BQ79 + BR79</f>
        <v/>
      </c>
      <c r="BU79" s="24">
        <f>IF(AD79=1,0,1/(1+EXP(-BT79))*Parameters!$B$3)</f>
        <v/>
      </c>
      <c r="BV79" s="25">
        <f>(1-(1-BU79)^12)*100</f>
        <v/>
      </c>
      <c r="BW79" s="25">
        <f>IF(AD79=1,0,(1-(1-1/(1+EXP(-Parameters!$B$2)))^12)*100)</f>
        <v/>
      </c>
      <c r="BX79" s="25">
        <f>IF(AD79=1,0,BV79-(1-(1-(1/(1+EXP(-(BT79-BF79)))*Parameters!$B$3))^12)*100)</f>
        <v/>
      </c>
      <c r="BY79" s="25">
        <f>IF(AD79=1,0,BV79-(1-(1-(1/(1+EXP(-(BT79-BG79)))*Parameters!$B$3))^12)*100)</f>
        <v/>
      </c>
      <c r="BZ79" s="25">
        <f>IF(AD79=1,0,BV79-(1-(1-(1/(1+EXP(-(BT79-BH79)))*Parameters!$B$3))^12)*100)</f>
        <v/>
      </c>
      <c r="CA79" s="25">
        <f>IF(AD79=1,0,BV79-(1-(1-(1/(1+EXP(-(BT79-BI79)))*Parameters!$B$3))^12)*100)</f>
        <v/>
      </c>
      <c r="CB79" s="25">
        <f>IF(AD79=1,0,BV79-(1-(1-(1/(1+EXP(-(BT79-BJ79)))*Parameters!$B$3))^12)*100)</f>
        <v/>
      </c>
      <c r="CC79" s="25">
        <f>IF(AD79=1,0,BV79-(1-(1-(1/(1+EXP(-(BT79-BK79)))*Parameters!$B$3))^12)*100)</f>
        <v/>
      </c>
      <c r="CD79" s="25">
        <f>IF(AD79=1,0,BV79-(1-(1-(1/(1+EXP(-(BT79-BL79)))*Parameters!$B$3))^12)*100)</f>
        <v/>
      </c>
      <c r="CE79" s="25">
        <f>IF(AD79=1,0,BV79-(1-(1-(1/(1+EXP(-(BT79-BM79)))*Parameters!$B$3))^12)*100)</f>
        <v/>
      </c>
      <c r="CF79" s="25">
        <f>IF(AD79=1,0,BV79-(1-(1-(1/(1+EXP(-(BT79-BN79)))*Parameters!$B$3))^12)*100)</f>
        <v/>
      </c>
      <c r="CG79" s="25">
        <f>IF(AD79=1,0,BV79-(1-(1-(1/(1+EXP(-(BT79-BO79)))*Parameters!$B$3))^12)*100)</f>
        <v/>
      </c>
      <c r="CH79" s="25">
        <f>IF(AD79=1,0,BV79-(1-(1-(1/(1+EXP(-(BT79-BP79)))*Parameters!$B$3))^12)*100)</f>
        <v/>
      </c>
      <c r="CI79" s="25">
        <f>IF(AD79=1,0,BV79-(1-(1-(1/(1+EXP(-(BT79-BQ79)))*Parameters!$B$3))^12)*100)</f>
        <v/>
      </c>
      <c r="CJ79" s="25">
        <f>IF(AD79=1,0,BV79-(1-(1-(1/(1+EXP(-(BT79-BR79)))*Parameters!$B$3))^12)*100)</f>
        <v/>
      </c>
    </row>
    <row r="80">
      <c r="A80" s="17" t="inlineStr">
        <is>
          <t>GNR_2014_SEASONED</t>
        </is>
      </c>
      <c r="B80" s="17" t="inlineStr">
        <is>
          <t>36178T5Z5</t>
        </is>
      </c>
      <c r="C80" s="17" t="inlineStr">
        <is>
          <t>PN</t>
        </is>
      </c>
      <c r="D80" s="17" t="inlineStr">
        <is>
          <t>MERCHANTS CAPITAL CORP.</t>
        </is>
      </c>
      <c r="E80" s="17" t="inlineStr">
        <is>
          <t>36178T5Z5_000000004711131</t>
        </is>
      </c>
      <c r="F80" s="17" t="n">
        <v>202603</v>
      </c>
      <c r="G80" s="18" t="n">
        <v>2.5</v>
      </c>
      <c r="H80" s="19" t="n">
        <v>7337196.87</v>
      </c>
      <c r="I80" s="17" t="n">
        <v>420</v>
      </c>
      <c r="J80" s="17" t="n">
        <v>20130201</v>
      </c>
      <c r="K80" s="17" t="n">
        <v>20480301</v>
      </c>
      <c r="L80" s="17" t="n"/>
      <c r="M80" s="17" t="n">
        <v>20230301</v>
      </c>
      <c r="N80" s="17" t="n">
        <v>10</v>
      </c>
      <c r="O80" s="17" t="inlineStr">
        <is>
          <t>207/223(f)</t>
        </is>
      </c>
      <c r="P80" s="17" t="inlineStr">
        <is>
          <t>MKT</t>
        </is>
      </c>
      <c r="Q80" s="17" t="n"/>
      <c r="R80" s="17" t="n"/>
      <c r="S80" s="17" t="n"/>
      <c r="T80" s="17" t="inlineStr">
        <is>
          <t>MI</t>
        </is>
      </c>
      <c r="U80" s="17" t="n">
        <v>192</v>
      </c>
      <c r="V80" s="17" t="n">
        <v>490.5</v>
      </c>
      <c r="W80" s="17" t="n">
        <v>157</v>
      </c>
      <c r="X80" s="17" t="n">
        <v>2013</v>
      </c>
      <c r="Y80" s="17" t="n">
        <v>-88</v>
      </c>
      <c r="Z80" s="17" t="n">
        <v>0</v>
      </c>
      <c r="AA80" s="20">
        <f>IF(ISNUMBER(W80),W80,IFERROR(MAX(0,(VALUE(LEFT(F80,4))-VALUE(LEFT(TEXT(J80,"00000000"),4)))*12+(VALUE(MID(F80,5,2))-VALUE(MID(TEXT(J80,"00000000"),5,2)))),""))</f>
        <v/>
      </c>
      <c r="AB80" s="20">
        <f>IFERROR((VALUE(LEFT(TEXT(K80,"00000000"),4))-VALUE(LEFT(F80,4)))*12+(VALUE(MID(TEXT(K80,"00000000"),5,2))-VALUE(MID(F80,5,2))),"")</f>
        <v/>
      </c>
      <c r="AC80" s="20">
        <f>IF(OR(L80="",NOT(ISNUMBER(L80))),0,MAX(0,MIN(60,(VALUE(LEFT(F80,4))-VALUE(LEFT(TEXT(L80,"00000000"),4)))*12+(VALUE(MID(F80,5,2))-VALUE(MID(TEXT(L80,"00000000"),5,2))))))</f>
        <v/>
      </c>
      <c r="AD80" s="20">
        <f>IF(OR(L80="",NOT(ISNUMBER(L80))),0,IF(VALUE(F80)&lt;VALUE(LEFT(TEXT(L80,"00000000"),6)),1,0))</f>
        <v/>
      </c>
      <c r="AE80" s="20">
        <f>IF(OR(M80="",NOT(ISNUMBER(M80))),0,IF(VALUE(F80)&lt;VALUE(LEFT(TEXT(M80,"00000000"),6)),1,0))</f>
        <v/>
      </c>
      <c r="AF80" s="20">
        <f>IF(AND(AD80=0,AE80=0),1,0)</f>
        <v/>
      </c>
      <c r="AG80" s="20">
        <f>IF(ISNUMBER(X80),X80,IFERROR(VALUE(LEFT(TEXT(J80,"00000000"),4)),""))</f>
        <v/>
      </c>
      <c r="AH80" s="20">
        <f>IFERROR(XLOOKUP(AG80,Vintage_Rates!$A$2:$A$1000,Vintage_Rates!$B$2:$B$1000,""),"")</f>
        <v/>
      </c>
      <c r="AI80" s="20">
        <f>IF(ISNUMBER(Y80),Y80,IFERROR((G80-AH80)*100,""))</f>
        <v/>
      </c>
      <c r="AJ80" s="20">
        <f>IF(ISNUMBER(V80),V80,IFERROR(XLOOKUP(VALUE(F80),PLC_Rates!$A$2:$A$1000,PLC_Rates!$B$2:$B$1000,""),""))</f>
        <v/>
      </c>
      <c r="AK80" s="20">
        <f>IF(ISNUMBER(Z80),Z80,IF(AE80=0,0,MAX(0,MIN(10,((VALUE(LEFT(TEXT(M80,"00000000"),4))-VALUE(LEFT(F80,4)))*12+(VALUE(MID(TEXT(M80,"00000000"),5,2))-VALUE(MID(F80,5,2))))/12))))</f>
        <v/>
      </c>
      <c r="AL80" s="20">
        <f>IFERROR(G80*100-AJ80,"")</f>
        <v/>
      </c>
      <c r="AM80" s="20">
        <f>IFERROR(G80*100-(AJ80+(1+AK80)*12.5),"")</f>
        <v/>
      </c>
      <c r="AN80" s="21">
        <f>IFERROR(MIN(H80/1000000,100),"")</f>
        <v/>
      </c>
      <c r="AO80" s="20">
        <f>IFERROR(INDEX(FHA_Lookup!$B$2:$B$11,MATCH(TRUE,ISNUMBER(SEARCH(FHA_Lookup!$A$2:$A$11,UPPER(SUBSTITUTE(O80," ","")))),0)),"OTHER")</f>
        <v/>
      </c>
      <c r="AP80" s="20">
        <f>IFERROR(INDEX(FHA_Lookup!$C$2:$C$11,MATCH(TRUE,ISNUMBER(SEARCH(FHA_Lookup!$A$2:$A$11,UPPER(SUBSTITUTE(O80," ","")))),0)),"OTHER")</f>
        <v/>
      </c>
      <c r="AQ80" s="20">
        <f>IF(AP80="NC",1,0)</f>
        <v/>
      </c>
      <c r="AR80" s="20">
        <f>IF(UPPER(TRIM(P80))="AFF",1,0)</f>
        <v/>
      </c>
      <c r="AS80" s="20">
        <f>IF(UPPER(TRIM(P80))="BAF",1,0)</f>
        <v/>
      </c>
      <c r="AT80" s="20">
        <f>IF(UPPER(TRIM(P80))="MKT",1,0)</f>
        <v/>
      </c>
      <c r="AU80" s="20">
        <f>IF(AO80="221d4",1,0)</f>
        <v/>
      </c>
      <c r="AV80" s="20">
        <f>IF(AO80="223a7",1,0)</f>
        <v/>
      </c>
      <c r="AW80" s="20">
        <f>IF(AO80="232",1,0)</f>
        <v/>
      </c>
      <c r="AX80" s="20">
        <f>IF(AO80="538",1,0)</f>
        <v/>
      </c>
      <c r="AY80" s="20">
        <f>IF(AO80="241",1,0)</f>
        <v/>
      </c>
      <c r="AZ80" s="20">
        <f>IF(AO80="220",1,0)</f>
        <v/>
      </c>
      <c r="BA80" s="20">
        <f>IF(AO80="OTHER",1,0)</f>
        <v/>
      </c>
      <c r="BB80" s="20">
        <f>IF(UPPER(TRIM(C80))="LM",1,0)</f>
        <v/>
      </c>
      <c r="BC80" s="20">
        <f>IF(UPPER(TRIM(C80))="PN",1,0)</f>
        <v/>
      </c>
      <c r="BD80" s="20">
        <f>IF(UPPER(TRIM(C80))="LS",1,0)</f>
        <v/>
      </c>
      <c r="BE80" s="20">
        <f>IF(UPPER(TRIM(C80))="RX",1,0)</f>
        <v/>
      </c>
      <c r="BF80" s="22">
        <f>IFERROR((Parameters!$C$6*AM80+Parameters!$C$7*MAX(AM80-(-150),0)+Parameters!$C$8*MAX(AM80-(-50),0)+Parameters!$C$9*MAX(AM80-(0),0)+Parameters!$C$10*MAX(AM80-(50),0)+Parameters!$C$11*MAX(AM80-(100),0)+Parameters!$C$12*MAX(AM80-(150),0)+Parameters!$C$13*MAX(AM80-(250),0)),0)</f>
        <v/>
      </c>
      <c r="BG80" s="22">
        <f>IFERROR((Parameters!$C$14*AA80+Parameters!$C$15*MAX(AA80-(12),0)+Parameters!$C$16*MAX(AA80-(36),0)+Parameters!$C$17*MAX(AA80-(60),0)+Parameters!$C$18*MAX(AA80-(84),0)+Parameters!$C$19*MAX(AA80-(120),0)+Parameters!$C$20*MAX(AA80-(180),0)),0)</f>
        <v/>
      </c>
      <c r="BH80" s="22">
        <f>IFERROR((Parameters!$C$21*AK80+Parameters!$C$22*MAX(AK80-(0),0)+Parameters!$C$23*MAX(AK80-(2),0)+Parameters!$C$24*MAX(AK80-(5),0)+Parameters!$C$25*MAX(AK80-(8),0)),0)</f>
        <v/>
      </c>
      <c r="BI80" s="22">
        <f>IFERROR((Parameters!$C$26*AI80+Parameters!$C$27*MAX(AI80-(-100),0)+Parameters!$C$28*MAX(AI80-(-25),0)+Parameters!$C$29*MAX(AI80-(25),0)+Parameters!$C$30*MAX(AI80-(100),0)),0)</f>
        <v/>
      </c>
      <c r="BJ80" s="22">
        <f>IFERROR((Parameters!$C$31*AN80+Parameters!$C$32*MAX(AN80-(2),0)+Parameters!$C$33*MAX(AN80-(10),0)+Parameters!$C$34*MAX(AN80-(25),0)),0)</f>
        <v/>
      </c>
      <c r="BK80" s="22">
        <f>IFERROR((Parameters!$C$35*AB80+Parameters!$C$36*MAX(AB80-(12),0)+Parameters!$C$37*MAX(AB80-(24),0)+Parameters!$C$38*MAX(AB80-(60),0)),0)</f>
        <v/>
      </c>
      <c r="BL80" s="22">
        <f>IFERROR((Parameters!$C$39*AC80+Parameters!$C$40*MAX(AC80-(6),0)+Parameters!$C$41*MAX(AC80-(12),0)+Parameters!$C$42*MAX(AC80-(24),0)),0)</f>
        <v/>
      </c>
      <c r="BM80" s="22">
        <f>IFERROR(Parameters!$C$43*(MAX(AM80,0)*MIN(MAX(AK80,0),10))/100,0)</f>
        <v/>
      </c>
      <c r="BN80" s="22">
        <f>Parameters!$C$44*AE80</f>
        <v/>
      </c>
      <c r="BO80" s="22">
        <f>Parameters!$C$45*AU80 + Parameters!$C$46*AV80 + Parameters!$C$47*AW80 + Parameters!$C$48*AX80 + Parameters!$C$49*AY80 + Parameters!$C$50*AZ80 + Parameters!$C$51*BA80</f>
        <v/>
      </c>
      <c r="BP80" s="22">
        <f>Parameters!$C$52*AQ80</f>
        <v/>
      </c>
      <c r="BQ80" s="22">
        <f>Parameters!$C$53*AR80+Parameters!$C$54*AS80+Parameters!$C$55*AT80</f>
        <v/>
      </c>
      <c r="BR80" s="22">
        <f>Parameters!$C$56*BB80+Parameters!$C$57*BC80+Parameters!$C$58*BD80+Parameters!$C$59*BE80</f>
        <v/>
      </c>
      <c r="BS80" s="23">
        <f>Parameters!$B$2</f>
        <v/>
      </c>
      <c r="BT80" s="23">
        <f>BS80+BF80 + BG80 + BH80 + BI80 + BJ80 + BK80 + BL80 + BM80 + BN80 + BO80 + BP80 + BQ80 + BR80</f>
        <v/>
      </c>
      <c r="BU80" s="24">
        <f>IF(AD80=1,0,1/(1+EXP(-BT80))*Parameters!$B$3)</f>
        <v/>
      </c>
      <c r="BV80" s="25">
        <f>(1-(1-BU80)^12)*100</f>
        <v/>
      </c>
      <c r="BW80" s="25">
        <f>IF(AD80=1,0,(1-(1-1/(1+EXP(-Parameters!$B$2)))^12)*100)</f>
        <v/>
      </c>
      <c r="BX80" s="25">
        <f>IF(AD80=1,0,BV80-(1-(1-(1/(1+EXP(-(BT80-BF80)))*Parameters!$B$3))^12)*100)</f>
        <v/>
      </c>
      <c r="BY80" s="25">
        <f>IF(AD80=1,0,BV80-(1-(1-(1/(1+EXP(-(BT80-BG80)))*Parameters!$B$3))^12)*100)</f>
        <v/>
      </c>
      <c r="BZ80" s="25">
        <f>IF(AD80=1,0,BV80-(1-(1-(1/(1+EXP(-(BT80-BH80)))*Parameters!$B$3))^12)*100)</f>
        <v/>
      </c>
      <c r="CA80" s="25">
        <f>IF(AD80=1,0,BV80-(1-(1-(1/(1+EXP(-(BT80-BI80)))*Parameters!$B$3))^12)*100)</f>
        <v/>
      </c>
      <c r="CB80" s="25">
        <f>IF(AD80=1,0,BV80-(1-(1-(1/(1+EXP(-(BT80-BJ80)))*Parameters!$B$3))^12)*100)</f>
        <v/>
      </c>
      <c r="CC80" s="25">
        <f>IF(AD80=1,0,BV80-(1-(1-(1/(1+EXP(-(BT80-BK80)))*Parameters!$B$3))^12)*100)</f>
        <v/>
      </c>
      <c r="CD80" s="25">
        <f>IF(AD80=1,0,BV80-(1-(1-(1/(1+EXP(-(BT80-BL80)))*Parameters!$B$3))^12)*100)</f>
        <v/>
      </c>
      <c r="CE80" s="25">
        <f>IF(AD80=1,0,BV80-(1-(1-(1/(1+EXP(-(BT80-BM80)))*Parameters!$B$3))^12)*100)</f>
        <v/>
      </c>
      <c r="CF80" s="25">
        <f>IF(AD80=1,0,BV80-(1-(1-(1/(1+EXP(-(BT80-BN80)))*Parameters!$B$3))^12)*100)</f>
        <v/>
      </c>
      <c r="CG80" s="25">
        <f>IF(AD80=1,0,BV80-(1-(1-(1/(1+EXP(-(BT80-BO80)))*Parameters!$B$3))^12)*100)</f>
        <v/>
      </c>
      <c r="CH80" s="25">
        <f>IF(AD80=1,0,BV80-(1-(1-(1/(1+EXP(-(BT80-BP80)))*Parameters!$B$3))^12)*100)</f>
        <v/>
      </c>
      <c r="CI80" s="25">
        <f>IF(AD80=1,0,BV80-(1-(1-(1/(1+EXP(-(BT80-BQ80)))*Parameters!$B$3))^12)*100)</f>
        <v/>
      </c>
      <c r="CJ80" s="25">
        <f>IF(AD80=1,0,BV80-(1-(1-(1/(1+EXP(-(BT80-BR80)))*Parameters!$B$3))^12)*100)</f>
        <v/>
      </c>
    </row>
    <row r="81">
      <c r="A81" s="17" t="inlineStr">
        <is>
          <t>GNR_2014_SEASONED</t>
        </is>
      </c>
      <c r="B81" s="17" t="inlineStr">
        <is>
          <t>36178YTW5</t>
        </is>
      </c>
      <c r="C81" s="17" t="inlineStr">
        <is>
          <t>PN</t>
        </is>
      </c>
      <c r="D81" s="17" t="inlineStr">
        <is>
          <t>GREYSTONE SERVICING COMPANY LLC</t>
        </is>
      </c>
      <c r="E81" s="17" t="inlineStr">
        <is>
          <t>36178YTW5_000000012235709</t>
        </is>
      </c>
      <c r="F81" s="17" t="n">
        <v>202603</v>
      </c>
      <c r="G81" s="18" t="n">
        <v>3.3</v>
      </c>
      <c r="H81" s="19" t="n">
        <v>9662468.33</v>
      </c>
      <c r="I81" s="17" t="n">
        <v>360</v>
      </c>
      <c r="J81" s="17" t="n">
        <v>20130401</v>
      </c>
      <c r="K81" s="17" t="n">
        <v>20431201</v>
      </c>
      <c r="L81" s="17" t="n">
        <v>20150101</v>
      </c>
      <c r="M81" s="17" t="n">
        <v>20240101</v>
      </c>
      <c r="N81" s="17" t="n">
        <v>9</v>
      </c>
      <c r="O81" s="17" t="inlineStr">
        <is>
          <t>221(d)(4)</t>
        </is>
      </c>
      <c r="P81" s="17" t="inlineStr">
        <is>
          <t>MKT</t>
        </is>
      </c>
      <c r="Q81" s="17" t="n"/>
      <c r="R81" s="17" t="n"/>
      <c r="S81" s="17" t="n"/>
      <c r="T81" s="17" t="inlineStr">
        <is>
          <t>CA</t>
        </is>
      </c>
      <c r="U81" s="17" t="n">
        <v>185</v>
      </c>
      <c r="V81" s="17" t="n">
        <v>490.5</v>
      </c>
      <c r="W81" s="17" t="n">
        <v>155</v>
      </c>
      <c r="X81" s="17" t="n">
        <v>2013</v>
      </c>
      <c r="Y81" s="17" t="n">
        <v>-8</v>
      </c>
      <c r="Z81" s="17" t="n">
        <v>0</v>
      </c>
      <c r="AA81" s="20">
        <f>IF(ISNUMBER(W81),W81,IFERROR(MAX(0,(VALUE(LEFT(F81,4))-VALUE(LEFT(TEXT(J81,"00000000"),4)))*12+(VALUE(MID(F81,5,2))-VALUE(MID(TEXT(J81,"00000000"),5,2)))),""))</f>
        <v/>
      </c>
      <c r="AB81" s="20">
        <f>IFERROR((VALUE(LEFT(TEXT(K81,"00000000"),4))-VALUE(LEFT(F81,4)))*12+(VALUE(MID(TEXT(K81,"00000000"),5,2))-VALUE(MID(F81,5,2))),"")</f>
        <v/>
      </c>
      <c r="AC81" s="20">
        <f>IF(OR(L81="",NOT(ISNUMBER(L81))),0,MAX(0,MIN(60,(VALUE(LEFT(F81,4))-VALUE(LEFT(TEXT(L81,"00000000"),4)))*12+(VALUE(MID(F81,5,2))-VALUE(MID(TEXT(L81,"00000000"),5,2))))))</f>
        <v/>
      </c>
      <c r="AD81" s="20">
        <f>IF(OR(L81="",NOT(ISNUMBER(L81))),0,IF(VALUE(F81)&lt;VALUE(LEFT(TEXT(L81,"00000000"),6)),1,0))</f>
        <v/>
      </c>
      <c r="AE81" s="20">
        <f>IF(OR(M81="",NOT(ISNUMBER(M81))),0,IF(VALUE(F81)&lt;VALUE(LEFT(TEXT(M81,"00000000"),6)),1,0))</f>
        <v/>
      </c>
      <c r="AF81" s="20">
        <f>IF(AND(AD81=0,AE81=0),1,0)</f>
        <v/>
      </c>
      <c r="AG81" s="20">
        <f>IF(ISNUMBER(X81),X81,IFERROR(VALUE(LEFT(TEXT(J81,"00000000"),4)),""))</f>
        <v/>
      </c>
      <c r="AH81" s="20">
        <f>IFERROR(XLOOKUP(AG81,Vintage_Rates!$A$2:$A$1000,Vintage_Rates!$B$2:$B$1000,""),"")</f>
        <v/>
      </c>
      <c r="AI81" s="20">
        <f>IF(ISNUMBER(Y81),Y81,IFERROR((G81-AH81)*100,""))</f>
        <v/>
      </c>
      <c r="AJ81" s="20">
        <f>IF(ISNUMBER(V81),V81,IFERROR(XLOOKUP(VALUE(F81),PLC_Rates!$A$2:$A$1000,PLC_Rates!$B$2:$B$1000,""),""))</f>
        <v/>
      </c>
      <c r="AK81" s="20">
        <f>IF(ISNUMBER(Z81),Z81,IF(AE81=0,0,MAX(0,MIN(10,((VALUE(LEFT(TEXT(M81,"00000000"),4))-VALUE(LEFT(F81,4)))*12+(VALUE(MID(TEXT(M81,"00000000"),5,2))-VALUE(MID(F81,5,2))))/12))))</f>
        <v/>
      </c>
      <c r="AL81" s="20">
        <f>IFERROR(G81*100-AJ81,"")</f>
        <v/>
      </c>
      <c r="AM81" s="20">
        <f>IFERROR(G81*100-(AJ81+(1+AK81)*12.5),"")</f>
        <v/>
      </c>
      <c r="AN81" s="21">
        <f>IFERROR(MIN(H81/1000000,100),"")</f>
        <v/>
      </c>
      <c r="AO81" s="20">
        <f>IFERROR(INDEX(FHA_Lookup!$B$2:$B$11,MATCH(TRUE,ISNUMBER(SEARCH(FHA_Lookup!$A$2:$A$11,UPPER(SUBSTITUTE(O81," ","")))),0)),"OTHER")</f>
        <v/>
      </c>
      <c r="AP81" s="20">
        <f>IFERROR(INDEX(FHA_Lookup!$C$2:$C$11,MATCH(TRUE,ISNUMBER(SEARCH(FHA_Lookup!$A$2:$A$11,UPPER(SUBSTITUTE(O81," ","")))),0)),"OTHER")</f>
        <v/>
      </c>
      <c r="AQ81" s="20">
        <f>IF(AP81="NC",1,0)</f>
        <v/>
      </c>
      <c r="AR81" s="20">
        <f>IF(UPPER(TRIM(P81))="AFF",1,0)</f>
        <v/>
      </c>
      <c r="AS81" s="20">
        <f>IF(UPPER(TRIM(P81))="BAF",1,0)</f>
        <v/>
      </c>
      <c r="AT81" s="20">
        <f>IF(UPPER(TRIM(P81))="MKT",1,0)</f>
        <v/>
      </c>
      <c r="AU81" s="20">
        <f>IF(AO81="221d4",1,0)</f>
        <v/>
      </c>
      <c r="AV81" s="20">
        <f>IF(AO81="223a7",1,0)</f>
        <v/>
      </c>
      <c r="AW81" s="20">
        <f>IF(AO81="232",1,0)</f>
        <v/>
      </c>
      <c r="AX81" s="20">
        <f>IF(AO81="538",1,0)</f>
        <v/>
      </c>
      <c r="AY81" s="20">
        <f>IF(AO81="241",1,0)</f>
        <v/>
      </c>
      <c r="AZ81" s="20">
        <f>IF(AO81="220",1,0)</f>
        <v/>
      </c>
      <c r="BA81" s="20">
        <f>IF(AO81="OTHER",1,0)</f>
        <v/>
      </c>
      <c r="BB81" s="20">
        <f>IF(UPPER(TRIM(C81))="LM",1,0)</f>
        <v/>
      </c>
      <c r="BC81" s="20">
        <f>IF(UPPER(TRIM(C81))="PN",1,0)</f>
        <v/>
      </c>
      <c r="BD81" s="20">
        <f>IF(UPPER(TRIM(C81))="LS",1,0)</f>
        <v/>
      </c>
      <c r="BE81" s="20">
        <f>IF(UPPER(TRIM(C81))="RX",1,0)</f>
        <v/>
      </c>
      <c r="BF81" s="22">
        <f>IFERROR((Parameters!$C$6*AM81+Parameters!$C$7*MAX(AM81-(-150),0)+Parameters!$C$8*MAX(AM81-(-50),0)+Parameters!$C$9*MAX(AM81-(0),0)+Parameters!$C$10*MAX(AM81-(50),0)+Parameters!$C$11*MAX(AM81-(100),0)+Parameters!$C$12*MAX(AM81-(150),0)+Parameters!$C$13*MAX(AM81-(250),0)),0)</f>
        <v/>
      </c>
      <c r="BG81" s="22">
        <f>IFERROR((Parameters!$C$14*AA81+Parameters!$C$15*MAX(AA81-(12),0)+Parameters!$C$16*MAX(AA81-(36),0)+Parameters!$C$17*MAX(AA81-(60),0)+Parameters!$C$18*MAX(AA81-(84),0)+Parameters!$C$19*MAX(AA81-(120),0)+Parameters!$C$20*MAX(AA81-(180),0)),0)</f>
        <v/>
      </c>
      <c r="BH81" s="22">
        <f>IFERROR((Parameters!$C$21*AK81+Parameters!$C$22*MAX(AK81-(0),0)+Parameters!$C$23*MAX(AK81-(2),0)+Parameters!$C$24*MAX(AK81-(5),0)+Parameters!$C$25*MAX(AK81-(8),0)),0)</f>
        <v/>
      </c>
      <c r="BI81" s="22">
        <f>IFERROR((Parameters!$C$26*AI81+Parameters!$C$27*MAX(AI81-(-100),0)+Parameters!$C$28*MAX(AI81-(-25),0)+Parameters!$C$29*MAX(AI81-(25),0)+Parameters!$C$30*MAX(AI81-(100),0)),0)</f>
        <v/>
      </c>
      <c r="BJ81" s="22">
        <f>IFERROR((Parameters!$C$31*AN81+Parameters!$C$32*MAX(AN81-(2),0)+Parameters!$C$33*MAX(AN81-(10),0)+Parameters!$C$34*MAX(AN81-(25),0)),0)</f>
        <v/>
      </c>
      <c r="BK81" s="22">
        <f>IFERROR((Parameters!$C$35*AB81+Parameters!$C$36*MAX(AB81-(12),0)+Parameters!$C$37*MAX(AB81-(24),0)+Parameters!$C$38*MAX(AB81-(60),0)),0)</f>
        <v/>
      </c>
      <c r="BL81" s="22">
        <f>IFERROR((Parameters!$C$39*AC81+Parameters!$C$40*MAX(AC81-(6),0)+Parameters!$C$41*MAX(AC81-(12),0)+Parameters!$C$42*MAX(AC81-(24),0)),0)</f>
        <v/>
      </c>
      <c r="BM81" s="22">
        <f>IFERROR(Parameters!$C$43*(MAX(AM81,0)*MIN(MAX(AK81,0),10))/100,0)</f>
        <v/>
      </c>
      <c r="BN81" s="22">
        <f>Parameters!$C$44*AE81</f>
        <v/>
      </c>
      <c r="BO81" s="22">
        <f>Parameters!$C$45*AU81 + Parameters!$C$46*AV81 + Parameters!$C$47*AW81 + Parameters!$C$48*AX81 + Parameters!$C$49*AY81 + Parameters!$C$50*AZ81 + Parameters!$C$51*BA81</f>
        <v/>
      </c>
      <c r="BP81" s="22">
        <f>Parameters!$C$52*AQ81</f>
        <v/>
      </c>
      <c r="BQ81" s="22">
        <f>Parameters!$C$53*AR81+Parameters!$C$54*AS81+Parameters!$C$55*AT81</f>
        <v/>
      </c>
      <c r="BR81" s="22">
        <f>Parameters!$C$56*BB81+Parameters!$C$57*BC81+Parameters!$C$58*BD81+Parameters!$C$59*BE81</f>
        <v/>
      </c>
      <c r="BS81" s="23">
        <f>Parameters!$B$2</f>
        <v/>
      </c>
      <c r="BT81" s="23">
        <f>BS81+BF81 + BG81 + BH81 + BI81 + BJ81 + BK81 + BL81 + BM81 + BN81 + BO81 + BP81 + BQ81 + BR81</f>
        <v/>
      </c>
      <c r="BU81" s="24">
        <f>IF(AD81=1,0,1/(1+EXP(-BT81))*Parameters!$B$3)</f>
        <v/>
      </c>
      <c r="BV81" s="25">
        <f>(1-(1-BU81)^12)*100</f>
        <v/>
      </c>
      <c r="BW81" s="25">
        <f>IF(AD81=1,0,(1-(1-1/(1+EXP(-Parameters!$B$2)))^12)*100)</f>
        <v/>
      </c>
      <c r="BX81" s="25">
        <f>IF(AD81=1,0,BV81-(1-(1-(1/(1+EXP(-(BT81-BF81)))*Parameters!$B$3))^12)*100)</f>
        <v/>
      </c>
      <c r="BY81" s="25">
        <f>IF(AD81=1,0,BV81-(1-(1-(1/(1+EXP(-(BT81-BG81)))*Parameters!$B$3))^12)*100)</f>
        <v/>
      </c>
      <c r="BZ81" s="25">
        <f>IF(AD81=1,0,BV81-(1-(1-(1/(1+EXP(-(BT81-BH81)))*Parameters!$B$3))^12)*100)</f>
        <v/>
      </c>
      <c r="CA81" s="25">
        <f>IF(AD81=1,0,BV81-(1-(1-(1/(1+EXP(-(BT81-BI81)))*Parameters!$B$3))^12)*100)</f>
        <v/>
      </c>
      <c r="CB81" s="25">
        <f>IF(AD81=1,0,BV81-(1-(1-(1/(1+EXP(-(BT81-BJ81)))*Parameters!$B$3))^12)*100)</f>
        <v/>
      </c>
      <c r="CC81" s="25">
        <f>IF(AD81=1,0,BV81-(1-(1-(1/(1+EXP(-(BT81-BK81)))*Parameters!$B$3))^12)*100)</f>
        <v/>
      </c>
      <c r="CD81" s="25">
        <f>IF(AD81=1,0,BV81-(1-(1-(1/(1+EXP(-(BT81-BL81)))*Parameters!$B$3))^12)*100)</f>
        <v/>
      </c>
      <c r="CE81" s="25">
        <f>IF(AD81=1,0,BV81-(1-(1-(1/(1+EXP(-(BT81-BM81)))*Parameters!$B$3))^12)*100)</f>
        <v/>
      </c>
      <c r="CF81" s="25">
        <f>IF(AD81=1,0,BV81-(1-(1-(1/(1+EXP(-(BT81-BN81)))*Parameters!$B$3))^12)*100)</f>
        <v/>
      </c>
      <c r="CG81" s="25">
        <f>IF(AD81=1,0,BV81-(1-(1-(1/(1+EXP(-(BT81-BO81)))*Parameters!$B$3))^12)*100)</f>
        <v/>
      </c>
      <c r="CH81" s="25">
        <f>IF(AD81=1,0,BV81-(1-(1-(1/(1+EXP(-(BT81-BP81)))*Parameters!$B$3))^12)*100)</f>
        <v/>
      </c>
      <c r="CI81" s="25">
        <f>IF(AD81=1,0,BV81-(1-(1-(1/(1+EXP(-(BT81-BQ81)))*Parameters!$B$3))^12)*100)</f>
        <v/>
      </c>
      <c r="CJ81" s="25">
        <f>IF(AD81=1,0,BV81-(1-(1-(1/(1+EXP(-(BT81-BR81)))*Parameters!$B$3))^12)*100)</f>
        <v/>
      </c>
    </row>
    <row r="82">
      <c r="A82" s="17" t="inlineStr">
        <is>
          <t>GNR_2014_SEASONED</t>
        </is>
      </c>
      <c r="B82" s="17" t="inlineStr">
        <is>
          <t>36193CAB0</t>
        </is>
      </c>
      <c r="C82" s="17" t="inlineStr">
        <is>
          <t>PN</t>
        </is>
      </c>
      <c r="D82" s="17" t="inlineStr">
        <is>
          <t>GREYSTONE FUNDING COMPANY LLC</t>
        </is>
      </c>
      <c r="E82" s="17" t="inlineStr">
        <is>
          <t>36193CAB0_000000005111335</t>
        </is>
      </c>
      <c r="F82" s="17" t="n">
        <v>202603</v>
      </c>
      <c r="G82" s="18" t="n">
        <v>3.58</v>
      </c>
      <c r="H82" s="19" t="n">
        <v>2220221.9</v>
      </c>
      <c r="I82" s="17" t="n">
        <v>420</v>
      </c>
      <c r="J82" s="17" t="n">
        <v>20160301</v>
      </c>
      <c r="K82" s="17" t="n">
        <v>20510401</v>
      </c>
      <c r="L82" s="17" t="n"/>
      <c r="M82" s="17" t="n">
        <v>20260501</v>
      </c>
      <c r="N82" s="17" t="n">
        <v>10</v>
      </c>
      <c r="O82" s="17" t="inlineStr">
        <is>
          <t>207/223F</t>
        </is>
      </c>
      <c r="P82" s="17" t="inlineStr">
        <is>
          <t>MKT</t>
        </is>
      </c>
      <c r="Q82" s="17" t="n"/>
      <c r="R82" s="17" t="n"/>
      <c r="S82" s="17" t="n"/>
      <c r="T82" s="17" t="inlineStr">
        <is>
          <t>VA</t>
        </is>
      </c>
      <c r="U82" s="17" t="n">
        <v>48</v>
      </c>
      <c r="V82" s="17" t="n">
        <v>490.5</v>
      </c>
      <c r="W82" s="17" t="n">
        <v>120</v>
      </c>
      <c r="X82" s="17" t="n">
        <v>2016</v>
      </c>
      <c r="Y82" s="17" t="n">
        <v>13</v>
      </c>
      <c r="Z82" s="17" t="n">
        <v>1</v>
      </c>
      <c r="AA82" s="20">
        <f>IF(ISNUMBER(W82),W82,IFERROR(MAX(0,(VALUE(LEFT(F82,4))-VALUE(LEFT(TEXT(J82,"00000000"),4)))*12+(VALUE(MID(F82,5,2))-VALUE(MID(TEXT(J82,"00000000"),5,2)))),""))</f>
        <v/>
      </c>
      <c r="AB82" s="20">
        <f>IFERROR((VALUE(LEFT(TEXT(K82,"00000000"),4))-VALUE(LEFT(F82,4)))*12+(VALUE(MID(TEXT(K82,"00000000"),5,2))-VALUE(MID(F82,5,2))),"")</f>
        <v/>
      </c>
      <c r="AC82" s="20">
        <f>IF(OR(L82="",NOT(ISNUMBER(L82))),0,MAX(0,MIN(60,(VALUE(LEFT(F82,4))-VALUE(LEFT(TEXT(L82,"00000000"),4)))*12+(VALUE(MID(F82,5,2))-VALUE(MID(TEXT(L82,"00000000"),5,2))))))</f>
        <v/>
      </c>
      <c r="AD82" s="20">
        <f>IF(OR(L82="",NOT(ISNUMBER(L82))),0,IF(VALUE(F82)&lt;VALUE(LEFT(TEXT(L82,"00000000"),6)),1,0))</f>
        <v/>
      </c>
      <c r="AE82" s="20">
        <f>IF(OR(M82="",NOT(ISNUMBER(M82))),0,IF(VALUE(F82)&lt;VALUE(LEFT(TEXT(M82,"00000000"),6)),1,0))</f>
        <v/>
      </c>
      <c r="AF82" s="20">
        <f>IF(AND(AD82=0,AE82=0),1,0)</f>
        <v/>
      </c>
      <c r="AG82" s="20">
        <f>IF(ISNUMBER(X82),X82,IFERROR(VALUE(LEFT(TEXT(J82,"00000000"),4)),""))</f>
        <v/>
      </c>
      <c r="AH82" s="20">
        <f>IFERROR(XLOOKUP(AG82,Vintage_Rates!$A$2:$A$1000,Vintage_Rates!$B$2:$B$1000,""),"")</f>
        <v/>
      </c>
      <c r="AI82" s="20">
        <f>IF(ISNUMBER(Y82),Y82,IFERROR((G82-AH82)*100,""))</f>
        <v/>
      </c>
      <c r="AJ82" s="20">
        <f>IF(ISNUMBER(V82),V82,IFERROR(XLOOKUP(VALUE(F82),PLC_Rates!$A$2:$A$1000,PLC_Rates!$B$2:$B$1000,""),""))</f>
        <v/>
      </c>
      <c r="AK82" s="20">
        <f>IF(ISNUMBER(Z82),Z82,IF(AE82=0,0,MAX(0,MIN(10,((VALUE(LEFT(TEXT(M82,"00000000"),4))-VALUE(LEFT(F82,4)))*12+(VALUE(MID(TEXT(M82,"00000000"),5,2))-VALUE(MID(F82,5,2))))/12))))</f>
        <v/>
      </c>
      <c r="AL82" s="20">
        <f>IFERROR(G82*100-AJ82,"")</f>
        <v/>
      </c>
      <c r="AM82" s="20">
        <f>IFERROR(G82*100-(AJ82+(1+AK82)*12.5),"")</f>
        <v/>
      </c>
      <c r="AN82" s="21">
        <f>IFERROR(MIN(H82/1000000,100),"")</f>
        <v/>
      </c>
      <c r="AO82" s="20">
        <f>IFERROR(INDEX(FHA_Lookup!$B$2:$B$11,MATCH(TRUE,ISNUMBER(SEARCH(FHA_Lookup!$A$2:$A$11,UPPER(SUBSTITUTE(O82," ","")))),0)),"OTHER")</f>
        <v/>
      </c>
      <c r="AP82" s="20">
        <f>IFERROR(INDEX(FHA_Lookup!$C$2:$C$11,MATCH(TRUE,ISNUMBER(SEARCH(FHA_Lookup!$A$2:$A$11,UPPER(SUBSTITUTE(O82," ","")))),0)),"OTHER")</f>
        <v/>
      </c>
      <c r="AQ82" s="20">
        <f>IF(AP82="NC",1,0)</f>
        <v/>
      </c>
      <c r="AR82" s="20">
        <f>IF(UPPER(TRIM(P82))="AFF",1,0)</f>
        <v/>
      </c>
      <c r="AS82" s="20">
        <f>IF(UPPER(TRIM(P82))="BAF",1,0)</f>
        <v/>
      </c>
      <c r="AT82" s="20">
        <f>IF(UPPER(TRIM(P82))="MKT",1,0)</f>
        <v/>
      </c>
      <c r="AU82" s="20">
        <f>IF(AO82="221d4",1,0)</f>
        <v/>
      </c>
      <c r="AV82" s="20">
        <f>IF(AO82="223a7",1,0)</f>
        <v/>
      </c>
      <c r="AW82" s="20">
        <f>IF(AO82="232",1,0)</f>
        <v/>
      </c>
      <c r="AX82" s="20">
        <f>IF(AO82="538",1,0)</f>
        <v/>
      </c>
      <c r="AY82" s="20">
        <f>IF(AO82="241",1,0)</f>
        <v/>
      </c>
      <c r="AZ82" s="20">
        <f>IF(AO82="220",1,0)</f>
        <v/>
      </c>
      <c r="BA82" s="20">
        <f>IF(AO82="OTHER",1,0)</f>
        <v/>
      </c>
      <c r="BB82" s="20">
        <f>IF(UPPER(TRIM(C82))="LM",1,0)</f>
        <v/>
      </c>
      <c r="BC82" s="20">
        <f>IF(UPPER(TRIM(C82))="PN",1,0)</f>
        <v/>
      </c>
      <c r="BD82" s="20">
        <f>IF(UPPER(TRIM(C82))="LS",1,0)</f>
        <v/>
      </c>
      <c r="BE82" s="20">
        <f>IF(UPPER(TRIM(C82))="RX",1,0)</f>
        <v/>
      </c>
      <c r="BF82" s="22">
        <f>IFERROR((Parameters!$C$6*AM82+Parameters!$C$7*MAX(AM82-(-150),0)+Parameters!$C$8*MAX(AM82-(-50),0)+Parameters!$C$9*MAX(AM82-(0),0)+Parameters!$C$10*MAX(AM82-(50),0)+Parameters!$C$11*MAX(AM82-(100),0)+Parameters!$C$12*MAX(AM82-(150),0)+Parameters!$C$13*MAX(AM82-(250),0)),0)</f>
        <v/>
      </c>
      <c r="BG82" s="22">
        <f>IFERROR((Parameters!$C$14*AA82+Parameters!$C$15*MAX(AA82-(12),0)+Parameters!$C$16*MAX(AA82-(36),0)+Parameters!$C$17*MAX(AA82-(60),0)+Parameters!$C$18*MAX(AA82-(84),0)+Parameters!$C$19*MAX(AA82-(120),0)+Parameters!$C$20*MAX(AA82-(180),0)),0)</f>
        <v/>
      </c>
      <c r="BH82" s="22">
        <f>IFERROR((Parameters!$C$21*AK82+Parameters!$C$22*MAX(AK82-(0),0)+Parameters!$C$23*MAX(AK82-(2),0)+Parameters!$C$24*MAX(AK82-(5),0)+Parameters!$C$25*MAX(AK82-(8),0)),0)</f>
        <v/>
      </c>
      <c r="BI82" s="22">
        <f>IFERROR((Parameters!$C$26*AI82+Parameters!$C$27*MAX(AI82-(-100),0)+Parameters!$C$28*MAX(AI82-(-25),0)+Parameters!$C$29*MAX(AI82-(25),0)+Parameters!$C$30*MAX(AI82-(100),0)),0)</f>
        <v/>
      </c>
      <c r="BJ82" s="22">
        <f>IFERROR((Parameters!$C$31*AN82+Parameters!$C$32*MAX(AN82-(2),0)+Parameters!$C$33*MAX(AN82-(10),0)+Parameters!$C$34*MAX(AN82-(25),0)),0)</f>
        <v/>
      </c>
      <c r="BK82" s="22">
        <f>IFERROR((Parameters!$C$35*AB82+Parameters!$C$36*MAX(AB82-(12),0)+Parameters!$C$37*MAX(AB82-(24),0)+Parameters!$C$38*MAX(AB82-(60),0)),0)</f>
        <v/>
      </c>
      <c r="BL82" s="22">
        <f>IFERROR((Parameters!$C$39*AC82+Parameters!$C$40*MAX(AC82-(6),0)+Parameters!$C$41*MAX(AC82-(12),0)+Parameters!$C$42*MAX(AC82-(24),0)),0)</f>
        <v/>
      </c>
      <c r="BM82" s="22">
        <f>IFERROR(Parameters!$C$43*(MAX(AM82,0)*MIN(MAX(AK82,0),10))/100,0)</f>
        <v/>
      </c>
      <c r="BN82" s="22">
        <f>Parameters!$C$44*AE82</f>
        <v/>
      </c>
      <c r="BO82" s="22">
        <f>Parameters!$C$45*AU82 + Parameters!$C$46*AV82 + Parameters!$C$47*AW82 + Parameters!$C$48*AX82 + Parameters!$C$49*AY82 + Parameters!$C$50*AZ82 + Parameters!$C$51*BA82</f>
        <v/>
      </c>
      <c r="BP82" s="22">
        <f>Parameters!$C$52*AQ82</f>
        <v/>
      </c>
      <c r="BQ82" s="22">
        <f>Parameters!$C$53*AR82+Parameters!$C$54*AS82+Parameters!$C$55*AT82</f>
        <v/>
      </c>
      <c r="BR82" s="22">
        <f>Parameters!$C$56*BB82+Parameters!$C$57*BC82+Parameters!$C$58*BD82+Parameters!$C$59*BE82</f>
        <v/>
      </c>
      <c r="BS82" s="23">
        <f>Parameters!$B$2</f>
        <v/>
      </c>
      <c r="BT82" s="23">
        <f>BS82+BF82 + BG82 + BH82 + BI82 + BJ82 + BK82 + BL82 + BM82 + BN82 + BO82 + BP82 + BQ82 + BR82</f>
        <v/>
      </c>
      <c r="BU82" s="24">
        <f>IF(AD82=1,0,1/(1+EXP(-BT82))*Parameters!$B$3)</f>
        <v/>
      </c>
      <c r="BV82" s="25">
        <f>(1-(1-BU82)^12)*100</f>
        <v/>
      </c>
      <c r="BW82" s="25">
        <f>IF(AD82=1,0,(1-(1-1/(1+EXP(-Parameters!$B$2)))^12)*100)</f>
        <v/>
      </c>
      <c r="BX82" s="25">
        <f>IF(AD82=1,0,BV82-(1-(1-(1/(1+EXP(-(BT82-BF82)))*Parameters!$B$3))^12)*100)</f>
        <v/>
      </c>
      <c r="BY82" s="25">
        <f>IF(AD82=1,0,BV82-(1-(1-(1/(1+EXP(-(BT82-BG82)))*Parameters!$B$3))^12)*100)</f>
        <v/>
      </c>
      <c r="BZ82" s="25">
        <f>IF(AD82=1,0,BV82-(1-(1-(1/(1+EXP(-(BT82-BH82)))*Parameters!$B$3))^12)*100)</f>
        <v/>
      </c>
      <c r="CA82" s="25">
        <f>IF(AD82=1,0,BV82-(1-(1-(1/(1+EXP(-(BT82-BI82)))*Parameters!$B$3))^12)*100)</f>
        <v/>
      </c>
      <c r="CB82" s="25">
        <f>IF(AD82=1,0,BV82-(1-(1-(1/(1+EXP(-(BT82-BJ82)))*Parameters!$B$3))^12)*100)</f>
        <v/>
      </c>
      <c r="CC82" s="25">
        <f>IF(AD82=1,0,BV82-(1-(1-(1/(1+EXP(-(BT82-BK82)))*Parameters!$B$3))^12)*100)</f>
        <v/>
      </c>
      <c r="CD82" s="25">
        <f>IF(AD82=1,0,BV82-(1-(1-(1/(1+EXP(-(BT82-BL82)))*Parameters!$B$3))^12)*100)</f>
        <v/>
      </c>
      <c r="CE82" s="25">
        <f>IF(AD82=1,0,BV82-(1-(1-(1/(1+EXP(-(BT82-BM82)))*Parameters!$B$3))^12)*100)</f>
        <v/>
      </c>
      <c r="CF82" s="25">
        <f>IF(AD82=1,0,BV82-(1-(1-(1/(1+EXP(-(BT82-BN82)))*Parameters!$B$3))^12)*100)</f>
        <v/>
      </c>
      <c r="CG82" s="25">
        <f>IF(AD82=1,0,BV82-(1-(1-(1/(1+EXP(-(BT82-BO82)))*Parameters!$B$3))^12)*100)</f>
        <v/>
      </c>
      <c r="CH82" s="25">
        <f>IF(AD82=1,0,BV82-(1-(1-(1/(1+EXP(-(BT82-BP82)))*Parameters!$B$3))^12)*100)</f>
        <v/>
      </c>
      <c r="CI82" s="25">
        <f>IF(AD82=1,0,BV82-(1-(1-(1/(1+EXP(-(BT82-BQ82)))*Parameters!$B$3))^12)*100)</f>
        <v/>
      </c>
      <c r="CJ82" s="25">
        <f>IF(AD82=1,0,BV82-(1-(1-(1/(1+EXP(-(BT82-BR82)))*Parameters!$B$3))^12)*100)</f>
        <v/>
      </c>
    </row>
    <row r="83">
      <c r="A83" s="17" t="inlineStr">
        <is>
          <t>GNR_2014_SEASONED</t>
        </is>
      </c>
      <c r="B83" s="17" t="inlineStr">
        <is>
          <t>36192SCA6</t>
        </is>
      </c>
      <c r="C83" s="17" t="inlineStr">
        <is>
          <t>PN</t>
        </is>
      </c>
      <c r="D83" s="17" t="inlineStr">
        <is>
          <t>LUMENT REAL ESTATE CAPITAL,LLC</t>
        </is>
      </c>
      <c r="E83" s="17" t="inlineStr">
        <is>
          <t>36192SCA6_000000010211084</t>
        </is>
      </c>
      <c r="F83" s="17" t="n">
        <v>202603</v>
      </c>
      <c r="G83" s="18" t="n">
        <v>3.79</v>
      </c>
      <c r="H83" s="19" t="n">
        <v>1429655.49</v>
      </c>
      <c r="I83" s="17" t="n">
        <v>420</v>
      </c>
      <c r="J83" s="17" t="n">
        <v>20151125</v>
      </c>
      <c r="K83" s="17" t="n">
        <v>20510201</v>
      </c>
      <c r="L83" s="17" t="n"/>
      <c r="M83" s="17" t="n">
        <v>20260301</v>
      </c>
      <c r="N83" s="17" t="n">
        <v>10</v>
      </c>
      <c r="O83" s="17" t="inlineStr">
        <is>
          <t>207/223(F)</t>
        </is>
      </c>
      <c r="P83" s="17" t="inlineStr">
        <is>
          <t>MKT</t>
        </is>
      </c>
      <c r="Q83" s="17" t="n"/>
      <c r="R83" s="17" t="n"/>
      <c r="S83" s="17" t="n"/>
      <c r="T83" s="17" t="inlineStr">
        <is>
          <t>KS</t>
        </is>
      </c>
      <c r="U83" s="17" t="n">
        <v>35</v>
      </c>
      <c r="V83" s="17" t="n">
        <v>490.5</v>
      </c>
      <c r="W83" s="17" t="n">
        <v>124</v>
      </c>
      <c r="X83" s="17" t="n">
        <v>2015</v>
      </c>
      <c r="Y83" s="17" t="n">
        <v>24</v>
      </c>
      <c r="Z83" s="17" t="n">
        <v>0</v>
      </c>
      <c r="AA83" s="20">
        <f>IF(ISNUMBER(W83),W83,IFERROR(MAX(0,(VALUE(LEFT(F83,4))-VALUE(LEFT(TEXT(J83,"00000000"),4)))*12+(VALUE(MID(F83,5,2))-VALUE(MID(TEXT(J83,"00000000"),5,2)))),""))</f>
        <v/>
      </c>
      <c r="AB83" s="20">
        <f>IFERROR((VALUE(LEFT(TEXT(K83,"00000000"),4))-VALUE(LEFT(F83,4)))*12+(VALUE(MID(TEXT(K83,"00000000"),5,2))-VALUE(MID(F83,5,2))),"")</f>
        <v/>
      </c>
      <c r="AC83" s="20">
        <f>IF(OR(L83="",NOT(ISNUMBER(L83))),0,MAX(0,MIN(60,(VALUE(LEFT(F83,4))-VALUE(LEFT(TEXT(L83,"00000000"),4)))*12+(VALUE(MID(F83,5,2))-VALUE(MID(TEXT(L83,"00000000"),5,2))))))</f>
        <v/>
      </c>
      <c r="AD83" s="20">
        <f>IF(OR(L83="",NOT(ISNUMBER(L83))),0,IF(VALUE(F83)&lt;VALUE(LEFT(TEXT(L83,"00000000"),6)),1,0))</f>
        <v/>
      </c>
      <c r="AE83" s="20">
        <f>IF(OR(M83="",NOT(ISNUMBER(M83))),0,IF(VALUE(F83)&lt;VALUE(LEFT(TEXT(M83,"00000000"),6)),1,0))</f>
        <v/>
      </c>
      <c r="AF83" s="20">
        <f>IF(AND(AD83=0,AE83=0),1,0)</f>
        <v/>
      </c>
      <c r="AG83" s="20">
        <f>IF(ISNUMBER(X83),X83,IFERROR(VALUE(LEFT(TEXT(J83,"00000000"),4)),""))</f>
        <v/>
      </c>
      <c r="AH83" s="20">
        <f>IFERROR(XLOOKUP(AG83,Vintage_Rates!$A$2:$A$1000,Vintage_Rates!$B$2:$B$1000,""),"")</f>
        <v/>
      </c>
      <c r="AI83" s="20">
        <f>IF(ISNUMBER(Y83),Y83,IFERROR((G83-AH83)*100,""))</f>
        <v/>
      </c>
      <c r="AJ83" s="20">
        <f>IF(ISNUMBER(V83),V83,IFERROR(XLOOKUP(VALUE(F83),PLC_Rates!$A$2:$A$1000,PLC_Rates!$B$2:$B$1000,""),""))</f>
        <v/>
      </c>
      <c r="AK83" s="20">
        <f>IF(ISNUMBER(Z83),Z83,IF(AE83=0,0,MAX(0,MIN(10,((VALUE(LEFT(TEXT(M83,"00000000"),4))-VALUE(LEFT(F83,4)))*12+(VALUE(MID(TEXT(M83,"00000000"),5,2))-VALUE(MID(F83,5,2))))/12))))</f>
        <v/>
      </c>
      <c r="AL83" s="20">
        <f>IFERROR(G83*100-AJ83,"")</f>
        <v/>
      </c>
      <c r="AM83" s="20">
        <f>IFERROR(G83*100-(AJ83+(1+AK83)*12.5),"")</f>
        <v/>
      </c>
      <c r="AN83" s="21">
        <f>IFERROR(MIN(H83/1000000,100),"")</f>
        <v/>
      </c>
      <c r="AO83" s="20">
        <f>IFERROR(INDEX(FHA_Lookup!$B$2:$B$11,MATCH(TRUE,ISNUMBER(SEARCH(FHA_Lookup!$A$2:$A$11,UPPER(SUBSTITUTE(O83," ","")))),0)),"OTHER")</f>
        <v/>
      </c>
      <c r="AP83" s="20">
        <f>IFERROR(INDEX(FHA_Lookup!$C$2:$C$11,MATCH(TRUE,ISNUMBER(SEARCH(FHA_Lookup!$A$2:$A$11,UPPER(SUBSTITUTE(O83," ","")))),0)),"OTHER")</f>
        <v/>
      </c>
      <c r="AQ83" s="20">
        <f>IF(AP83="NC",1,0)</f>
        <v/>
      </c>
      <c r="AR83" s="20">
        <f>IF(UPPER(TRIM(P83))="AFF",1,0)</f>
        <v/>
      </c>
      <c r="AS83" s="20">
        <f>IF(UPPER(TRIM(P83))="BAF",1,0)</f>
        <v/>
      </c>
      <c r="AT83" s="20">
        <f>IF(UPPER(TRIM(P83))="MKT",1,0)</f>
        <v/>
      </c>
      <c r="AU83" s="20">
        <f>IF(AO83="221d4",1,0)</f>
        <v/>
      </c>
      <c r="AV83" s="20">
        <f>IF(AO83="223a7",1,0)</f>
        <v/>
      </c>
      <c r="AW83" s="20">
        <f>IF(AO83="232",1,0)</f>
        <v/>
      </c>
      <c r="AX83" s="20">
        <f>IF(AO83="538",1,0)</f>
        <v/>
      </c>
      <c r="AY83" s="20">
        <f>IF(AO83="241",1,0)</f>
        <v/>
      </c>
      <c r="AZ83" s="20">
        <f>IF(AO83="220",1,0)</f>
        <v/>
      </c>
      <c r="BA83" s="20">
        <f>IF(AO83="OTHER",1,0)</f>
        <v/>
      </c>
      <c r="BB83" s="20">
        <f>IF(UPPER(TRIM(C83))="LM",1,0)</f>
        <v/>
      </c>
      <c r="BC83" s="20">
        <f>IF(UPPER(TRIM(C83))="PN",1,0)</f>
        <v/>
      </c>
      <c r="BD83" s="20">
        <f>IF(UPPER(TRIM(C83))="LS",1,0)</f>
        <v/>
      </c>
      <c r="BE83" s="20">
        <f>IF(UPPER(TRIM(C83))="RX",1,0)</f>
        <v/>
      </c>
      <c r="BF83" s="22">
        <f>IFERROR((Parameters!$C$6*AM83+Parameters!$C$7*MAX(AM83-(-150),0)+Parameters!$C$8*MAX(AM83-(-50),0)+Parameters!$C$9*MAX(AM83-(0),0)+Parameters!$C$10*MAX(AM83-(50),0)+Parameters!$C$11*MAX(AM83-(100),0)+Parameters!$C$12*MAX(AM83-(150),0)+Parameters!$C$13*MAX(AM83-(250),0)),0)</f>
        <v/>
      </c>
      <c r="BG83" s="22">
        <f>IFERROR((Parameters!$C$14*AA83+Parameters!$C$15*MAX(AA83-(12),0)+Parameters!$C$16*MAX(AA83-(36),0)+Parameters!$C$17*MAX(AA83-(60),0)+Parameters!$C$18*MAX(AA83-(84),0)+Parameters!$C$19*MAX(AA83-(120),0)+Parameters!$C$20*MAX(AA83-(180),0)),0)</f>
        <v/>
      </c>
      <c r="BH83" s="22">
        <f>IFERROR((Parameters!$C$21*AK83+Parameters!$C$22*MAX(AK83-(0),0)+Parameters!$C$23*MAX(AK83-(2),0)+Parameters!$C$24*MAX(AK83-(5),0)+Parameters!$C$25*MAX(AK83-(8),0)),0)</f>
        <v/>
      </c>
      <c r="BI83" s="22">
        <f>IFERROR((Parameters!$C$26*AI83+Parameters!$C$27*MAX(AI83-(-100),0)+Parameters!$C$28*MAX(AI83-(-25),0)+Parameters!$C$29*MAX(AI83-(25),0)+Parameters!$C$30*MAX(AI83-(100),0)),0)</f>
        <v/>
      </c>
      <c r="BJ83" s="22">
        <f>IFERROR((Parameters!$C$31*AN83+Parameters!$C$32*MAX(AN83-(2),0)+Parameters!$C$33*MAX(AN83-(10),0)+Parameters!$C$34*MAX(AN83-(25),0)),0)</f>
        <v/>
      </c>
      <c r="BK83" s="22">
        <f>IFERROR((Parameters!$C$35*AB83+Parameters!$C$36*MAX(AB83-(12),0)+Parameters!$C$37*MAX(AB83-(24),0)+Parameters!$C$38*MAX(AB83-(60),0)),0)</f>
        <v/>
      </c>
      <c r="BL83" s="22">
        <f>IFERROR((Parameters!$C$39*AC83+Parameters!$C$40*MAX(AC83-(6),0)+Parameters!$C$41*MAX(AC83-(12),0)+Parameters!$C$42*MAX(AC83-(24),0)),0)</f>
        <v/>
      </c>
      <c r="BM83" s="22">
        <f>IFERROR(Parameters!$C$43*(MAX(AM83,0)*MIN(MAX(AK83,0),10))/100,0)</f>
        <v/>
      </c>
      <c r="BN83" s="22">
        <f>Parameters!$C$44*AE83</f>
        <v/>
      </c>
      <c r="BO83" s="22">
        <f>Parameters!$C$45*AU83 + Parameters!$C$46*AV83 + Parameters!$C$47*AW83 + Parameters!$C$48*AX83 + Parameters!$C$49*AY83 + Parameters!$C$50*AZ83 + Parameters!$C$51*BA83</f>
        <v/>
      </c>
      <c r="BP83" s="22">
        <f>Parameters!$C$52*AQ83</f>
        <v/>
      </c>
      <c r="BQ83" s="22">
        <f>Parameters!$C$53*AR83+Parameters!$C$54*AS83+Parameters!$C$55*AT83</f>
        <v/>
      </c>
      <c r="BR83" s="22">
        <f>Parameters!$C$56*BB83+Parameters!$C$57*BC83+Parameters!$C$58*BD83+Parameters!$C$59*BE83</f>
        <v/>
      </c>
      <c r="BS83" s="23">
        <f>Parameters!$B$2</f>
        <v/>
      </c>
      <c r="BT83" s="23">
        <f>BS83+BF83 + BG83 + BH83 + BI83 + BJ83 + BK83 + BL83 + BM83 + BN83 + BO83 + BP83 + BQ83 + BR83</f>
        <v/>
      </c>
      <c r="BU83" s="24">
        <f>IF(AD83=1,0,1/(1+EXP(-BT83))*Parameters!$B$3)</f>
        <v/>
      </c>
      <c r="BV83" s="25">
        <f>(1-(1-BU83)^12)*100</f>
        <v/>
      </c>
      <c r="BW83" s="25">
        <f>IF(AD83=1,0,(1-(1-1/(1+EXP(-Parameters!$B$2)))^12)*100)</f>
        <v/>
      </c>
      <c r="BX83" s="25">
        <f>IF(AD83=1,0,BV83-(1-(1-(1/(1+EXP(-(BT83-BF83)))*Parameters!$B$3))^12)*100)</f>
        <v/>
      </c>
      <c r="BY83" s="25">
        <f>IF(AD83=1,0,BV83-(1-(1-(1/(1+EXP(-(BT83-BG83)))*Parameters!$B$3))^12)*100)</f>
        <v/>
      </c>
      <c r="BZ83" s="25">
        <f>IF(AD83=1,0,BV83-(1-(1-(1/(1+EXP(-(BT83-BH83)))*Parameters!$B$3))^12)*100)</f>
        <v/>
      </c>
      <c r="CA83" s="25">
        <f>IF(AD83=1,0,BV83-(1-(1-(1/(1+EXP(-(BT83-BI83)))*Parameters!$B$3))^12)*100)</f>
        <v/>
      </c>
      <c r="CB83" s="25">
        <f>IF(AD83=1,0,BV83-(1-(1-(1/(1+EXP(-(BT83-BJ83)))*Parameters!$B$3))^12)*100)</f>
        <v/>
      </c>
      <c r="CC83" s="25">
        <f>IF(AD83=1,0,BV83-(1-(1-(1/(1+EXP(-(BT83-BK83)))*Parameters!$B$3))^12)*100)</f>
        <v/>
      </c>
      <c r="CD83" s="25">
        <f>IF(AD83=1,0,BV83-(1-(1-(1/(1+EXP(-(BT83-BL83)))*Parameters!$B$3))^12)*100)</f>
        <v/>
      </c>
      <c r="CE83" s="25">
        <f>IF(AD83=1,0,BV83-(1-(1-(1/(1+EXP(-(BT83-BM83)))*Parameters!$B$3))^12)*100)</f>
        <v/>
      </c>
      <c r="CF83" s="25">
        <f>IF(AD83=1,0,BV83-(1-(1-(1/(1+EXP(-(BT83-BN83)))*Parameters!$B$3))^12)*100)</f>
        <v/>
      </c>
      <c r="CG83" s="25">
        <f>IF(AD83=1,0,BV83-(1-(1-(1/(1+EXP(-(BT83-BO83)))*Parameters!$B$3))^12)*100)</f>
        <v/>
      </c>
      <c r="CH83" s="25">
        <f>IF(AD83=1,0,BV83-(1-(1-(1/(1+EXP(-(BT83-BP83)))*Parameters!$B$3))^12)*100)</f>
        <v/>
      </c>
      <c r="CI83" s="25">
        <f>IF(AD83=1,0,BV83-(1-(1-(1/(1+EXP(-(BT83-BQ83)))*Parameters!$B$3))^12)*100)</f>
        <v/>
      </c>
      <c r="CJ83" s="25">
        <f>IF(AD83=1,0,BV83-(1-(1-(1/(1+EXP(-(BT83-BR83)))*Parameters!$B$3))^12)*100)</f>
        <v/>
      </c>
    </row>
    <row r="84">
      <c r="A84" s="17" t="inlineStr">
        <is>
          <t>GNR_2014_SEASONED</t>
        </is>
      </c>
      <c r="B84" s="17" t="inlineStr">
        <is>
          <t>36187SSW8</t>
        </is>
      </c>
      <c r="C84" s="17" t="inlineStr">
        <is>
          <t>PN</t>
        </is>
      </c>
      <c r="D84" s="17" t="inlineStr">
        <is>
          <t>LUMENT REAL ESTATE CAPITAL,LLC</t>
        </is>
      </c>
      <c r="E84" s="17" t="inlineStr">
        <is>
          <t>36187SSW8_000000011535734</t>
        </is>
      </c>
      <c r="F84" s="17" t="n">
        <v>202603</v>
      </c>
      <c r="G84" s="18" t="n">
        <v>3.65</v>
      </c>
      <c r="H84" s="19" t="n">
        <v>20267851.57</v>
      </c>
      <c r="I84" s="17" t="n">
        <v>498</v>
      </c>
      <c r="J84" s="17" t="n">
        <v>20150826</v>
      </c>
      <c r="K84" s="17" t="n">
        <v>20570301</v>
      </c>
      <c r="L84" s="17" t="n"/>
      <c r="M84" s="17" t="n">
        <v>20270401</v>
      </c>
      <c r="N84" s="17" t="n">
        <v>10</v>
      </c>
      <c r="O84" s="17" t="inlineStr">
        <is>
          <t>221(D)(4)</t>
        </is>
      </c>
      <c r="P84" s="17" t="inlineStr">
        <is>
          <t>MKT</t>
        </is>
      </c>
      <c r="Q84" s="17" t="n"/>
      <c r="R84" s="17" t="n"/>
      <c r="S84" s="17" t="n"/>
      <c r="T84" s="17" t="inlineStr">
        <is>
          <t>TX</t>
        </is>
      </c>
      <c r="U84" s="17" t="n">
        <v>216</v>
      </c>
      <c r="V84" s="17" t="n">
        <v>490.5</v>
      </c>
      <c r="W84" s="17" t="n">
        <v>127</v>
      </c>
      <c r="X84" s="17" t="n">
        <v>2015</v>
      </c>
      <c r="Y84" s="17" t="n">
        <v>10</v>
      </c>
      <c r="Z84" s="17" t="n">
        <v>2</v>
      </c>
      <c r="AA84" s="20">
        <f>IF(ISNUMBER(W84),W84,IFERROR(MAX(0,(VALUE(LEFT(F84,4))-VALUE(LEFT(TEXT(J84,"00000000"),4)))*12+(VALUE(MID(F84,5,2))-VALUE(MID(TEXT(J84,"00000000"),5,2)))),""))</f>
        <v/>
      </c>
      <c r="AB84" s="20">
        <f>IFERROR((VALUE(LEFT(TEXT(K84,"00000000"),4))-VALUE(LEFT(F84,4)))*12+(VALUE(MID(TEXT(K84,"00000000"),5,2))-VALUE(MID(F84,5,2))),"")</f>
        <v/>
      </c>
      <c r="AC84" s="20">
        <f>IF(OR(L84="",NOT(ISNUMBER(L84))),0,MAX(0,MIN(60,(VALUE(LEFT(F84,4))-VALUE(LEFT(TEXT(L84,"00000000"),4)))*12+(VALUE(MID(F84,5,2))-VALUE(MID(TEXT(L84,"00000000"),5,2))))))</f>
        <v/>
      </c>
      <c r="AD84" s="20">
        <f>IF(OR(L84="",NOT(ISNUMBER(L84))),0,IF(VALUE(F84)&lt;VALUE(LEFT(TEXT(L84,"00000000"),6)),1,0))</f>
        <v/>
      </c>
      <c r="AE84" s="20">
        <f>IF(OR(M84="",NOT(ISNUMBER(M84))),0,IF(VALUE(F84)&lt;VALUE(LEFT(TEXT(M84,"00000000"),6)),1,0))</f>
        <v/>
      </c>
      <c r="AF84" s="20">
        <f>IF(AND(AD84=0,AE84=0),1,0)</f>
        <v/>
      </c>
      <c r="AG84" s="20">
        <f>IF(ISNUMBER(X84),X84,IFERROR(VALUE(LEFT(TEXT(J84,"00000000"),4)),""))</f>
        <v/>
      </c>
      <c r="AH84" s="20">
        <f>IFERROR(XLOOKUP(AG84,Vintage_Rates!$A$2:$A$1000,Vintage_Rates!$B$2:$B$1000,""),"")</f>
        <v/>
      </c>
      <c r="AI84" s="20">
        <f>IF(ISNUMBER(Y84),Y84,IFERROR((G84-AH84)*100,""))</f>
        <v/>
      </c>
      <c r="AJ84" s="20">
        <f>IF(ISNUMBER(V84),V84,IFERROR(XLOOKUP(VALUE(F84),PLC_Rates!$A$2:$A$1000,PLC_Rates!$B$2:$B$1000,""),""))</f>
        <v/>
      </c>
      <c r="AK84" s="20">
        <f>IF(ISNUMBER(Z84),Z84,IF(AE84=0,0,MAX(0,MIN(10,((VALUE(LEFT(TEXT(M84,"00000000"),4))-VALUE(LEFT(F84,4)))*12+(VALUE(MID(TEXT(M84,"00000000"),5,2))-VALUE(MID(F84,5,2))))/12))))</f>
        <v/>
      </c>
      <c r="AL84" s="20">
        <f>IFERROR(G84*100-AJ84,"")</f>
        <v/>
      </c>
      <c r="AM84" s="20">
        <f>IFERROR(G84*100-(AJ84+(1+AK84)*12.5),"")</f>
        <v/>
      </c>
      <c r="AN84" s="21">
        <f>IFERROR(MIN(H84/1000000,100),"")</f>
        <v/>
      </c>
      <c r="AO84" s="20">
        <f>IFERROR(INDEX(FHA_Lookup!$B$2:$B$11,MATCH(TRUE,ISNUMBER(SEARCH(FHA_Lookup!$A$2:$A$11,UPPER(SUBSTITUTE(O84," ","")))),0)),"OTHER")</f>
        <v/>
      </c>
      <c r="AP84" s="20">
        <f>IFERROR(INDEX(FHA_Lookup!$C$2:$C$11,MATCH(TRUE,ISNUMBER(SEARCH(FHA_Lookup!$A$2:$A$11,UPPER(SUBSTITUTE(O84," ","")))),0)),"OTHER")</f>
        <v/>
      </c>
      <c r="AQ84" s="20">
        <f>IF(AP84="NC",1,0)</f>
        <v/>
      </c>
      <c r="AR84" s="20">
        <f>IF(UPPER(TRIM(P84))="AFF",1,0)</f>
        <v/>
      </c>
      <c r="AS84" s="20">
        <f>IF(UPPER(TRIM(P84))="BAF",1,0)</f>
        <v/>
      </c>
      <c r="AT84" s="20">
        <f>IF(UPPER(TRIM(P84))="MKT",1,0)</f>
        <v/>
      </c>
      <c r="AU84" s="20">
        <f>IF(AO84="221d4",1,0)</f>
        <v/>
      </c>
      <c r="AV84" s="20">
        <f>IF(AO84="223a7",1,0)</f>
        <v/>
      </c>
      <c r="AW84" s="20">
        <f>IF(AO84="232",1,0)</f>
        <v/>
      </c>
      <c r="AX84" s="20">
        <f>IF(AO84="538",1,0)</f>
        <v/>
      </c>
      <c r="AY84" s="20">
        <f>IF(AO84="241",1,0)</f>
        <v/>
      </c>
      <c r="AZ84" s="20">
        <f>IF(AO84="220",1,0)</f>
        <v/>
      </c>
      <c r="BA84" s="20">
        <f>IF(AO84="OTHER",1,0)</f>
        <v/>
      </c>
      <c r="BB84" s="20">
        <f>IF(UPPER(TRIM(C84))="LM",1,0)</f>
        <v/>
      </c>
      <c r="BC84" s="20">
        <f>IF(UPPER(TRIM(C84))="PN",1,0)</f>
        <v/>
      </c>
      <c r="BD84" s="20">
        <f>IF(UPPER(TRIM(C84))="LS",1,0)</f>
        <v/>
      </c>
      <c r="BE84" s="20">
        <f>IF(UPPER(TRIM(C84))="RX",1,0)</f>
        <v/>
      </c>
      <c r="BF84" s="22">
        <f>IFERROR((Parameters!$C$6*AM84+Parameters!$C$7*MAX(AM84-(-150),0)+Parameters!$C$8*MAX(AM84-(-50),0)+Parameters!$C$9*MAX(AM84-(0),0)+Parameters!$C$10*MAX(AM84-(50),0)+Parameters!$C$11*MAX(AM84-(100),0)+Parameters!$C$12*MAX(AM84-(150),0)+Parameters!$C$13*MAX(AM84-(250),0)),0)</f>
        <v/>
      </c>
      <c r="BG84" s="22">
        <f>IFERROR((Parameters!$C$14*AA84+Parameters!$C$15*MAX(AA84-(12),0)+Parameters!$C$16*MAX(AA84-(36),0)+Parameters!$C$17*MAX(AA84-(60),0)+Parameters!$C$18*MAX(AA84-(84),0)+Parameters!$C$19*MAX(AA84-(120),0)+Parameters!$C$20*MAX(AA84-(180),0)),0)</f>
        <v/>
      </c>
      <c r="BH84" s="22">
        <f>IFERROR((Parameters!$C$21*AK84+Parameters!$C$22*MAX(AK84-(0),0)+Parameters!$C$23*MAX(AK84-(2),0)+Parameters!$C$24*MAX(AK84-(5),0)+Parameters!$C$25*MAX(AK84-(8),0)),0)</f>
        <v/>
      </c>
      <c r="BI84" s="22">
        <f>IFERROR((Parameters!$C$26*AI84+Parameters!$C$27*MAX(AI84-(-100),0)+Parameters!$C$28*MAX(AI84-(-25),0)+Parameters!$C$29*MAX(AI84-(25),0)+Parameters!$C$30*MAX(AI84-(100),0)),0)</f>
        <v/>
      </c>
      <c r="BJ84" s="22">
        <f>IFERROR((Parameters!$C$31*AN84+Parameters!$C$32*MAX(AN84-(2),0)+Parameters!$C$33*MAX(AN84-(10),0)+Parameters!$C$34*MAX(AN84-(25),0)),0)</f>
        <v/>
      </c>
      <c r="BK84" s="22">
        <f>IFERROR((Parameters!$C$35*AB84+Parameters!$C$36*MAX(AB84-(12),0)+Parameters!$C$37*MAX(AB84-(24),0)+Parameters!$C$38*MAX(AB84-(60),0)),0)</f>
        <v/>
      </c>
      <c r="BL84" s="22">
        <f>IFERROR((Parameters!$C$39*AC84+Parameters!$C$40*MAX(AC84-(6),0)+Parameters!$C$41*MAX(AC84-(12),0)+Parameters!$C$42*MAX(AC84-(24),0)),0)</f>
        <v/>
      </c>
      <c r="BM84" s="22">
        <f>IFERROR(Parameters!$C$43*(MAX(AM84,0)*MIN(MAX(AK84,0),10))/100,0)</f>
        <v/>
      </c>
      <c r="BN84" s="22">
        <f>Parameters!$C$44*AE84</f>
        <v/>
      </c>
      <c r="BO84" s="22">
        <f>Parameters!$C$45*AU84 + Parameters!$C$46*AV84 + Parameters!$C$47*AW84 + Parameters!$C$48*AX84 + Parameters!$C$49*AY84 + Parameters!$C$50*AZ84 + Parameters!$C$51*BA84</f>
        <v/>
      </c>
      <c r="BP84" s="22">
        <f>Parameters!$C$52*AQ84</f>
        <v/>
      </c>
      <c r="BQ84" s="22">
        <f>Parameters!$C$53*AR84+Parameters!$C$54*AS84+Parameters!$C$55*AT84</f>
        <v/>
      </c>
      <c r="BR84" s="22">
        <f>Parameters!$C$56*BB84+Parameters!$C$57*BC84+Parameters!$C$58*BD84+Parameters!$C$59*BE84</f>
        <v/>
      </c>
      <c r="BS84" s="23">
        <f>Parameters!$B$2</f>
        <v/>
      </c>
      <c r="BT84" s="23">
        <f>BS84+BF84 + BG84 + BH84 + BI84 + BJ84 + BK84 + BL84 + BM84 + BN84 + BO84 + BP84 + BQ84 + BR84</f>
        <v/>
      </c>
      <c r="BU84" s="24">
        <f>IF(AD84=1,0,1/(1+EXP(-BT84))*Parameters!$B$3)</f>
        <v/>
      </c>
      <c r="BV84" s="25">
        <f>(1-(1-BU84)^12)*100</f>
        <v/>
      </c>
      <c r="BW84" s="25">
        <f>IF(AD84=1,0,(1-(1-1/(1+EXP(-Parameters!$B$2)))^12)*100)</f>
        <v/>
      </c>
      <c r="BX84" s="25">
        <f>IF(AD84=1,0,BV84-(1-(1-(1/(1+EXP(-(BT84-BF84)))*Parameters!$B$3))^12)*100)</f>
        <v/>
      </c>
      <c r="BY84" s="25">
        <f>IF(AD84=1,0,BV84-(1-(1-(1/(1+EXP(-(BT84-BG84)))*Parameters!$B$3))^12)*100)</f>
        <v/>
      </c>
      <c r="BZ84" s="25">
        <f>IF(AD84=1,0,BV84-(1-(1-(1/(1+EXP(-(BT84-BH84)))*Parameters!$B$3))^12)*100)</f>
        <v/>
      </c>
      <c r="CA84" s="25">
        <f>IF(AD84=1,0,BV84-(1-(1-(1/(1+EXP(-(BT84-BI84)))*Parameters!$B$3))^12)*100)</f>
        <v/>
      </c>
      <c r="CB84" s="25">
        <f>IF(AD84=1,0,BV84-(1-(1-(1/(1+EXP(-(BT84-BJ84)))*Parameters!$B$3))^12)*100)</f>
        <v/>
      </c>
      <c r="CC84" s="25">
        <f>IF(AD84=1,0,BV84-(1-(1-(1/(1+EXP(-(BT84-BK84)))*Parameters!$B$3))^12)*100)</f>
        <v/>
      </c>
      <c r="CD84" s="25">
        <f>IF(AD84=1,0,BV84-(1-(1-(1/(1+EXP(-(BT84-BL84)))*Parameters!$B$3))^12)*100)</f>
        <v/>
      </c>
      <c r="CE84" s="25">
        <f>IF(AD84=1,0,BV84-(1-(1-(1/(1+EXP(-(BT84-BM84)))*Parameters!$B$3))^12)*100)</f>
        <v/>
      </c>
      <c r="CF84" s="25">
        <f>IF(AD84=1,0,BV84-(1-(1-(1/(1+EXP(-(BT84-BN84)))*Parameters!$B$3))^12)*100)</f>
        <v/>
      </c>
      <c r="CG84" s="25">
        <f>IF(AD84=1,0,BV84-(1-(1-(1/(1+EXP(-(BT84-BO84)))*Parameters!$B$3))^12)*100)</f>
        <v/>
      </c>
      <c r="CH84" s="25">
        <f>IF(AD84=1,0,BV84-(1-(1-(1/(1+EXP(-(BT84-BP84)))*Parameters!$B$3))^12)*100)</f>
        <v/>
      </c>
      <c r="CI84" s="25">
        <f>IF(AD84=1,0,BV84-(1-(1-(1/(1+EXP(-(BT84-BQ84)))*Parameters!$B$3))^12)*100)</f>
        <v/>
      </c>
      <c r="CJ84" s="25">
        <f>IF(AD84=1,0,BV84-(1-(1-(1/(1+EXP(-(BT84-BR84)))*Parameters!$B$3))^12)*100)</f>
        <v/>
      </c>
    </row>
    <row r="85">
      <c r="A85" s="17" t="inlineStr">
        <is>
          <t>GNR_2014_SEASONED</t>
        </is>
      </c>
      <c r="B85" s="17" t="inlineStr">
        <is>
          <t>36184SBY5</t>
        </is>
      </c>
      <c r="C85" s="17" t="inlineStr">
        <is>
          <t>PN</t>
        </is>
      </c>
      <c r="D85" s="17" t="inlineStr">
        <is>
          <t>NORTHMARQ FINANCE, LLC</t>
        </is>
      </c>
      <c r="E85" s="17" t="inlineStr">
        <is>
          <t>36184SBY5_000000006111333</t>
        </is>
      </c>
      <c r="F85" s="17" t="n">
        <v>202603</v>
      </c>
      <c r="G85" s="18" t="n">
        <v>3.6</v>
      </c>
      <c r="H85" s="19" t="n">
        <v>1107257.47</v>
      </c>
      <c r="I85" s="17" t="n">
        <v>312</v>
      </c>
      <c r="J85" s="17" t="n">
        <v>20140116</v>
      </c>
      <c r="K85" s="17" t="n">
        <v>20411201</v>
      </c>
      <c r="L85" s="17" t="n"/>
      <c r="M85" s="17" t="n">
        <v>20260101</v>
      </c>
      <c r="N85" s="17" t="n">
        <v>10</v>
      </c>
      <c r="O85" s="17" t="inlineStr">
        <is>
          <t>207/223(F)</t>
        </is>
      </c>
      <c r="P85" s="17" t="inlineStr">
        <is>
          <t>MKT</t>
        </is>
      </c>
      <c r="Q85" s="17" t="n"/>
      <c r="R85" s="17" t="n"/>
      <c r="S85" s="17" t="n"/>
      <c r="T85" s="17" t="inlineStr">
        <is>
          <t>GA</t>
        </is>
      </c>
      <c r="U85" s="17" t="n">
        <v>134</v>
      </c>
      <c r="V85" s="17" t="n">
        <v>490.5</v>
      </c>
      <c r="W85" s="17" t="n">
        <v>146</v>
      </c>
      <c r="X85" s="17" t="n">
        <v>2014</v>
      </c>
      <c r="Y85" s="17" t="n">
        <v>-25</v>
      </c>
      <c r="Z85" s="17" t="n">
        <v>0</v>
      </c>
      <c r="AA85" s="20">
        <f>IF(ISNUMBER(W85),W85,IFERROR(MAX(0,(VALUE(LEFT(F85,4))-VALUE(LEFT(TEXT(J85,"00000000"),4)))*12+(VALUE(MID(F85,5,2))-VALUE(MID(TEXT(J85,"00000000"),5,2)))),""))</f>
        <v/>
      </c>
      <c r="AB85" s="20">
        <f>IFERROR((VALUE(LEFT(TEXT(K85,"00000000"),4))-VALUE(LEFT(F85,4)))*12+(VALUE(MID(TEXT(K85,"00000000"),5,2))-VALUE(MID(F85,5,2))),"")</f>
        <v/>
      </c>
      <c r="AC85" s="20">
        <f>IF(OR(L85="",NOT(ISNUMBER(L85))),0,MAX(0,MIN(60,(VALUE(LEFT(F85,4))-VALUE(LEFT(TEXT(L85,"00000000"),4)))*12+(VALUE(MID(F85,5,2))-VALUE(MID(TEXT(L85,"00000000"),5,2))))))</f>
        <v/>
      </c>
      <c r="AD85" s="20">
        <f>IF(OR(L85="",NOT(ISNUMBER(L85))),0,IF(VALUE(F85)&lt;VALUE(LEFT(TEXT(L85,"00000000"),6)),1,0))</f>
        <v/>
      </c>
      <c r="AE85" s="20">
        <f>IF(OR(M85="",NOT(ISNUMBER(M85))),0,IF(VALUE(F85)&lt;VALUE(LEFT(TEXT(M85,"00000000"),6)),1,0))</f>
        <v/>
      </c>
      <c r="AF85" s="20">
        <f>IF(AND(AD85=0,AE85=0),1,0)</f>
        <v/>
      </c>
      <c r="AG85" s="20">
        <f>IF(ISNUMBER(X85),X85,IFERROR(VALUE(LEFT(TEXT(J85,"00000000"),4)),""))</f>
        <v/>
      </c>
      <c r="AH85" s="20">
        <f>IFERROR(XLOOKUP(AG85,Vintage_Rates!$A$2:$A$1000,Vintage_Rates!$B$2:$B$1000,""),"")</f>
        <v/>
      </c>
      <c r="AI85" s="20">
        <f>IF(ISNUMBER(Y85),Y85,IFERROR((G85-AH85)*100,""))</f>
        <v/>
      </c>
      <c r="AJ85" s="20">
        <f>IF(ISNUMBER(V85),V85,IFERROR(XLOOKUP(VALUE(F85),PLC_Rates!$A$2:$A$1000,PLC_Rates!$B$2:$B$1000,""),""))</f>
        <v/>
      </c>
      <c r="AK85" s="20">
        <f>IF(ISNUMBER(Z85),Z85,IF(AE85=0,0,MAX(0,MIN(10,((VALUE(LEFT(TEXT(M85,"00000000"),4))-VALUE(LEFT(F85,4)))*12+(VALUE(MID(TEXT(M85,"00000000"),5,2))-VALUE(MID(F85,5,2))))/12))))</f>
        <v/>
      </c>
      <c r="AL85" s="20">
        <f>IFERROR(G85*100-AJ85,"")</f>
        <v/>
      </c>
      <c r="AM85" s="20">
        <f>IFERROR(G85*100-(AJ85+(1+AK85)*12.5),"")</f>
        <v/>
      </c>
      <c r="AN85" s="21">
        <f>IFERROR(MIN(H85/1000000,100),"")</f>
        <v/>
      </c>
      <c r="AO85" s="20">
        <f>IFERROR(INDEX(FHA_Lookup!$B$2:$B$11,MATCH(TRUE,ISNUMBER(SEARCH(FHA_Lookup!$A$2:$A$11,UPPER(SUBSTITUTE(O85," ","")))),0)),"OTHER")</f>
        <v/>
      </c>
      <c r="AP85" s="20">
        <f>IFERROR(INDEX(FHA_Lookup!$C$2:$C$11,MATCH(TRUE,ISNUMBER(SEARCH(FHA_Lookup!$A$2:$A$11,UPPER(SUBSTITUTE(O85," ","")))),0)),"OTHER")</f>
        <v/>
      </c>
      <c r="AQ85" s="20">
        <f>IF(AP85="NC",1,0)</f>
        <v/>
      </c>
      <c r="AR85" s="20">
        <f>IF(UPPER(TRIM(P85))="AFF",1,0)</f>
        <v/>
      </c>
      <c r="AS85" s="20">
        <f>IF(UPPER(TRIM(P85))="BAF",1,0)</f>
        <v/>
      </c>
      <c r="AT85" s="20">
        <f>IF(UPPER(TRIM(P85))="MKT",1,0)</f>
        <v/>
      </c>
      <c r="AU85" s="20">
        <f>IF(AO85="221d4",1,0)</f>
        <v/>
      </c>
      <c r="AV85" s="20">
        <f>IF(AO85="223a7",1,0)</f>
        <v/>
      </c>
      <c r="AW85" s="20">
        <f>IF(AO85="232",1,0)</f>
        <v/>
      </c>
      <c r="AX85" s="20">
        <f>IF(AO85="538",1,0)</f>
        <v/>
      </c>
      <c r="AY85" s="20">
        <f>IF(AO85="241",1,0)</f>
        <v/>
      </c>
      <c r="AZ85" s="20">
        <f>IF(AO85="220",1,0)</f>
        <v/>
      </c>
      <c r="BA85" s="20">
        <f>IF(AO85="OTHER",1,0)</f>
        <v/>
      </c>
      <c r="BB85" s="20">
        <f>IF(UPPER(TRIM(C85))="LM",1,0)</f>
        <v/>
      </c>
      <c r="BC85" s="20">
        <f>IF(UPPER(TRIM(C85))="PN",1,0)</f>
        <v/>
      </c>
      <c r="BD85" s="20">
        <f>IF(UPPER(TRIM(C85))="LS",1,0)</f>
        <v/>
      </c>
      <c r="BE85" s="20">
        <f>IF(UPPER(TRIM(C85))="RX",1,0)</f>
        <v/>
      </c>
      <c r="BF85" s="22">
        <f>IFERROR((Parameters!$C$6*AM85+Parameters!$C$7*MAX(AM85-(-150),0)+Parameters!$C$8*MAX(AM85-(-50),0)+Parameters!$C$9*MAX(AM85-(0),0)+Parameters!$C$10*MAX(AM85-(50),0)+Parameters!$C$11*MAX(AM85-(100),0)+Parameters!$C$12*MAX(AM85-(150),0)+Parameters!$C$13*MAX(AM85-(250),0)),0)</f>
        <v/>
      </c>
      <c r="BG85" s="22">
        <f>IFERROR((Parameters!$C$14*AA85+Parameters!$C$15*MAX(AA85-(12),0)+Parameters!$C$16*MAX(AA85-(36),0)+Parameters!$C$17*MAX(AA85-(60),0)+Parameters!$C$18*MAX(AA85-(84),0)+Parameters!$C$19*MAX(AA85-(120),0)+Parameters!$C$20*MAX(AA85-(180),0)),0)</f>
        <v/>
      </c>
      <c r="BH85" s="22">
        <f>IFERROR((Parameters!$C$21*AK85+Parameters!$C$22*MAX(AK85-(0),0)+Parameters!$C$23*MAX(AK85-(2),0)+Parameters!$C$24*MAX(AK85-(5),0)+Parameters!$C$25*MAX(AK85-(8),0)),0)</f>
        <v/>
      </c>
      <c r="BI85" s="22">
        <f>IFERROR((Parameters!$C$26*AI85+Parameters!$C$27*MAX(AI85-(-100),0)+Parameters!$C$28*MAX(AI85-(-25),0)+Parameters!$C$29*MAX(AI85-(25),0)+Parameters!$C$30*MAX(AI85-(100),0)),0)</f>
        <v/>
      </c>
      <c r="BJ85" s="22">
        <f>IFERROR((Parameters!$C$31*AN85+Parameters!$C$32*MAX(AN85-(2),0)+Parameters!$C$33*MAX(AN85-(10),0)+Parameters!$C$34*MAX(AN85-(25),0)),0)</f>
        <v/>
      </c>
      <c r="BK85" s="22">
        <f>IFERROR((Parameters!$C$35*AB85+Parameters!$C$36*MAX(AB85-(12),0)+Parameters!$C$37*MAX(AB85-(24),0)+Parameters!$C$38*MAX(AB85-(60),0)),0)</f>
        <v/>
      </c>
      <c r="BL85" s="22">
        <f>IFERROR((Parameters!$C$39*AC85+Parameters!$C$40*MAX(AC85-(6),0)+Parameters!$C$41*MAX(AC85-(12),0)+Parameters!$C$42*MAX(AC85-(24),0)),0)</f>
        <v/>
      </c>
      <c r="BM85" s="22">
        <f>IFERROR(Parameters!$C$43*(MAX(AM85,0)*MIN(MAX(AK85,0),10))/100,0)</f>
        <v/>
      </c>
      <c r="BN85" s="22">
        <f>Parameters!$C$44*AE85</f>
        <v/>
      </c>
      <c r="BO85" s="22">
        <f>Parameters!$C$45*AU85 + Parameters!$C$46*AV85 + Parameters!$C$47*AW85 + Parameters!$C$48*AX85 + Parameters!$C$49*AY85 + Parameters!$C$50*AZ85 + Parameters!$C$51*BA85</f>
        <v/>
      </c>
      <c r="BP85" s="22">
        <f>Parameters!$C$52*AQ85</f>
        <v/>
      </c>
      <c r="BQ85" s="22">
        <f>Parameters!$C$53*AR85+Parameters!$C$54*AS85+Parameters!$C$55*AT85</f>
        <v/>
      </c>
      <c r="BR85" s="22">
        <f>Parameters!$C$56*BB85+Parameters!$C$57*BC85+Parameters!$C$58*BD85+Parameters!$C$59*BE85</f>
        <v/>
      </c>
      <c r="BS85" s="23">
        <f>Parameters!$B$2</f>
        <v/>
      </c>
      <c r="BT85" s="23">
        <f>BS85+BF85 + BG85 + BH85 + BI85 + BJ85 + BK85 + BL85 + BM85 + BN85 + BO85 + BP85 + BQ85 + BR85</f>
        <v/>
      </c>
      <c r="BU85" s="24">
        <f>IF(AD85=1,0,1/(1+EXP(-BT85))*Parameters!$B$3)</f>
        <v/>
      </c>
      <c r="BV85" s="25">
        <f>(1-(1-BU85)^12)*100</f>
        <v/>
      </c>
      <c r="BW85" s="25">
        <f>IF(AD85=1,0,(1-(1-1/(1+EXP(-Parameters!$B$2)))^12)*100)</f>
        <v/>
      </c>
      <c r="BX85" s="25">
        <f>IF(AD85=1,0,BV85-(1-(1-(1/(1+EXP(-(BT85-BF85)))*Parameters!$B$3))^12)*100)</f>
        <v/>
      </c>
      <c r="BY85" s="25">
        <f>IF(AD85=1,0,BV85-(1-(1-(1/(1+EXP(-(BT85-BG85)))*Parameters!$B$3))^12)*100)</f>
        <v/>
      </c>
      <c r="BZ85" s="25">
        <f>IF(AD85=1,0,BV85-(1-(1-(1/(1+EXP(-(BT85-BH85)))*Parameters!$B$3))^12)*100)</f>
        <v/>
      </c>
      <c r="CA85" s="25">
        <f>IF(AD85=1,0,BV85-(1-(1-(1/(1+EXP(-(BT85-BI85)))*Parameters!$B$3))^12)*100)</f>
        <v/>
      </c>
      <c r="CB85" s="25">
        <f>IF(AD85=1,0,BV85-(1-(1-(1/(1+EXP(-(BT85-BJ85)))*Parameters!$B$3))^12)*100)</f>
        <v/>
      </c>
      <c r="CC85" s="25">
        <f>IF(AD85=1,0,BV85-(1-(1-(1/(1+EXP(-(BT85-BK85)))*Parameters!$B$3))^12)*100)</f>
        <v/>
      </c>
      <c r="CD85" s="25">
        <f>IF(AD85=1,0,BV85-(1-(1-(1/(1+EXP(-(BT85-BL85)))*Parameters!$B$3))^12)*100)</f>
        <v/>
      </c>
      <c r="CE85" s="25">
        <f>IF(AD85=1,0,BV85-(1-(1-(1/(1+EXP(-(BT85-BM85)))*Parameters!$B$3))^12)*100)</f>
        <v/>
      </c>
      <c r="CF85" s="25">
        <f>IF(AD85=1,0,BV85-(1-(1-(1/(1+EXP(-(BT85-BN85)))*Parameters!$B$3))^12)*100)</f>
        <v/>
      </c>
      <c r="CG85" s="25">
        <f>IF(AD85=1,0,BV85-(1-(1-(1/(1+EXP(-(BT85-BO85)))*Parameters!$B$3))^12)*100)</f>
        <v/>
      </c>
      <c r="CH85" s="25">
        <f>IF(AD85=1,0,BV85-(1-(1-(1/(1+EXP(-(BT85-BP85)))*Parameters!$B$3))^12)*100)</f>
        <v/>
      </c>
      <c r="CI85" s="25">
        <f>IF(AD85=1,0,BV85-(1-(1-(1/(1+EXP(-(BT85-BQ85)))*Parameters!$B$3))^12)*100)</f>
        <v/>
      </c>
      <c r="CJ85" s="25">
        <f>IF(AD85=1,0,BV85-(1-(1-(1/(1+EXP(-(BT85-BR85)))*Parameters!$B$3))^12)*100)</f>
        <v/>
      </c>
    </row>
    <row r="86">
      <c r="A86" s="17" t="inlineStr">
        <is>
          <t>GNR_2014_SEASONED</t>
        </is>
      </c>
      <c r="B86" s="17" t="inlineStr">
        <is>
          <t>3617Q5YB8</t>
        </is>
      </c>
      <c r="C86" s="17" t="inlineStr">
        <is>
          <t>LM</t>
        </is>
      </c>
      <c r="D86" s="17" t="inlineStr">
        <is>
          <t>LUMENT REAL ESTATE CAPITAL,LLC</t>
        </is>
      </c>
      <c r="E86" s="17" t="inlineStr">
        <is>
          <t>3617Q5YB8_000000004311215</t>
        </is>
      </c>
      <c r="F86" s="17" t="n">
        <v>202603</v>
      </c>
      <c r="G86" s="18" t="n">
        <v>2.98</v>
      </c>
      <c r="H86" s="19" t="n">
        <v>1709790.22</v>
      </c>
      <c r="I86" s="17" t="n">
        <v>420</v>
      </c>
      <c r="J86" s="17" t="n">
        <v>20131001</v>
      </c>
      <c r="K86" s="17" t="n">
        <v>20481101</v>
      </c>
      <c r="L86" s="17" t="n"/>
      <c r="M86" s="17" t="n">
        <v>20320401</v>
      </c>
      <c r="N86" s="17" t="n">
        <v>10</v>
      </c>
      <c r="O86" s="17" t="inlineStr">
        <is>
          <t>207/223(F)</t>
        </is>
      </c>
      <c r="P86" s="17" t="inlineStr">
        <is>
          <t>MKT</t>
        </is>
      </c>
      <c r="Q86" s="17" t="inlineStr">
        <is>
          <t>M</t>
        </is>
      </c>
      <c r="R86" s="17" t="n"/>
      <c r="S86" s="17" t="n">
        <v>1</v>
      </c>
      <c r="T86" s="17" t="inlineStr">
        <is>
          <t>OH</t>
        </is>
      </c>
      <c r="U86" s="17" t="n">
        <v>66</v>
      </c>
      <c r="V86" s="17" t="n">
        <v>490.5</v>
      </c>
      <c r="W86" s="17" t="n">
        <v>149</v>
      </c>
      <c r="X86" s="17" t="n">
        <v>2013</v>
      </c>
      <c r="Y86" s="17" t="n">
        <v>-40</v>
      </c>
      <c r="Z86" s="17" t="n">
        <v>7</v>
      </c>
      <c r="AA86" s="20">
        <f>IF(ISNUMBER(W86),W86,IFERROR(MAX(0,(VALUE(LEFT(F86,4))-VALUE(LEFT(TEXT(J86,"00000000"),4)))*12+(VALUE(MID(F86,5,2))-VALUE(MID(TEXT(J86,"00000000"),5,2)))),""))</f>
        <v/>
      </c>
      <c r="AB86" s="20">
        <f>IFERROR((VALUE(LEFT(TEXT(K86,"00000000"),4))-VALUE(LEFT(F86,4)))*12+(VALUE(MID(TEXT(K86,"00000000"),5,2))-VALUE(MID(F86,5,2))),"")</f>
        <v/>
      </c>
      <c r="AC86" s="20">
        <f>IF(OR(L86="",NOT(ISNUMBER(L86))),0,MAX(0,MIN(60,(VALUE(LEFT(F86,4))-VALUE(LEFT(TEXT(L86,"00000000"),4)))*12+(VALUE(MID(F86,5,2))-VALUE(MID(TEXT(L86,"00000000"),5,2))))))</f>
        <v/>
      </c>
      <c r="AD86" s="20">
        <f>IF(OR(L86="",NOT(ISNUMBER(L86))),0,IF(VALUE(F86)&lt;VALUE(LEFT(TEXT(L86,"00000000"),6)),1,0))</f>
        <v/>
      </c>
      <c r="AE86" s="20">
        <f>IF(OR(M86="",NOT(ISNUMBER(M86))),0,IF(VALUE(F86)&lt;VALUE(LEFT(TEXT(M86,"00000000"),6)),1,0))</f>
        <v/>
      </c>
      <c r="AF86" s="20">
        <f>IF(AND(AD86=0,AE86=0),1,0)</f>
        <v/>
      </c>
      <c r="AG86" s="20">
        <f>IF(ISNUMBER(X86),X86,IFERROR(VALUE(LEFT(TEXT(J86,"00000000"),4)),""))</f>
        <v/>
      </c>
      <c r="AH86" s="20">
        <f>IFERROR(XLOOKUP(AG86,Vintage_Rates!$A$2:$A$1000,Vintage_Rates!$B$2:$B$1000,""),"")</f>
        <v/>
      </c>
      <c r="AI86" s="20">
        <f>IF(ISNUMBER(Y86),Y86,IFERROR((G86-AH86)*100,""))</f>
        <v/>
      </c>
      <c r="AJ86" s="20">
        <f>IF(ISNUMBER(V86),V86,IFERROR(XLOOKUP(VALUE(F86),PLC_Rates!$A$2:$A$1000,PLC_Rates!$B$2:$B$1000,""),""))</f>
        <v/>
      </c>
      <c r="AK86" s="20">
        <f>IF(ISNUMBER(Z86),Z86,IF(AE86=0,0,MAX(0,MIN(10,((VALUE(LEFT(TEXT(M86,"00000000"),4))-VALUE(LEFT(F86,4)))*12+(VALUE(MID(TEXT(M86,"00000000"),5,2))-VALUE(MID(F86,5,2))))/12))))</f>
        <v/>
      </c>
      <c r="AL86" s="20">
        <f>IFERROR(G86*100-AJ86,"")</f>
        <v/>
      </c>
      <c r="AM86" s="20">
        <f>IFERROR(G86*100-(AJ86+(1+AK86)*12.5),"")</f>
        <v/>
      </c>
      <c r="AN86" s="21">
        <f>IFERROR(MIN(H86/1000000,100),"")</f>
        <v/>
      </c>
      <c r="AO86" s="20">
        <f>IFERROR(INDEX(FHA_Lookup!$B$2:$B$11,MATCH(TRUE,ISNUMBER(SEARCH(FHA_Lookup!$A$2:$A$11,UPPER(SUBSTITUTE(O86," ","")))),0)),"OTHER")</f>
        <v/>
      </c>
      <c r="AP86" s="20">
        <f>IFERROR(INDEX(FHA_Lookup!$C$2:$C$11,MATCH(TRUE,ISNUMBER(SEARCH(FHA_Lookup!$A$2:$A$11,UPPER(SUBSTITUTE(O86," ","")))),0)),"OTHER")</f>
        <v/>
      </c>
      <c r="AQ86" s="20">
        <f>IF(AP86="NC",1,0)</f>
        <v/>
      </c>
      <c r="AR86" s="20">
        <f>IF(UPPER(TRIM(P86))="AFF",1,0)</f>
        <v/>
      </c>
      <c r="AS86" s="20">
        <f>IF(UPPER(TRIM(P86))="BAF",1,0)</f>
        <v/>
      </c>
      <c r="AT86" s="20">
        <f>IF(UPPER(TRIM(P86))="MKT",1,0)</f>
        <v/>
      </c>
      <c r="AU86" s="20">
        <f>IF(AO86="221d4",1,0)</f>
        <v/>
      </c>
      <c r="AV86" s="20">
        <f>IF(AO86="223a7",1,0)</f>
        <v/>
      </c>
      <c r="AW86" s="20">
        <f>IF(AO86="232",1,0)</f>
        <v/>
      </c>
      <c r="AX86" s="20">
        <f>IF(AO86="538",1,0)</f>
        <v/>
      </c>
      <c r="AY86" s="20">
        <f>IF(AO86="241",1,0)</f>
        <v/>
      </c>
      <c r="AZ86" s="20">
        <f>IF(AO86="220",1,0)</f>
        <v/>
      </c>
      <c r="BA86" s="20">
        <f>IF(AO86="OTHER",1,0)</f>
        <v/>
      </c>
      <c r="BB86" s="20">
        <f>IF(UPPER(TRIM(C86))="LM",1,0)</f>
        <v/>
      </c>
      <c r="BC86" s="20">
        <f>IF(UPPER(TRIM(C86))="PN",1,0)</f>
        <v/>
      </c>
      <c r="BD86" s="20">
        <f>IF(UPPER(TRIM(C86))="LS",1,0)</f>
        <v/>
      </c>
      <c r="BE86" s="20">
        <f>IF(UPPER(TRIM(C86))="RX",1,0)</f>
        <v/>
      </c>
      <c r="BF86" s="22">
        <f>IFERROR((Parameters!$C$6*AM86+Parameters!$C$7*MAX(AM86-(-150),0)+Parameters!$C$8*MAX(AM86-(-50),0)+Parameters!$C$9*MAX(AM86-(0),0)+Parameters!$C$10*MAX(AM86-(50),0)+Parameters!$C$11*MAX(AM86-(100),0)+Parameters!$C$12*MAX(AM86-(150),0)+Parameters!$C$13*MAX(AM86-(250),0)),0)</f>
        <v/>
      </c>
      <c r="BG86" s="22">
        <f>IFERROR((Parameters!$C$14*AA86+Parameters!$C$15*MAX(AA86-(12),0)+Parameters!$C$16*MAX(AA86-(36),0)+Parameters!$C$17*MAX(AA86-(60),0)+Parameters!$C$18*MAX(AA86-(84),0)+Parameters!$C$19*MAX(AA86-(120),0)+Parameters!$C$20*MAX(AA86-(180),0)),0)</f>
        <v/>
      </c>
      <c r="BH86" s="22">
        <f>IFERROR((Parameters!$C$21*AK86+Parameters!$C$22*MAX(AK86-(0),0)+Parameters!$C$23*MAX(AK86-(2),0)+Parameters!$C$24*MAX(AK86-(5),0)+Parameters!$C$25*MAX(AK86-(8),0)),0)</f>
        <v/>
      </c>
      <c r="BI86" s="22">
        <f>IFERROR((Parameters!$C$26*AI86+Parameters!$C$27*MAX(AI86-(-100),0)+Parameters!$C$28*MAX(AI86-(-25),0)+Parameters!$C$29*MAX(AI86-(25),0)+Parameters!$C$30*MAX(AI86-(100),0)),0)</f>
        <v/>
      </c>
      <c r="BJ86" s="22">
        <f>IFERROR((Parameters!$C$31*AN86+Parameters!$C$32*MAX(AN86-(2),0)+Parameters!$C$33*MAX(AN86-(10),0)+Parameters!$C$34*MAX(AN86-(25),0)),0)</f>
        <v/>
      </c>
      <c r="BK86" s="22">
        <f>IFERROR((Parameters!$C$35*AB86+Parameters!$C$36*MAX(AB86-(12),0)+Parameters!$C$37*MAX(AB86-(24),0)+Parameters!$C$38*MAX(AB86-(60),0)),0)</f>
        <v/>
      </c>
      <c r="BL86" s="22">
        <f>IFERROR((Parameters!$C$39*AC86+Parameters!$C$40*MAX(AC86-(6),0)+Parameters!$C$41*MAX(AC86-(12),0)+Parameters!$C$42*MAX(AC86-(24),0)),0)</f>
        <v/>
      </c>
      <c r="BM86" s="22">
        <f>IFERROR(Parameters!$C$43*(MAX(AM86,0)*MIN(MAX(AK86,0),10))/100,0)</f>
        <v/>
      </c>
      <c r="BN86" s="22">
        <f>Parameters!$C$44*AE86</f>
        <v/>
      </c>
      <c r="BO86" s="22">
        <f>Parameters!$C$45*AU86 + Parameters!$C$46*AV86 + Parameters!$C$47*AW86 + Parameters!$C$48*AX86 + Parameters!$C$49*AY86 + Parameters!$C$50*AZ86 + Parameters!$C$51*BA86</f>
        <v/>
      </c>
      <c r="BP86" s="22">
        <f>Parameters!$C$52*AQ86</f>
        <v/>
      </c>
      <c r="BQ86" s="22">
        <f>Parameters!$C$53*AR86+Parameters!$C$54*AS86+Parameters!$C$55*AT86</f>
        <v/>
      </c>
      <c r="BR86" s="22">
        <f>Parameters!$C$56*BB86+Parameters!$C$57*BC86+Parameters!$C$58*BD86+Parameters!$C$59*BE86</f>
        <v/>
      </c>
      <c r="BS86" s="23">
        <f>Parameters!$B$2</f>
        <v/>
      </c>
      <c r="BT86" s="23">
        <f>BS86+BF86 + BG86 + BH86 + BI86 + BJ86 + BK86 + BL86 + BM86 + BN86 + BO86 + BP86 + BQ86 + BR86</f>
        <v/>
      </c>
      <c r="BU86" s="24">
        <f>IF(AD86=1,0,1/(1+EXP(-BT86))*Parameters!$B$3)</f>
        <v/>
      </c>
      <c r="BV86" s="25">
        <f>(1-(1-BU86)^12)*100</f>
        <v/>
      </c>
      <c r="BW86" s="25">
        <f>IF(AD86=1,0,(1-(1-1/(1+EXP(-Parameters!$B$2)))^12)*100)</f>
        <v/>
      </c>
      <c r="BX86" s="25">
        <f>IF(AD86=1,0,BV86-(1-(1-(1/(1+EXP(-(BT86-BF86)))*Parameters!$B$3))^12)*100)</f>
        <v/>
      </c>
      <c r="BY86" s="25">
        <f>IF(AD86=1,0,BV86-(1-(1-(1/(1+EXP(-(BT86-BG86)))*Parameters!$B$3))^12)*100)</f>
        <v/>
      </c>
      <c r="BZ86" s="25">
        <f>IF(AD86=1,0,BV86-(1-(1-(1/(1+EXP(-(BT86-BH86)))*Parameters!$B$3))^12)*100)</f>
        <v/>
      </c>
      <c r="CA86" s="25">
        <f>IF(AD86=1,0,BV86-(1-(1-(1/(1+EXP(-(BT86-BI86)))*Parameters!$B$3))^12)*100)</f>
        <v/>
      </c>
      <c r="CB86" s="25">
        <f>IF(AD86=1,0,BV86-(1-(1-(1/(1+EXP(-(BT86-BJ86)))*Parameters!$B$3))^12)*100)</f>
        <v/>
      </c>
      <c r="CC86" s="25">
        <f>IF(AD86=1,0,BV86-(1-(1-(1/(1+EXP(-(BT86-BK86)))*Parameters!$B$3))^12)*100)</f>
        <v/>
      </c>
      <c r="CD86" s="25">
        <f>IF(AD86=1,0,BV86-(1-(1-(1/(1+EXP(-(BT86-BL86)))*Parameters!$B$3))^12)*100)</f>
        <v/>
      </c>
      <c r="CE86" s="25">
        <f>IF(AD86=1,0,BV86-(1-(1-(1/(1+EXP(-(BT86-BM86)))*Parameters!$B$3))^12)*100)</f>
        <v/>
      </c>
      <c r="CF86" s="25">
        <f>IF(AD86=1,0,BV86-(1-(1-(1/(1+EXP(-(BT86-BN86)))*Parameters!$B$3))^12)*100)</f>
        <v/>
      </c>
      <c r="CG86" s="25">
        <f>IF(AD86=1,0,BV86-(1-(1-(1/(1+EXP(-(BT86-BO86)))*Parameters!$B$3))^12)*100)</f>
        <v/>
      </c>
      <c r="CH86" s="25">
        <f>IF(AD86=1,0,BV86-(1-(1-(1/(1+EXP(-(BT86-BP86)))*Parameters!$B$3))^12)*100)</f>
        <v/>
      </c>
      <c r="CI86" s="25">
        <f>IF(AD86=1,0,BV86-(1-(1-(1/(1+EXP(-(BT86-BQ86)))*Parameters!$B$3))^12)*100)</f>
        <v/>
      </c>
      <c r="CJ86" s="25">
        <f>IF(AD86=1,0,BV86-(1-(1-(1/(1+EXP(-(BT86-BR86)))*Parameters!$B$3))^12)*100)</f>
        <v/>
      </c>
    </row>
    <row r="87">
      <c r="A87" s="17" t="inlineStr">
        <is>
          <t>GNR_2014_SEASONED</t>
        </is>
      </c>
      <c r="B87" s="17" t="inlineStr">
        <is>
          <t>36180CVN6</t>
        </is>
      </c>
      <c r="C87" s="17" t="inlineStr">
        <is>
          <t>PN</t>
        </is>
      </c>
      <c r="D87" s="17" t="inlineStr">
        <is>
          <t>ZIEGLER FINANCING CORPORATION</t>
        </is>
      </c>
      <c r="E87" s="17" t="inlineStr">
        <is>
          <t>36180CVN6_000000006222095</t>
        </is>
      </c>
      <c r="F87" s="17" t="n">
        <v>202603</v>
      </c>
      <c r="G87" s="18" t="n">
        <v>4.17</v>
      </c>
      <c r="H87" s="19" t="n">
        <v>33933137.37</v>
      </c>
      <c r="I87" s="17" t="n">
        <v>300</v>
      </c>
      <c r="J87" s="17" t="n">
        <v>20140729</v>
      </c>
      <c r="K87" s="17" t="n">
        <v>20390801</v>
      </c>
      <c r="L87" s="17" t="n">
        <v>20220901</v>
      </c>
      <c r="M87" s="17" t="n">
        <v>20250901</v>
      </c>
      <c r="N87" s="17" t="n">
        <v>3</v>
      </c>
      <c r="O87" s="17" t="inlineStr">
        <is>
          <t>242/223f</t>
        </is>
      </c>
      <c r="P87" s="17" t="inlineStr">
        <is>
          <t>MKT</t>
        </is>
      </c>
      <c r="Q87" s="17" t="n"/>
      <c r="R87" s="17" t="n"/>
      <c r="S87" s="17" t="n"/>
      <c r="T87" s="17" t="inlineStr">
        <is>
          <t>AL</t>
        </is>
      </c>
      <c r="U87" s="17" t="n">
        <v>148</v>
      </c>
      <c r="V87" s="17" t="n">
        <v>490.5</v>
      </c>
      <c r="W87" s="17" t="n">
        <v>140</v>
      </c>
      <c r="X87" s="17" t="n">
        <v>2014</v>
      </c>
      <c r="Y87" s="17" t="n">
        <v>32</v>
      </c>
      <c r="Z87" s="17" t="n">
        <v>0</v>
      </c>
      <c r="AA87" s="20">
        <f>IF(ISNUMBER(W87),W87,IFERROR(MAX(0,(VALUE(LEFT(F87,4))-VALUE(LEFT(TEXT(J87,"00000000"),4)))*12+(VALUE(MID(F87,5,2))-VALUE(MID(TEXT(J87,"00000000"),5,2)))),""))</f>
        <v/>
      </c>
      <c r="AB87" s="20">
        <f>IFERROR((VALUE(LEFT(TEXT(K87,"00000000"),4))-VALUE(LEFT(F87,4)))*12+(VALUE(MID(TEXT(K87,"00000000"),5,2))-VALUE(MID(F87,5,2))),"")</f>
        <v/>
      </c>
      <c r="AC87" s="20">
        <f>IF(OR(L87="",NOT(ISNUMBER(L87))),0,MAX(0,MIN(60,(VALUE(LEFT(F87,4))-VALUE(LEFT(TEXT(L87,"00000000"),4)))*12+(VALUE(MID(F87,5,2))-VALUE(MID(TEXT(L87,"00000000"),5,2))))))</f>
        <v/>
      </c>
      <c r="AD87" s="20">
        <f>IF(OR(L87="",NOT(ISNUMBER(L87))),0,IF(VALUE(F87)&lt;VALUE(LEFT(TEXT(L87,"00000000"),6)),1,0))</f>
        <v/>
      </c>
      <c r="AE87" s="20">
        <f>IF(OR(M87="",NOT(ISNUMBER(M87))),0,IF(VALUE(F87)&lt;VALUE(LEFT(TEXT(M87,"00000000"),6)),1,0))</f>
        <v/>
      </c>
      <c r="AF87" s="20">
        <f>IF(AND(AD87=0,AE87=0),1,0)</f>
        <v/>
      </c>
      <c r="AG87" s="20">
        <f>IF(ISNUMBER(X87),X87,IFERROR(VALUE(LEFT(TEXT(J87,"00000000"),4)),""))</f>
        <v/>
      </c>
      <c r="AH87" s="20">
        <f>IFERROR(XLOOKUP(AG87,Vintage_Rates!$A$2:$A$1000,Vintage_Rates!$B$2:$B$1000,""),"")</f>
        <v/>
      </c>
      <c r="AI87" s="20">
        <f>IF(ISNUMBER(Y87),Y87,IFERROR((G87-AH87)*100,""))</f>
        <v/>
      </c>
      <c r="AJ87" s="20">
        <f>IF(ISNUMBER(V87),V87,IFERROR(XLOOKUP(VALUE(F87),PLC_Rates!$A$2:$A$1000,PLC_Rates!$B$2:$B$1000,""),""))</f>
        <v/>
      </c>
      <c r="AK87" s="20">
        <f>IF(ISNUMBER(Z87),Z87,IF(AE87=0,0,MAX(0,MIN(10,((VALUE(LEFT(TEXT(M87,"00000000"),4))-VALUE(LEFT(F87,4)))*12+(VALUE(MID(TEXT(M87,"00000000"),5,2))-VALUE(MID(F87,5,2))))/12))))</f>
        <v/>
      </c>
      <c r="AL87" s="20">
        <f>IFERROR(G87*100-AJ87,"")</f>
        <v/>
      </c>
      <c r="AM87" s="20">
        <f>IFERROR(G87*100-(AJ87+(1+AK87)*12.5),"")</f>
        <v/>
      </c>
      <c r="AN87" s="21">
        <f>IFERROR(MIN(H87/1000000,100),"")</f>
        <v/>
      </c>
      <c r="AO87" s="20">
        <f>IFERROR(INDEX(FHA_Lookup!$B$2:$B$11,MATCH(TRUE,ISNUMBER(SEARCH(FHA_Lookup!$A$2:$A$11,UPPER(SUBSTITUTE(O87," ","")))),0)),"OTHER")</f>
        <v/>
      </c>
      <c r="AP87" s="20">
        <f>IFERROR(INDEX(FHA_Lookup!$C$2:$C$11,MATCH(TRUE,ISNUMBER(SEARCH(FHA_Lookup!$A$2:$A$11,UPPER(SUBSTITUTE(O87," ","")))),0)),"OTHER")</f>
        <v/>
      </c>
      <c r="AQ87" s="20">
        <f>IF(AP87="NC",1,0)</f>
        <v/>
      </c>
      <c r="AR87" s="20">
        <f>IF(UPPER(TRIM(P87))="AFF",1,0)</f>
        <v/>
      </c>
      <c r="AS87" s="20">
        <f>IF(UPPER(TRIM(P87))="BAF",1,0)</f>
        <v/>
      </c>
      <c r="AT87" s="20">
        <f>IF(UPPER(TRIM(P87))="MKT",1,0)</f>
        <v/>
      </c>
      <c r="AU87" s="20">
        <f>IF(AO87="221d4",1,0)</f>
        <v/>
      </c>
      <c r="AV87" s="20">
        <f>IF(AO87="223a7",1,0)</f>
        <v/>
      </c>
      <c r="AW87" s="20">
        <f>IF(AO87="232",1,0)</f>
        <v/>
      </c>
      <c r="AX87" s="20">
        <f>IF(AO87="538",1,0)</f>
        <v/>
      </c>
      <c r="AY87" s="20">
        <f>IF(AO87="241",1,0)</f>
        <v/>
      </c>
      <c r="AZ87" s="20">
        <f>IF(AO87="220",1,0)</f>
        <v/>
      </c>
      <c r="BA87" s="20">
        <f>IF(AO87="OTHER",1,0)</f>
        <v/>
      </c>
      <c r="BB87" s="20">
        <f>IF(UPPER(TRIM(C87))="LM",1,0)</f>
        <v/>
      </c>
      <c r="BC87" s="20">
        <f>IF(UPPER(TRIM(C87))="PN",1,0)</f>
        <v/>
      </c>
      <c r="BD87" s="20">
        <f>IF(UPPER(TRIM(C87))="LS",1,0)</f>
        <v/>
      </c>
      <c r="BE87" s="20">
        <f>IF(UPPER(TRIM(C87))="RX",1,0)</f>
        <v/>
      </c>
      <c r="BF87" s="22">
        <f>IFERROR((Parameters!$C$6*AM87+Parameters!$C$7*MAX(AM87-(-150),0)+Parameters!$C$8*MAX(AM87-(-50),0)+Parameters!$C$9*MAX(AM87-(0),0)+Parameters!$C$10*MAX(AM87-(50),0)+Parameters!$C$11*MAX(AM87-(100),0)+Parameters!$C$12*MAX(AM87-(150),0)+Parameters!$C$13*MAX(AM87-(250),0)),0)</f>
        <v/>
      </c>
      <c r="BG87" s="22">
        <f>IFERROR((Parameters!$C$14*AA87+Parameters!$C$15*MAX(AA87-(12),0)+Parameters!$C$16*MAX(AA87-(36),0)+Parameters!$C$17*MAX(AA87-(60),0)+Parameters!$C$18*MAX(AA87-(84),0)+Parameters!$C$19*MAX(AA87-(120),0)+Parameters!$C$20*MAX(AA87-(180),0)),0)</f>
        <v/>
      </c>
      <c r="BH87" s="22">
        <f>IFERROR((Parameters!$C$21*AK87+Parameters!$C$22*MAX(AK87-(0),0)+Parameters!$C$23*MAX(AK87-(2),0)+Parameters!$C$24*MAX(AK87-(5),0)+Parameters!$C$25*MAX(AK87-(8),0)),0)</f>
        <v/>
      </c>
      <c r="BI87" s="22">
        <f>IFERROR((Parameters!$C$26*AI87+Parameters!$C$27*MAX(AI87-(-100),0)+Parameters!$C$28*MAX(AI87-(-25),0)+Parameters!$C$29*MAX(AI87-(25),0)+Parameters!$C$30*MAX(AI87-(100),0)),0)</f>
        <v/>
      </c>
      <c r="BJ87" s="22">
        <f>IFERROR((Parameters!$C$31*AN87+Parameters!$C$32*MAX(AN87-(2),0)+Parameters!$C$33*MAX(AN87-(10),0)+Parameters!$C$34*MAX(AN87-(25),0)),0)</f>
        <v/>
      </c>
      <c r="BK87" s="22">
        <f>IFERROR((Parameters!$C$35*AB87+Parameters!$C$36*MAX(AB87-(12),0)+Parameters!$C$37*MAX(AB87-(24),0)+Parameters!$C$38*MAX(AB87-(60),0)),0)</f>
        <v/>
      </c>
      <c r="BL87" s="22">
        <f>IFERROR((Parameters!$C$39*AC87+Parameters!$C$40*MAX(AC87-(6),0)+Parameters!$C$41*MAX(AC87-(12),0)+Parameters!$C$42*MAX(AC87-(24),0)),0)</f>
        <v/>
      </c>
      <c r="BM87" s="22">
        <f>IFERROR(Parameters!$C$43*(MAX(AM87,0)*MIN(MAX(AK87,0),10))/100,0)</f>
        <v/>
      </c>
      <c r="BN87" s="22">
        <f>Parameters!$C$44*AE87</f>
        <v/>
      </c>
      <c r="BO87" s="22">
        <f>Parameters!$C$45*AU87 + Parameters!$C$46*AV87 + Parameters!$C$47*AW87 + Parameters!$C$48*AX87 + Parameters!$C$49*AY87 + Parameters!$C$50*AZ87 + Parameters!$C$51*BA87</f>
        <v/>
      </c>
      <c r="BP87" s="22">
        <f>Parameters!$C$52*AQ87</f>
        <v/>
      </c>
      <c r="BQ87" s="22">
        <f>Parameters!$C$53*AR87+Parameters!$C$54*AS87+Parameters!$C$55*AT87</f>
        <v/>
      </c>
      <c r="BR87" s="22">
        <f>Parameters!$C$56*BB87+Parameters!$C$57*BC87+Parameters!$C$58*BD87+Parameters!$C$59*BE87</f>
        <v/>
      </c>
      <c r="BS87" s="23">
        <f>Parameters!$B$2</f>
        <v/>
      </c>
      <c r="BT87" s="23">
        <f>BS87+BF87 + BG87 + BH87 + BI87 + BJ87 + BK87 + BL87 + BM87 + BN87 + BO87 + BP87 + BQ87 + BR87</f>
        <v/>
      </c>
      <c r="BU87" s="24">
        <f>IF(AD87=1,0,1/(1+EXP(-BT87))*Parameters!$B$3)</f>
        <v/>
      </c>
      <c r="BV87" s="25">
        <f>(1-(1-BU87)^12)*100</f>
        <v/>
      </c>
      <c r="BW87" s="25">
        <f>IF(AD87=1,0,(1-(1-1/(1+EXP(-Parameters!$B$2)))^12)*100)</f>
        <v/>
      </c>
      <c r="BX87" s="25">
        <f>IF(AD87=1,0,BV87-(1-(1-(1/(1+EXP(-(BT87-BF87)))*Parameters!$B$3))^12)*100)</f>
        <v/>
      </c>
      <c r="BY87" s="25">
        <f>IF(AD87=1,0,BV87-(1-(1-(1/(1+EXP(-(BT87-BG87)))*Parameters!$B$3))^12)*100)</f>
        <v/>
      </c>
      <c r="BZ87" s="25">
        <f>IF(AD87=1,0,BV87-(1-(1-(1/(1+EXP(-(BT87-BH87)))*Parameters!$B$3))^12)*100)</f>
        <v/>
      </c>
      <c r="CA87" s="25">
        <f>IF(AD87=1,0,BV87-(1-(1-(1/(1+EXP(-(BT87-BI87)))*Parameters!$B$3))^12)*100)</f>
        <v/>
      </c>
      <c r="CB87" s="25">
        <f>IF(AD87=1,0,BV87-(1-(1-(1/(1+EXP(-(BT87-BJ87)))*Parameters!$B$3))^12)*100)</f>
        <v/>
      </c>
      <c r="CC87" s="25">
        <f>IF(AD87=1,0,BV87-(1-(1-(1/(1+EXP(-(BT87-BK87)))*Parameters!$B$3))^12)*100)</f>
        <v/>
      </c>
      <c r="CD87" s="25">
        <f>IF(AD87=1,0,BV87-(1-(1-(1/(1+EXP(-(BT87-BL87)))*Parameters!$B$3))^12)*100)</f>
        <v/>
      </c>
      <c r="CE87" s="25">
        <f>IF(AD87=1,0,BV87-(1-(1-(1/(1+EXP(-(BT87-BM87)))*Parameters!$B$3))^12)*100)</f>
        <v/>
      </c>
      <c r="CF87" s="25">
        <f>IF(AD87=1,0,BV87-(1-(1-(1/(1+EXP(-(BT87-BN87)))*Parameters!$B$3))^12)*100)</f>
        <v/>
      </c>
      <c r="CG87" s="25">
        <f>IF(AD87=1,0,BV87-(1-(1-(1/(1+EXP(-(BT87-BO87)))*Parameters!$B$3))^12)*100)</f>
        <v/>
      </c>
      <c r="CH87" s="25">
        <f>IF(AD87=1,0,BV87-(1-(1-(1/(1+EXP(-(BT87-BP87)))*Parameters!$B$3))^12)*100)</f>
        <v/>
      </c>
      <c r="CI87" s="25">
        <f>IF(AD87=1,0,BV87-(1-(1-(1/(1+EXP(-(BT87-BQ87)))*Parameters!$B$3))^12)*100)</f>
        <v/>
      </c>
      <c r="CJ87" s="25">
        <f>IF(AD87=1,0,BV87-(1-(1-(1/(1+EXP(-(BT87-BR87)))*Parameters!$B$3))^12)*100)</f>
        <v/>
      </c>
    </row>
    <row r="88">
      <c r="A88" s="17" t="inlineStr">
        <is>
          <t>GNR_2014_SEASONED</t>
        </is>
      </c>
      <c r="B88" s="17" t="inlineStr">
        <is>
          <t>36195F3X1</t>
        </is>
      </c>
      <c r="C88" s="17" t="inlineStr">
        <is>
          <t>PN</t>
        </is>
      </c>
      <c r="D88" s="17" t="inlineStr">
        <is>
          <t>LUMENT REAL ESTATE CAPITAL,LLC</t>
        </is>
      </c>
      <c r="E88" s="17" t="inlineStr">
        <is>
          <t>36195F3X1_000000008435393</t>
        </is>
      </c>
      <c r="F88" s="17" t="n">
        <v>202603</v>
      </c>
      <c r="G88" s="18" t="n">
        <v>3.09</v>
      </c>
      <c r="H88" s="19" t="n">
        <v>6546684.18</v>
      </c>
      <c r="I88" s="17" t="n">
        <v>495</v>
      </c>
      <c r="J88" s="17" t="n">
        <v>20161208</v>
      </c>
      <c r="K88" s="17" t="n">
        <v>20580401</v>
      </c>
      <c r="L88" s="17" t="n"/>
      <c r="M88" s="17" t="n">
        <v>20280501</v>
      </c>
      <c r="N88" s="17" t="n">
        <v>10</v>
      </c>
      <c r="O88" s="17" t="inlineStr">
        <is>
          <t>221(D)(4)</t>
        </is>
      </c>
      <c r="P88" s="17" t="inlineStr">
        <is>
          <t>BAF</t>
        </is>
      </c>
      <c r="Q88" s="17" t="n"/>
      <c r="R88" s="17" t="n"/>
      <c r="S88" s="17" t="n"/>
      <c r="T88" s="17" t="inlineStr">
        <is>
          <t>MO</t>
        </is>
      </c>
      <c r="U88" s="17" t="n">
        <v>166</v>
      </c>
      <c r="V88" s="17" t="n">
        <v>490.5</v>
      </c>
      <c r="W88" s="17" t="n">
        <v>111</v>
      </c>
      <c r="X88" s="17" t="n">
        <v>2016</v>
      </c>
      <c r="Y88" s="17" t="n">
        <v>-36</v>
      </c>
      <c r="Z88" s="17" t="n">
        <v>3</v>
      </c>
      <c r="AA88" s="20">
        <f>IF(ISNUMBER(W88),W88,IFERROR(MAX(0,(VALUE(LEFT(F88,4))-VALUE(LEFT(TEXT(J88,"00000000"),4)))*12+(VALUE(MID(F88,5,2))-VALUE(MID(TEXT(J88,"00000000"),5,2)))),""))</f>
        <v/>
      </c>
      <c r="AB88" s="20">
        <f>IFERROR((VALUE(LEFT(TEXT(K88,"00000000"),4))-VALUE(LEFT(F88,4)))*12+(VALUE(MID(TEXT(K88,"00000000"),5,2))-VALUE(MID(F88,5,2))),"")</f>
        <v/>
      </c>
      <c r="AC88" s="20">
        <f>IF(OR(L88="",NOT(ISNUMBER(L88))),0,MAX(0,MIN(60,(VALUE(LEFT(F88,4))-VALUE(LEFT(TEXT(L88,"00000000"),4)))*12+(VALUE(MID(F88,5,2))-VALUE(MID(TEXT(L88,"00000000"),5,2))))))</f>
        <v/>
      </c>
      <c r="AD88" s="20">
        <f>IF(OR(L88="",NOT(ISNUMBER(L88))),0,IF(VALUE(F88)&lt;VALUE(LEFT(TEXT(L88,"00000000"),6)),1,0))</f>
        <v/>
      </c>
      <c r="AE88" s="20">
        <f>IF(OR(M88="",NOT(ISNUMBER(M88))),0,IF(VALUE(F88)&lt;VALUE(LEFT(TEXT(M88,"00000000"),6)),1,0))</f>
        <v/>
      </c>
      <c r="AF88" s="20">
        <f>IF(AND(AD88=0,AE88=0),1,0)</f>
        <v/>
      </c>
      <c r="AG88" s="20">
        <f>IF(ISNUMBER(X88),X88,IFERROR(VALUE(LEFT(TEXT(J88,"00000000"),4)),""))</f>
        <v/>
      </c>
      <c r="AH88" s="20">
        <f>IFERROR(XLOOKUP(AG88,Vintage_Rates!$A$2:$A$1000,Vintage_Rates!$B$2:$B$1000,""),"")</f>
        <v/>
      </c>
      <c r="AI88" s="20">
        <f>IF(ISNUMBER(Y88),Y88,IFERROR((G88-AH88)*100,""))</f>
        <v/>
      </c>
      <c r="AJ88" s="20">
        <f>IF(ISNUMBER(V88),V88,IFERROR(XLOOKUP(VALUE(F88),PLC_Rates!$A$2:$A$1000,PLC_Rates!$B$2:$B$1000,""),""))</f>
        <v/>
      </c>
      <c r="AK88" s="20">
        <f>IF(ISNUMBER(Z88),Z88,IF(AE88=0,0,MAX(0,MIN(10,((VALUE(LEFT(TEXT(M88,"00000000"),4))-VALUE(LEFT(F88,4)))*12+(VALUE(MID(TEXT(M88,"00000000"),5,2))-VALUE(MID(F88,5,2))))/12))))</f>
        <v/>
      </c>
      <c r="AL88" s="20">
        <f>IFERROR(G88*100-AJ88,"")</f>
        <v/>
      </c>
      <c r="AM88" s="20">
        <f>IFERROR(G88*100-(AJ88+(1+AK88)*12.5),"")</f>
        <v/>
      </c>
      <c r="AN88" s="21">
        <f>IFERROR(MIN(H88/1000000,100),"")</f>
        <v/>
      </c>
      <c r="AO88" s="20">
        <f>IFERROR(INDEX(FHA_Lookup!$B$2:$B$11,MATCH(TRUE,ISNUMBER(SEARCH(FHA_Lookup!$A$2:$A$11,UPPER(SUBSTITUTE(O88," ","")))),0)),"OTHER")</f>
        <v/>
      </c>
      <c r="AP88" s="20">
        <f>IFERROR(INDEX(FHA_Lookup!$C$2:$C$11,MATCH(TRUE,ISNUMBER(SEARCH(FHA_Lookup!$A$2:$A$11,UPPER(SUBSTITUTE(O88," ","")))),0)),"OTHER")</f>
        <v/>
      </c>
      <c r="AQ88" s="20">
        <f>IF(AP88="NC",1,0)</f>
        <v/>
      </c>
      <c r="AR88" s="20">
        <f>IF(UPPER(TRIM(P88))="AFF",1,0)</f>
        <v/>
      </c>
      <c r="AS88" s="20">
        <f>IF(UPPER(TRIM(P88))="BAF",1,0)</f>
        <v/>
      </c>
      <c r="AT88" s="20">
        <f>IF(UPPER(TRIM(P88))="MKT",1,0)</f>
        <v/>
      </c>
      <c r="AU88" s="20">
        <f>IF(AO88="221d4",1,0)</f>
        <v/>
      </c>
      <c r="AV88" s="20">
        <f>IF(AO88="223a7",1,0)</f>
        <v/>
      </c>
      <c r="AW88" s="20">
        <f>IF(AO88="232",1,0)</f>
        <v/>
      </c>
      <c r="AX88" s="20">
        <f>IF(AO88="538",1,0)</f>
        <v/>
      </c>
      <c r="AY88" s="20">
        <f>IF(AO88="241",1,0)</f>
        <v/>
      </c>
      <c r="AZ88" s="20">
        <f>IF(AO88="220",1,0)</f>
        <v/>
      </c>
      <c r="BA88" s="20">
        <f>IF(AO88="OTHER",1,0)</f>
        <v/>
      </c>
      <c r="BB88" s="20">
        <f>IF(UPPER(TRIM(C88))="LM",1,0)</f>
        <v/>
      </c>
      <c r="BC88" s="20">
        <f>IF(UPPER(TRIM(C88))="PN",1,0)</f>
        <v/>
      </c>
      <c r="BD88" s="20">
        <f>IF(UPPER(TRIM(C88))="LS",1,0)</f>
        <v/>
      </c>
      <c r="BE88" s="20">
        <f>IF(UPPER(TRIM(C88))="RX",1,0)</f>
        <v/>
      </c>
      <c r="BF88" s="22">
        <f>IFERROR((Parameters!$C$6*AM88+Parameters!$C$7*MAX(AM88-(-150),0)+Parameters!$C$8*MAX(AM88-(-50),0)+Parameters!$C$9*MAX(AM88-(0),0)+Parameters!$C$10*MAX(AM88-(50),0)+Parameters!$C$11*MAX(AM88-(100),0)+Parameters!$C$12*MAX(AM88-(150),0)+Parameters!$C$13*MAX(AM88-(250),0)),0)</f>
        <v/>
      </c>
      <c r="BG88" s="22">
        <f>IFERROR((Parameters!$C$14*AA88+Parameters!$C$15*MAX(AA88-(12),0)+Parameters!$C$16*MAX(AA88-(36),0)+Parameters!$C$17*MAX(AA88-(60),0)+Parameters!$C$18*MAX(AA88-(84),0)+Parameters!$C$19*MAX(AA88-(120),0)+Parameters!$C$20*MAX(AA88-(180),0)),0)</f>
        <v/>
      </c>
      <c r="BH88" s="22">
        <f>IFERROR((Parameters!$C$21*AK88+Parameters!$C$22*MAX(AK88-(0),0)+Parameters!$C$23*MAX(AK88-(2),0)+Parameters!$C$24*MAX(AK88-(5),0)+Parameters!$C$25*MAX(AK88-(8),0)),0)</f>
        <v/>
      </c>
      <c r="BI88" s="22">
        <f>IFERROR((Parameters!$C$26*AI88+Parameters!$C$27*MAX(AI88-(-100),0)+Parameters!$C$28*MAX(AI88-(-25),0)+Parameters!$C$29*MAX(AI88-(25),0)+Parameters!$C$30*MAX(AI88-(100),0)),0)</f>
        <v/>
      </c>
      <c r="BJ88" s="22">
        <f>IFERROR((Parameters!$C$31*AN88+Parameters!$C$32*MAX(AN88-(2),0)+Parameters!$C$33*MAX(AN88-(10),0)+Parameters!$C$34*MAX(AN88-(25),0)),0)</f>
        <v/>
      </c>
      <c r="BK88" s="22">
        <f>IFERROR((Parameters!$C$35*AB88+Parameters!$C$36*MAX(AB88-(12),0)+Parameters!$C$37*MAX(AB88-(24),0)+Parameters!$C$38*MAX(AB88-(60),0)),0)</f>
        <v/>
      </c>
      <c r="BL88" s="22">
        <f>IFERROR((Parameters!$C$39*AC88+Parameters!$C$40*MAX(AC88-(6),0)+Parameters!$C$41*MAX(AC88-(12),0)+Parameters!$C$42*MAX(AC88-(24),0)),0)</f>
        <v/>
      </c>
      <c r="BM88" s="22">
        <f>IFERROR(Parameters!$C$43*(MAX(AM88,0)*MIN(MAX(AK88,0),10))/100,0)</f>
        <v/>
      </c>
      <c r="BN88" s="22">
        <f>Parameters!$C$44*AE88</f>
        <v/>
      </c>
      <c r="BO88" s="22">
        <f>Parameters!$C$45*AU88 + Parameters!$C$46*AV88 + Parameters!$C$47*AW88 + Parameters!$C$48*AX88 + Parameters!$C$49*AY88 + Parameters!$C$50*AZ88 + Parameters!$C$51*BA88</f>
        <v/>
      </c>
      <c r="BP88" s="22">
        <f>Parameters!$C$52*AQ88</f>
        <v/>
      </c>
      <c r="BQ88" s="22">
        <f>Parameters!$C$53*AR88+Parameters!$C$54*AS88+Parameters!$C$55*AT88</f>
        <v/>
      </c>
      <c r="BR88" s="22">
        <f>Parameters!$C$56*BB88+Parameters!$C$57*BC88+Parameters!$C$58*BD88+Parameters!$C$59*BE88</f>
        <v/>
      </c>
      <c r="BS88" s="23">
        <f>Parameters!$B$2</f>
        <v/>
      </c>
      <c r="BT88" s="23">
        <f>BS88+BF88 + BG88 + BH88 + BI88 + BJ88 + BK88 + BL88 + BM88 + BN88 + BO88 + BP88 + BQ88 + BR88</f>
        <v/>
      </c>
      <c r="BU88" s="24">
        <f>IF(AD88=1,0,1/(1+EXP(-BT88))*Parameters!$B$3)</f>
        <v/>
      </c>
      <c r="BV88" s="25">
        <f>(1-(1-BU88)^12)*100</f>
        <v/>
      </c>
      <c r="BW88" s="25">
        <f>IF(AD88=1,0,(1-(1-1/(1+EXP(-Parameters!$B$2)))^12)*100)</f>
        <v/>
      </c>
      <c r="BX88" s="25">
        <f>IF(AD88=1,0,BV88-(1-(1-(1/(1+EXP(-(BT88-BF88)))*Parameters!$B$3))^12)*100)</f>
        <v/>
      </c>
      <c r="BY88" s="25">
        <f>IF(AD88=1,0,BV88-(1-(1-(1/(1+EXP(-(BT88-BG88)))*Parameters!$B$3))^12)*100)</f>
        <v/>
      </c>
      <c r="BZ88" s="25">
        <f>IF(AD88=1,0,BV88-(1-(1-(1/(1+EXP(-(BT88-BH88)))*Parameters!$B$3))^12)*100)</f>
        <v/>
      </c>
      <c r="CA88" s="25">
        <f>IF(AD88=1,0,BV88-(1-(1-(1/(1+EXP(-(BT88-BI88)))*Parameters!$B$3))^12)*100)</f>
        <v/>
      </c>
      <c r="CB88" s="25">
        <f>IF(AD88=1,0,BV88-(1-(1-(1/(1+EXP(-(BT88-BJ88)))*Parameters!$B$3))^12)*100)</f>
        <v/>
      </c>
      <c r="CC88" s="25">
        <f>IF(AD88=1,0,BV88-(1-(1-(1/(1+EXP(-(BT88-BK88)))*Parameters!$B$3))^12)*100)</f>
        <v/>
      </c>
      <c r="CD88" s="25">
        <f>IF(AD88=1,0,BV88-(1-(1-(1/(1+EXP(-(BT88-BL88)))*Parameters!$B$3))^12)*100)</f>
        <v/>
      </c>
      <c r="CE88" s="25">
        <f>IF(AD88=1,0,BV88-(1-(1-(1/(1+EXP(-(BT88-BM88)))*Parameters!$B$3))^12)*100)</f>
        <v/>
      </c>
      <c r="CF88" s="25">
        <f>IF(AD88=1,0,BV88-(1-(1-(1/(1+EXP(-(BT88-BN88)))*Parameters!$B$3))^12)*100)</f>
        <v/>
      </c>
      <c r="CG88" s="25">
        <f>IF(AD88=1,0,BV88-(1-(1-(1/(1+EXP(-(BT88-BO88)))*Parameters!$B$3))^12)*100)</f>
        <v/>
      </c>
      <c r="CH88" s="25">
        <f>IF(AD88=1,0,BV88-(1-(1-(1/(1+EXP(-(BT88-BP88)))*Parameters!$B$3))^12)*100)</f>
        <v/>
      </c>
      <c r="CI88" s="25">
        <f>IF(AD88=1,0,BV88-(1-(1-(1/(1+EXP(-(BT88-BQ88)))*Parameters!$B$3))^12)*100)</f>
        <v/>
      </c>
      <c r="CJ88" s="25">
        <f>IF(AD88=1,0,BV88-(1-(1-(1/(1+EXP(-(BT88-BR88)))*Parameters!$B$3))^12)*100)</f>
        <v/>
      </c>
    </row>
    <row r="89">
      <c r="A89" s="17" t="inlineStr">
        <is>
          <t>GNR_2014_SEASONED</t>
        </is>
      </c>
      <c r="B89" s="17" t="inlineStr">
        <is>
          <t>36183CH58</t>
        </is>
      </c>
      <c r="C89" s="17" t="inlineStr">
        <is>
          <t>PN</t>
        </is>
      </c>
      <c r="D89" s="17" t="inlineStr">
        <is>
          <t>MERCHANTS CAPITAL CORP.</t>
        </is>
      </c>
      <c r="E89" s="17" t="inlineStr">
        <is>
          <t>36183CH58_000000007311791</t>
        </is>
      </c>
      <c r="F89" s="17" t="n">
        <v>202603</v>
      </c>
      <c r="G89" s="18" t="n">
        <v>3.45</v>
      </c>
      <c r="H89" s="19" t="n">
        <v>4281074.29</v>
      </c>
      <c r="I89" s="17" t="n">
        <v>420</v>
      </c>
      <c r="J89" s="17" t="n">
        <v>20141101</v>
      </c>
      <c r="K89" s="17" t="n">
        <v>20491201</v>
      </c>
      <c r="L89" s="17" t="n"/>
      <c r="M89" s="17" t="n">
        <v>20241130</v>
      </c>
      <c r="N89" s="17" t="n">
        <v>10</v>
      </c>
      <c r="O89" s="17" t="inlineStr">
        <is>
          <t>207/223(F)</t>
        </is>
      </c>
      <c r="P89" s="17" t="inlineStr">
        <is>
          <t>MKT</t>
        </is>
      </c>
      <c r="Q89" s="17" t="n"/>
      <c r="R89" s="17" t="n"/>
      <c r="S89" s="17" t="n"/>
      <c r="T89" s="17" t="inlineStr">
        <is>
          <t>IN</t>
        </is>
      </c>
      <c r="U89" s="17" t="n">
        <v>100</v>
      </c>
      <c r="V89" s="17" t="n">
        <v>490.5</v>
      </c>
      <c r="W89" s="17" t="n">
        <v>136</v>
      </c>
      <c r="X89" s="17" t="n">
        <v>2014</v>
      </c>
      <c r="Y89" s="17" t="n">
        <v>-40</v>
      </c>
      <c r="Z89" s="17" t="n">
        <v>0</v>
      </c>
      <c r="AA89" s="20">
        <f>IF(ISNUMBER(W89),W89,IFERROR(MAX(0,(VALUE(LEFT(F89,4))-VALUE(LEFT(TEXT(J89,"00000000"),4)))*12+(VALUE(MID(F89,5,2))-VALUE(MID(TEXT(J89,"00000000"),5,2)))),""))</f>
        <v/>
      </c>
      <c r="AB89" s="20">
        <f>IFERROR((VALUE(LEFT(TEXT(K89,"00000000"),4))-VALUE(LEFT(F89,4)))*12+(VALUE(MID(TEXT(K89,"00000000"),5,2))-VALUE(MID(F89,5,2))),"")</f>
        <v/>
      </c>
      <c r="AC89" s="20">
        <f>IF(OR(L89="",NOT(ISNUMBER(L89))),0,MAX(0,MIN(60,(VALUE(LEFT(F89,4))-VALUE(LEFT(TEXT(L89,"00000000"),4)))*12+(VALUE(MID(F89,5,2))-VALUE(MID(TEXT(L89,"00000000"),5,2))))))</f>
        <v/>
      </c>
      <c r="AD89" s="20">
        <f>IF(OR(L89="",NOT(ISNUMBER(L89))),0,IF(VALUE(F89)&lt;VALUE(LEFT(TEXT(L89,"00000000"),6)),1,0))</f>
        <v/>
      </c>
      <c r="AE89" s="20">
        <f>IF(OR(M89="",NOT(ISNUMBER(M89))),0,IF(VALUE(F89)&lt;VALUE(LEFT(TEXT(M89,"00000000"),6)),1,0))</f>
        <v/>
      </c>
      <c r="AF89" s="20">
        <f>IF(AND(AD89=0,AE89=0),1,0)</f>
        <v/>
      </c>
      <c r="AG89" s="20">
        <f>IF(ISNUMBER(X89),X89,IFERROR(VALUE(LEFT(TEXT(J89,"00000000"),4)),""))</f>
        <v/>
      </c>
      <c r="AH89" s="20">
        <f>IFERROR(XLOOKUP(AG89,Vintage_Rates!$A$2:$A$1000,Vintage_Rates!$B$2:$B$1000,""),"")</f>
        <v/>
      </c>
      <c r="AI89" s="20">
        <f>IF(ISNUMBER(Y89),Y89,IFERROR((G89-AH89)*100,""))</f>
        <v/>
      </c>
      <c r="AJ89" s="20">
        <f>IF(ISNUMBER(V89),V89,IFERROR(XLOOKUP(VALUE(F89),PLC_Rates!$A$2:$A$1000,PLC_Rates!$B$2:$B$1000,""),""))</f>
        <v/>
      </c>
      <c r="AK89" s="20">
        <f>IF(ISNUMBER(Z89),Z89,IF(AE89=0,0,MAX(0,MIN(10,((VALUE(LEFT(TEXT(M89,"00000000"),4))-VALUE(LEFT(F89,4)))*12+(VALUE(MID(TEXT(M89,"00000000"),5,2))-VALUE(MID(F89,5,2))))/12))))</f>
        <v/>
      </c>
      <c r="AL89" s="20">
        <f>IFERROR(G89*100-AJ89,"")</f>
        <v/>
      </c>
      <c r="AM89" s="20">
        <f>IFERROR(G89*100-(AJ89+(1+AK89)*12.5),"")</f>
        <v/>
      </c>
      <c r="AN89" s="21">
        <f>IFERROR(MIN(H89/1000000,100),"")</f>
        <v/>
      </c>
      <c r="AO89" s="20">
        <f>IFERROR(INDEX(FHA_Lookup!$B$2:$B$11,MATCH(TRUE,ISNUMBER(SEARCH(FHA_Lookup!$A$2:$A$11,UPPER(SUBSTITUTE(O89," ","")))),0)),"OTHER")</f>
        <v/>
      </c>
      <c r="AP89" s="20">
        <f>IFERROR(INDEX(FHA_Lookup!$C$2:$C$11,MATCH(TRUE,ISNUMBER(SEARCH(FHA_Lookup!$A$2:$A$11,UPPER(SUBSTITUTE(O89," ","")))),0)),"OTHER")</f>
        <v/>
      </c>
      <c r="AQ89" s="20">
        <f>IF(AP89="NC",1,0)</f>
        <v/>
      </c>
      <c r="AR89" s="20">
        <f>IF(UPPER(TRIM(P89))="AFF",1,0)</f>
        <v/>
      </c>
      <c r="AS89" s="20">
        <f>IF(UPPER(TRIM(P89))="BAF",1,0)</f>
        <v/>
      </c>
      <c r="AT89" s="20">
        <f>IF(UPPER(TRIM(P89))="MKT",1,0)</f>
        <v/>
      </c>
      <c r="AU89" s="20">
        <f>IF(AO89="221d4",1,0)</f>
        <v/>
      </c>
      <c r="AV89" s="20">
        <f>IF(AO89="223a7",1,0)</f>
        <v/>
      </c>
      <c r="AW89" s="20">
        <f>IF(AO89="232",1,0)</f>
        <v/>
      </c>
      <c r="AX89" s="20">
        <f>IF(AO89="538",1,0)</f>
        <v/>
      </c>
      <c r="AY89" s="20">
        <f>IF(AO89="241",1,0)</f>
        <v/>
      </c>
      <c r="AZ89" s="20">
        <f>IF(AO89="220",1,0)</f>
        <v/>
      </c>
      <c r="BA89" s="20">
        <f>IF(AO89="OTHER",1,0)</f>
        <v/>
      </c>
      <c r="BB89" s="20">
        <f>IF(UPPER(TRIM(C89))="LM",1,0)</f>
        <v/>
      </c>
      <c r="BC89" s="20">
        <f>IF(UPPER(TRIM(C89))="PN",1,0)</f>
        <v/>
      </c>
      <c r="BD89" s="20">
        <f>IF(UPPER(TRIM(C89))="LS",1,0)</f>
        <v/>
      </c>
      <c r="BE89" s="20">
        <f>IF(UPPER(TRIM(C89))="RX",1,0)</f>
        <v/>
      </c>
      <c r="BF89" s="22">
        <f>IFERROR((Parameters!$C$6*AM89+Parameters!$C$7*MAX(AM89-(-150),0)+Parameters!$C$8*MAX(AM89-(-50),0)+Parameters!$C$9*MAX(AM89-(0),0)+Parameters!$C$10*MAX(AM89-(50),0)+Parameters!$C$11*MAX(AM89-(100),0)+Parameters!$C$12*MAX(AM89-(150),0)+Parameters!$C$13*MAX(AM89-(250),0)),0)</f>
        <v/>
      </c>
      <c r="BG89" s="22">
        <f>IFERROR((Parameters!$C$14*AA89+Parameters!$C$15*MAX(AA89-(12),0)+Parameters!$C$16*MAX(AA89-(36),0)+Parameters!$C$17*MAX(AA89-(60),0)+Parameters!$C$18*MAX(AA89-(84),0)+Parameters!$C$19*MAX(AA89-(120),0)+Parameters!$C$20*MAX(AA89-(180),0)),0)</f>
        <v/>
      </c>
      <c r="BH89" s="22">
        <f>IFERROR((Parameters!$C$21*AK89+Parameters!$C$22*MAX(AK89-(0),0)+Parameters!$C$23*MAX(AK89-(2),0)+Parameters!$C$24*MAX(AK89-(5),0)+Parameters!$C$25*MAX(AK89-(8),0)),0)</f>
        <v/>
      </c>
      <c r="BI89" s="22">
        <f>IFERROR((Parameters!$C$26*AI89+Parameters!$C$27*MAX(AI89-(-100),0)+Parameters!$C$28*MAX(AI89-(-25),0)+Parameters!$C$29*MAX(AI89-(25),0)+Parameters!$C$30*MAX(AI89-(100),0)),0)</f>
        <v/>
      </c>
      <c r="BJ89" s="22">
        <f>IFERROR((Parameters!$C$31*AN89+Parameters!$C$32*MAX(AN89-(2),0)+Parameters!$C$33*MAX(AN89-(10),0)+Parameters!$C$34*MAX(AN89-(25),0)),0)</f>
        <v/>
      </c>
      <c r="BK89" s="22">
        <f>IFERROR((Parameters!$C$35*AB89+Parameters!$C$36*MAX(AB89-(12),0)+Parameters!$C$37*MAX(AB89-(24),0)+Parameters!$C$38*MAX(AB89-(60),0)),0)</f>
        <v/>
      </c>
      <c r="BL89" s="22">
        <f>IFERROR((Parameters!$C$39*AC89+Parameters!$C$40*MAX(AC89-(6),0)+Parameters!$C$41*MAX(AC89-(12),0)+Parameters!$C$42*MAX(AC89-(24),0)),0)</f>
        <v/>
      </c>
      <c r="BM89" s="22">
        <f>IFERROR(Parameters!$C$43*(MAX(AM89,0)*MIN(MAX(AK89,0),10))/100,0)</f>
        <v/>
      </c>
      <c r="BN89" s="22">
        <f>Parameters!$C$44*AE89</f>
        <v/>
      </c>
      <c r="BO89" s="22">
        <f>Parameters!$C$45*AU89 + Parameters!$C$46*AV89 + Parameters!$C$47*AW89 + Parameters!$C$48*AX89 + Parameters!$C$49*AY89 + Parameters!$C$50*AZ89 + Parameters!$C$51*BA89</f>
        <v/>
      </c>
      <c r="BP89" s="22">
        <f>Parameters!$C$52*AQ89</f>
        <v/>
      </c>
      <c r="BQ89" s="22">
        <f>Parameters!$C$53*AR89+Parameters!$C$54*AS89+Parameters!$C$55*AT89</f>
        <v/>
      </c>
      <c r="BR89" s="22">
        <f>Parameters!$C$56*BB89+Parameters!$C$57*BC89+Parameters!$C$58*BD89+Parameters!$C$59*BE89</f>
        <v/>
      </c>
      <c r="BS89" s="23">
        <f>Parameters!$B$2</f>
        <v/>
      </c>
      <c r="BT89" s="23">
        <f>BS89+BF89 + BG89 + BH89 + BI89 + BJ89 + BK89 + BL89 + BM89 + BN89 + BO89 + BP89 + BQ89 + BR89</f>
        <v/>
      </c>
      <c r="BU89" s="24">
        <f>IF(AD89=1,0,1/(1+EXP(-BT89))*Parameters!$B$3)</f>
        <v/>
      </c>
      <c r="BV89" s="25">
        <f>(1-(1-BU89)^12)*100</f>
        <v/>
      </c>
      <c r="BW89" s="25">
        <f>IF(AD89=1,0,(1-(1-1/(1+EXP(-Parameters!$B$2)))^12)*100)</f>
        <v/>
      </c>
      <c r="BX89" s="25">
        <f>IF(AD89=1,0,BV89-(1-(1-(1/(1+EXP(-(BT89-BF89)))*Parameters!$B$3))^12)*100)</f>
        <v/>
      </c>
      <c r="BY89" s="25">
        <f>IF(AD89=1,0,BV89-(1-(1-(1/(1+EXP(-(BT89-BG89)))*Parameters!$B$3))^12)*100)</f>
        <v/>
      </c>
      <c r="BZ89" s="25">
        <f>IF(AD89=1,0,BV89-(1-(1-(1/(1+EXP(-(BT89-BH89)))*Parameters!$B$3))^12)*100)</f>
        <v/>
      </c>
      <c r="CA89" s="25">
        <f>IF(AD89=1,0,BV89-(1-(1-(1/(1+EXP(-(BT89-BI89)))*Parameters!$B$3))^12)*100)</f>
        <v/>
      </c>
      <c r="CB89" s="25">
        <f>IF(AD89=1,0,BV89-(1-(1-(1/(1+EXP(-(BT89-BJ89)))*Parameters!$B$3))^12)*100)</f>
        <v/>
      </c>
      <c r="CC89" s="25">
        <f>IF(AD89=1,0,BV89-(1-(1-(1/(1+EXP(-(BT89-BK89)))*Parameters!$B$3))^12)*100)</f>
        <v/>
      </c>
      <c r="CD89" s="25">
        <f>IF(AD89=1,0,BV89-(1-(1-(1/(1+EXP(-(BT89-BL89)))*Parameters!$B$3))^12)*100)</f>
        <v/>
      </c>
      <c r="CE89" s="25">
        <f>IF(AD89=1,0,BV89-(1-(1-(1/(1+EXP(-(BT89-BM89)))*Parameters!$B$3))^12)*100)</f>
        <v/>
      </c>
      <c r="CF89" s="25">
        <f>IF(AD89=1,0,BV89-(1-(1-(1/(1+EXP(-(BT89-BN89)))*Parameters!$B$3))^12)*100)</f>
        <v/>
      </c>
      <c r="CG89" s="25">
        <f>IF(AD89=1,0,BV89-(1-(1-(1/(1+EXP(-(BT89-BO89)))*Parameters!$B$3))^12)*100)</f>
        <v/>
      </c>
      <c r="CH89" s="25">
        <f>IF(AD89=1,0,BV89-(1-(1-(1/(1+EXP(-(BT89-BP89)))*Parameters!$B$3))^12)*100)</f>
        <v/>
      </c>
      <c r="CI89" s="25">
        <f>IF(AD89=1,0,BV89-(1-(1-(1/(1+EXP(-(BT89-BQ89)))*Parameters!$B$3))^12)*100)</f>
        <v/>
      </c>
      <c r="CJ89" s="25">
        <f>IF(AD89=1,0,BV89-(1-(1-(1/(1+EXP(-(BT89-BR89)))*Parameters!$B$3))^12)*100)</f>
        <v/>
      </c>
    </row>
    <row r="90">
      <c r="A90" s="17" t="inlineStr">
        <is>
          <t>GNR_2014_SEASONED</t>
        </is>
      </c>
      <c r="B90" s="17" t="inlineStr">
        <is>
          <t>36180HGG7</t>
        </is>
      </c>
      <c r="C90" s="17" t="inlineStr">
        <is>
          <t>PN</t>
        </is>
      </c>
      <c r="D90" s="17" t="inlineStr">
        <is>
          <t>BERKADIA COMMERCIAL MORTGAGE, LLC</t>
        </is>
      </c>
      <c r="E90" s="17" t="inlineStr">
        <is>
          <t>36180HGG7_000000011511198</t>
        </is>
      </c>
      <c r="F90" s="17" t="n">
        <v>202603</v>
      </c>
      <c r="G90" s="18" t="n">
        <v>3.15</v>
      </c>
      <c r="H90" s="19" t="n">
        <v>690065.6</v>
      </c>
      <c r="I90" s="17" t="n">
        <v>420</v>
      </c>
      <c r="J90" s="17" t="n">
        <v>20130205</v>
      </c>
      <c r="K90" s="17" t="n">
        <v>20480601</v>
      </c>
      <c r="L90" s="17" t="n">
        <v>20140701</v>
      </c>
      <c r="M90" s="17" t="n">
        <v>20230701</v>
      </c>
      <c r="N90" s="17" t="n">
        <v>9</v>
      </c>
      <c r="O90" s="17" t="inlineStr">
        <is>
          <t>223f/223a7</t>
        </is>
      </c>
      <c r="P90" s="17" t="inlineStr">
        <is>
          <t>MKT</t>
        </is>
      </c>
      <c r="Q90" s="17" t="n"/>
      <c r="R90" s="17" t="n"/>
      <c r="S90" s="17" t="n"/>
      <c r="T90" s="17" t="inlineStr">
        <is>
          <t>TX</t>
        </is>
      </c>
      <c r="U90" s="17" t="n">
        <v>56</v>
      </c>
      <c r="V90" s="17" t="n">
        <v>490.5</v>
      </c>
      <c r="W90" s="17" t="n">
        <v>157</v>
      </c>
      <c r="X90" s="17" t="n">
        <v>2013</v>
      </c>
      <c r="Y90" s="17" t="n">
        <v>-23</v>
      </c>
      <c r="Z90" s="17" t="n">
        <v>0</v>
      </c>
      <c r="AA90" s="20">
        <f>IF(ISNUMBER(W90),W90,IFERROR(MAX(0,(VALUE(LEFT(F90,4))-VALUE(LEFT(TEXT(J90,"00000000"),4)))*12+(VALUE(MID(F90,5,2))-VALUE(MID(TEXT(J90,"00000000"),5,2)))),""))</f>
        <v/>
      </c>
      <c r="AB90" s="20">
        <f>IFERROR((VALUE(LEFT(TEXT(K90,"00000000"),4))-VALUE(LEFT(F90,4)))*12+(VALUE(MID(TEXT(K90,"00000000"),5,2))-VALUE(MID(F90,5,2))),"")</f>
        <v/>
      </c>
      <c r="AC90" s="20">
        <f>IF(OR(L90="",NOT(ISNUMBER(L90))),0,MAX(0,MIN(60,(VALUE(LEFT(F90,4))-VALUE(LEFT(TEXT(L90,"00000000"),4)))*12+(VALUE(MID(F90,5,2))-VALUE(MID(TEXT(L90,"00000000"),5,2))))))</f>
        <v/>
      </c>
      <c r="AD90" s="20">
        <f>IF(OR(L90="",NOT(ISNUMBER(L90))),0,IF(VALUE(F90)&lt;VALUE(LEFT(TEXT(L90,"00000000"),6)),1,0))</f>
        <v/>
      </c>
      <c r="AE90" s="20">
        <f>IF(OR(M90="",NOT(ISNUMBER(M90))),0,IF(VALUE(F90)&lt;VALUE(LEFT(TEXT(M90,"00000000"),6)),1,0))</f>
        <v/>
      </c>
      <c r="AF90" s="20">
        <f>IF(AND(AD90=0,AE90=0),1,0)</f>
        <v/>
      </c>
      <c r="AG90" s="20">
        <f>IF(ISNUMBER(X90),X90,IFERROR(VALUE(LEFT(TEXT(J90,"00000000"),4)),""))</f>
        <v/>
      </c>
      <c r="AH90" s="20">
        <f>IFERROR(XLOOKUP(AG90,Vintage_Rates!$A$2:$A$1000,Vintage_Rates!$B$2:$B$1000,""),"")</f>
        <v/>
      </c>
      <c r="AI90" s="20">
        <f>IF(ISNUMBER(Y90),Y90,IFERROR((G90-AH90)*100,""))</f>
        <v/>
      </c>
      <c r="AJ90" s="20">
        <f>IF(ISNUMBER(V90),V90,IFERROR(XLOOKUP(VALUE(F90),PLC_Rates!$A$2:$A$1000,PLC_Rates!$B$2:$B$1000,""),""))</f>
        <v/>
      </c>
      <c r="AK90" s="20">
        <f>IF(ISNUMBER(Z90),Z90,IF(AE90=0,0,MAX(0,MIN(10,((VALUE(LEFT(TEXT(M90,"00000000"),4))-VALUE(LEFT(F90,4)))*12+(VALUE(MID(TEXT(M90,"00000000"),5,2))-VALUE(MID(F90,5,2))))/12))))</f>
        <v/>
      </c>
      <c r="AL90" s="20">
        <f>IFERROR(G90*100-AJ90,"")</f>
        <v/>
      </c>
      <c r="AM90" s="20">
        <f>IFERROR(G90*100-(AJ90+(1+AK90)*12.5),"")</f>
        <v/>
      </c>
      <c r="AN90" s="21">
        <f>IFERROR(MIN(H90/1000000,100),"")</f>
        <v/>
      </c>
      <c r="AO90" s="20">
        <f>IFERROR(INDEX(FHA_Lookup!$B$2:$B$11,MATCH(TRUE,ISNUMBER(SEARCH(FHA_Lookup!$A$2:$A$11,UPPER(SUBSTITUTE(O90," ","")))),0)),"OTHER")</f>
        <v/>
      </c>
      <c r="AP90" s="20">
        <f>IFERROR(INDEX(FHA_Lookup!$C$2:$C$11,MATCH(TRUE,ISNUMBER(SEARCH(FHA_Lookup!$A$2:$A$11,UPPER(SUBSTITUTE(O90," ","")))),0)),"OTHER")</f>
        <v/>
      </c>
      <c r="AQ90" s="20">
        <f>IF(AP90="NC",1,0)</f>
        <v/>
      </c>
      <c r="AR90" s="20">
        <f>IF(UPPER(TRIM(P90))="AFF",1,0)</f>
        <v/>
      </c>
      <c r="AS90" s="20">
        <f>IF(UPPER(TRIM(P90))="BAF",1,0)</f>
        <v/>
      </c>
      <c r="AT90" s="20">
        <f>IF(UPPER(TRIM(P90))="MKT",1,0)</f>
        <v/>
      </c>
      <c r="AU90" s="20">
        <f>IF(AO90="221d4",1,0)</f>
        <v/>
      </c>
      <c r="AV90" s="20">
        <f>IF(AO90="223a7",1,0)</f>
        <v/>
      </c>
      <c r="AW90" s="20">
        <f>IF(AO90="232",1,0)</f>
        <v/>
      </c>
      <c r="AX90" s="20">
        <f>IF(AO90="538",1,0)</f>
        <v/>
      </c>
      <c r="AY90" s="20">
        <f>IF(AO90="241",1,0)</f>
        <v/>
      </c>
      <c r="AZ90" s="20">
        <f>IF(AO90="220",1,0)</f>
        <v/>
      </c>
      <c r="BA90" s="20">
        <f>IF(AO90="OTHER",1,0)</f>
        <v/>
      </c>
      <c r="BB90" s="20">
        <f>IF(UPPER(TRIM(C90))="LM",1,0)</f>
        <v/>
      </c>
      <c r="BC90" s="20">
        <f>IF(UPPER(TRIM(C90))="PN",1,0)</f>
        <v/>
      </c>
      <c r="BD90" s="20">
        <f>IF(UPPER(TRIM(C90))="LS",1,0)</f>
        <v/>
      </c>
      <c r="BE90" s="20">
        <f>IF(UPPER(TRIM(C90))="RX",1,0)</f>
        <v/>
      </c>
      <c r="BF90" s="22">
        <f>IFERROR((Parameters!$C$6*AM90+Parameters!$C$7*MAX(AM90-(-150),0)+Parameters!$C$8*MAX(AM90-(-50),0)+Parameters!$C$9*MAX(AM90-(0),0)+Parameters!$C$10*MAX(AM90-(50),0)+Parameters!$C$11*MAX(AM90-(100),0)+Parameters!$C$12*MAX(AM90-(150),0)+Parameters!$C$13*MAX(AM90-(250),0)),0)</f>
        <v/>
      </c>
      <c r="BG90" s="22">
        <f>IFERROR((Parameters!$C$14*AA90+Parameters!$C$15*MAX(AA90-(12),0)+Parameters!$C$16*MAX(AA90-(36),0)+Parameters!$C$17*MAX(AA90-(60),0)+Parameters!$C$18*MAX(AA90-(84),0)+Parameters!$C$19*MAX(AA90-(120),0)+Parameters!$C$20*MAX(AA90-(180),0)),0)</f>
        <v/>
      </c>
      <c r="BH90" s="22">
        <f>IFERROR((Parameters!$C$21*AK90+Parameters!$C$22*MAX(AK90-(0),0)+Parameters!$C$23*MAX(AK90-(2),0)+Parameters!$C$24*MAX(AK90-(5),0)+Parameters!$C$25*MAX(AK90-(8),0)),0)</f>
        <v/>
      </c>
      <c r="BI90" s="22">
        <f>IFERROR((Parameters!$C$26*AI90+Parameters!$C$27*MAX(AI90-(-100),0)+Parameters!$C$28*MAX(AI90-(-25),0)+Parameters!$C$29*MAX(AI90-(25),0)+Parameters!$C$30*MAX(AI90-(100),0)),0)</f>
        <v/>
      </c>
      <c r="BJ90" s="22">
        <f>IFERROR((Parameters!$C$31*AN90+Parameters!$C$32*MAX(AN90-(2),0)+Parameters!$C$33*MAX(AN90-(10),0)+Parameters!$C$34*MAX(AN90-(25),0)),0)</f>
        <v/>
      </c>
      <c r="BK90" s="22">
        <f>IFERROR((Parameters!$C$35*AB90+Parameters!$C$36*MAX(AB90-(12),0)+Parameters!$C$37*MAX(AB90-(24),0)+Parameters!$C$38*MAX(AB90-(60),0)),0)</f>
        <v/>
      </c>
      <c r="BL90" s="22">
        <f>IFERROR((Parameters!$C$39*AC90+Parameters!$C$40*MAX(AC90-(6),0)+Parameters!$C$41*MAX(AC90-(12),0)+Parameters!$C$42*MAX(AC90-(24),0)),0)</f>
        <v/>
      </c>
      <c r="BM90" s="22">
        <f>IFERROR(Parameters!$C$43*(MAX(AM90,0)*MIN(MAX(AK90,0),10))/100,0)</f>
        <v/>
      </c>
      <c r="BN90" s="22">
        <f>Parameters!$C$44*AE90</f>
        <v/>
      </c>
      <c r="BO90" s="22">
        <f>Parameters!$C$45*AU90 + Parameters!$C$46*AV90 + Parameters!$C$47*AW90 + Parameters!$C$48*AX90 + Parameters!$C$49*AY90 + Parameters!$C$50*AZ90 + Parameters!$C$51*BA90</f>
        <v/>
      </c>
      <c r="BP90" s="22">
        <f>Parameters!$C$52*AQ90</f>
        <v/>
      </c>
      <c r="BQ90" s="22">
        <f>Parameters!$C$53*AR90+Parameters!$C$54*AS90+Parameters!$C$55*AT90</f>
        <v/>
      </c>
      <c r="BR90" s="22">
        <f>Parameters!$C$56*BB90+Parameters!$C$57*BC90+Parameters!$C$58*BD90+Parameters!$C$59*BE90</f>
        <v/>
      </c>
      <c r="BS90" s="23">
        <f>Parameters!$B$2</f>
        <v/>
      </c>
      <c r="BT90" s="23">
        <f>BS90+BF90 + BG90 + BH90 + BI90 + BJ90 + BK90 + BL90 + BM90 + BN90 + BO90 + BP90 + BQ90 + BR90</f>
        <v/>
      </c>
      <c r="BU90" s="24">
        <f>IF(AD90=1,0,1/(1+EXP(-BT90))*Parameters!$B$3)</f>
        <v/>
      </c>
      <c r="BV90" s="25">
        <f>(1-(1-BU90)^12)*100</f>
        <v/>
      </c>
      <c r="BW90" s="25">
        <f>IF(AD90=1,0,(1-(1-1/(1+EXP(-Parameters!$B$2)))^12)*100)</f>
        <v/>
      </c>
      <c r="BX90" s="25">
        <f>IF(AD90=1,0,BV90-(1-(1-(1/(1+EXP(-(BT90-BF90)))*Parameters!$B$3))^12)*100)</f>
        <v/>
      </c>
      <c r="BY90" s="25">
        <f>IF(AD90=1,0,BV90-(1-(1-(1/(1+EXP(-(BT90-BG90)))*Parameters!$B$3))^12)*100)</f>
        <v/>
      </c>
      <c r="BZ90" s="25">
        <f>IF(AD90=1,0,BV90-(1-(1-(1/(1+EXP(-(BT90-BH90)))*Parameters!$B$3))^12)*100)</f>
        <v/>
      </c>
      <c r="CA90" s="25">
        <f>IF(AD90=1,0,BV90-(1-(1-(1/(1+EXP(-(BT90-BI90)))*Parameters!$B$3))^12)*100)</f>
        <v/>
      </c>
      <c r="CB90" s="25">
        <f>IF(AD90=1,0,BV90-(1-(1-(1/(1+EXP(-(BT90-BJ90)))*Parameters!$B$3))^12)*100)</f>
        <v/>
      </c>
      <c r="CC90" s="25">
        <f>IF(AD90=1,0,BV90-(1-(1-(1/(1+EXP(-(BT90-BK90)))*Parameters!$B$3))^12)*100)</f>
        <v/>
      </c>
      <c r="CD90" s="25">
        <f>IF(AD90=1,0,BV90-(1-(1-(1/(1+EXP(-(BT90-BL90)))*Parameters!$B$3))^12)*100)</f>
        <v/>
      </c>
      <c r="CE90" s="25">
        <f>IF(AD90=1,0,BV90-(1-(1-(1/(1+EXP(-(BT90-BM90)))*Parameters!$B$3))^12)*100)</f>
        <v/>
      </c>
      <c r="CF90" s="25">
        <f>IF(AD90=1,0,BV90-(1-(1-(1/(1+EXP(-(BT90-BN90)))*Parameters!$B$3))^12)*100)</f>
        <v/>
      </c>
      <c r="CG90" s="25">
        <f>IF(AD90=1,0,BV90-(1-(1-(1/(1+EXP(-(BT90-BO90)))*Parameters!$B$3))^12)*100)</f>
        <v/>
      </c>
      <c r="CH90" s="25">
        <f>IF(AD90=1,0,BV90-(1-(1-(1/(1+EXP(-(BT90-BP90)))*Parameters!$B$3))^12)*100)</f>
        <v/>
      </c>
      <c r="CI90" s="25">
        <f>IF(AD90=1,0,BV90-(1-(1-(1/(1+EXP(-(BT90-BQ90)))*Parameters!$B$3))^12)*100)</f>
        <v/>
      </c>
      <c r="CJ90" s="25">
        <f>IF(AD90=1,0,BV90-(1-(1-(1/(1+EXP(-(BT90-BR90)))*Parameters!$B$3))^12)*100)</f>
        <v/>
      </c>
    </row>
    <row r="91">
      <c r="A91" s="17" t="inlineStr">
        <is>
          <t>GNR_2014_SEASONED</t>
        </is>
      </c>
      <c r="B91" s="17" t="inlineStr">
        <is>
          <t>3617W4BG8</t>
        </is>
      </c>
      <c r="C91" s="17" t="inlineStr">
        <is>
          <t>LM</t>
        </is>
      </c>
      <c r="D91" s="17" t="inlineStr">
        <is>
          <t>WELLS FARGO BANK, N.A.</t>
        </is>
      </c>
      <c r="E91" s="17" t="inlineStr">
        <is>
          <t>3617W4BG8_000000006511105</t>
        </is>
      </c>
      <c r="F91" s="17" t="n">
        <v>202603</v>
      </c>
      <c r="G91" s="18" t="n">
        <v>2.92</v>
      </c>
      <c r="H91" s="19" t="n">
        <v>1867729.54</v>
      </c>
      <c r="I91" s="17" t="n">
        <v>420</v>
      </c>
      <c r="J91" s="17" t="n">
        <v>20140201</v>
      </c>
      <c r="K91" s="17" t="n">
        <v>20490301</v>
      </c>
      <c r="L91" s="17" t="n"/>
      <c r="M91" s="17" t="n">
        <v>20310801</v>
      </c>
      <c r="N91" s="17" t="n">
        <v>10</v>
      </c>
      <c r="O91" s="17" t="inlineStr">
        <is>
          <t>207/223(F)</t>
        </is>
      </c>
      <c r="P91" s="17" t="inlineStr">
        <is>
          <t>MKT</t>
        </is>
      </c>
      <c r="Q91" s="17" t="inlineStr">
        <is>
          <t>M</t>
        </is>
      </c>
      <c r="R91" s="17" t="n"/>
      <c r="S91" s="17" t="n">
        <v>1</v>
      </c>
      <c r="T91" s="17" t="inlineStr">
        <is>
          <t>MS</t>
        </is>
      </c>
      <c r="U91" s="17" t="n">
        <v>76</v>
      </c>
      <c r="V91" s="17" t="n">
        <v>490.5</v>
      </c>
      <c r="W91" s="17" t="n">
        <v>145</v>
      </c>
      <c r="X91" s="17" t="n">
        <v>2014</v>
      </c>
      <c r="Y91" s="17" t="n">
        <v>-93</v>
      </c>
      <c r="Z91" s="17" t="n">
        <v>6</v>
      </c>
      <c r="AA91" s="20">
        <f>IF(ISNUMBER(W91),W91,IFERROR(MAX(0,(VALUE(LEFT(F91,4))-VALUE(LEFT(TEXT(J91,"00000000"),4)))*12+(VALUE(MID(F91,5,2))-VALUE(MID(TEXT(J91,"00000000"),5,2)))),""))</f>
        <v/>
      </c>
      <c r="AB91" s="20">
        <f>IFERROR((VALUE(LEFT(TEXT(K91,"00000000"),4))-VALUE(LEFT(F91,4)))*12+(VALUE(MID(TEXT(K91,"00000000"),5,2))-VALUE(MID(F91,5,2))),"")</f>
        <v/>
      </c>
      <c r="AC91" s="20">
        <f>IF(OR(L91="",NOT(ISNUMBER(L91))),0,MAX(0,MIN(60,(VALUE(LEFT(F91,4))-VALUE(LEFT(TEXT(L91,"00000000"),4)))*12+(VALUE(MID(F91,5,2))-VALUE(MID(TEXT(L91,"00000000"),5,2))))))</f>
        <v/>
      </c>
      <c r="AD91" s="20">
        <f>IF(OR(L91="",NOT(ISNUMBER(L91))),0,IF(VALUE(F91)&lt;VALUE(LEFT(TEXT(L91,"00000000"),6)),1,0))</f>
        <v/>
      </c>
      <c r="AE91" s="20">
        <f>IF(OR(M91="",NOT(ISNUMBER(M91))),0,IF(VALUE(F91)&lt;VALUE(LEFT(TEXT(M91,"00000000"),6)),1,0))</f>
        <v/>
      </c>
      <c r="AF91" s="20">
        <f>IF(AND(AD91=0,AE91=0),1,0)</f>
        <v/>
      </c>
      <c r="AG91" s="20">
        <f>IF(ISNUMBER(X91),X91,IFERROR(VALUE(LEFT(TEXT(J91,"00000000"),4)),""))</f>
        <v/>
      </c>
      <c r="AH91" s="20">
        <f>IFERROR(XLOOKUP(AG91,Vintage_Rates!$A$2:$A$1000,Vintage_Rates!$B$2:$B$1000,""),"")</f>
        <v/>
      </c>
      <c r="AI91" s="20">
        <f>IF(ISNUMBER(Y91),Y91,IFERROR((G91-AH91)*100,""))</f>
        <v/>
      </c>
      <c r="AJ91" s="20">
        <f>IF(ISNUMBER(V91),V91,IFERROR(XLOOKUP(VALUE(F91),PLC_Rates!$A$2:$A$1000,PLC_Rates!$B$2:$B$1000,""),""))</f>
        <v/>
      </c>
      <c r="AK91" s="20">
        <f>IF(ISNUMBER(Z91),Z91,IF(AE91=0,0,MAX(0,MIN(10,((VALUE(LEFT(TEXT(M91,"00000000"),4))-VALUE(LEFT(F91,4)))*12+(VALUE(MID(TEXT(M91,"00000000"),5,2))-VALUE(MID(F91,5,2))))/12))))</f>
        <v/>
      </c>
      <c r="AL91" s="20">
        <f>IFERROR(G91*100-AJ91,"")</f>
        <v/>
      </c>
      <c r="AM91" s="20">
        <f>IFERROR(G91*100-(AJ91+(1+AK91)*12.5),"")</f>
        <v/>
      </c>
      <c r="AN91" s="21">
        <f>IFERROR(MIN(H91/1000000,100),"")</f>
        <v/>
      </c>
      <c r="AO91" s="20">
        <f>IFERROR(INDEX(FHA_Lookup!$B$2:$B$11,MATCH(TRUE,ISNUMBER(SEARCH(FHA_Lookup!$A$2:$A$11,UPPER(SUBSTITUTE(O91," ","")))),0)),"OTHER")</f>
        <v/>
      </c>
      <c r="AP91" s="20">
        <f>IFERROR(INDEX(FHA_Lookup!$C$2:$C$11,MATCH(TRUE,ISNUMBER(SEARCH(FHA_Lookup!$A$2:$A$11,UPPER(SUBSTITUTE(O91," ","")))),0)),"OTHER")</f>
        <v/>
      </c>
      <c r="AQ91" s="20">
        <f>IF(AP91="NC",1,0)</f>
        <v/>
      </c>
      <c r="AR91" s="20">
        <f>IF(UPPER(TRIM(P91))="AFF",1,0)</f>
        <v/>
      </c>
      <c r="AS91" s="20">
        <f>IF(UPPER(TRIM(P91))="BAF",1,0)</f>
        <v/>
      </c>
      <c r="AT91" s="20">
        <f>IF(UPPER(TRIM(P91))="MKT",1,0)</f>
        <v/>
      </c>
      <c r="AU91" s="20">
        <f>IF(AO91="221d4",1,0)</f>
        <v/>
      </c>
      <c r="AV91" s="20">
        <f>IF(AO91="223a7",1,0)</f>
        <v/>
      </c>
      <c r="AW91" s="20">
        <f>IF(AO91="232",1,0)</f>
        <v/>
      </c>
      <c r="AX91" s="20">
        <f>IF(AO91="538",1,0)</f>
        <v/>
      </c>
      <c r="AY91" s="20">
        <f>IF(AO91="241",1,0)</f>
        <v/>
      </c>
      <c r="AZ91" s="20">
        <f>IF(AO91="220",1,0)</f>
        <v/>
      </c>
      <c r="BA91" s="20">
        <f>IF(AO91="OTHER",1,0)</f>
        <v/>
      </c>
      <c r="BB91" s="20">
        <f>IF(UPPER(TRIM(C91))="LM",1,0)</f>
        <v/>
      </c>
      <c r="BC91" s="20">
        <f>IF(UPPER(TRIM(C91))="PN",1,0)</f>
        <v/>
      </c>
      <c r="BD91" s="20">
        <f>IF(UPPER(TRIM(C91))="LS",1,0)</f>
        <v/>
      </c>
      <c r="BE91" s="20">
        <f>IF(UPPER(TRIM(C91))="RX",1,0)</f>
        <v/>
      </c>
      <c r="BF91" s="22">
        <f>IFERROR((Parameters!$C$6*AM91+Parameters!$C$7*MAX(AM91-(-150),0)+Parameters!$C$8*MAX(AM91-(-50),0)+Parameters!$C$9*MAX(AM91-(0),0)+Parameters!$C$10*MAX(AM91-(50),0)+Parameters!$C$11*MAX(AM91-(100),0)+Parameters!$C$12*MAX(AM91-(150),0)+Parameters!$C$13*MAX(AM91-(250),0)),0)</f>
        <v/>
      </c>
      <c r="BG91" s="22">
        <f>IFERROR((Parameters!$C$14*AA91+Parameters!$C$15*MAX(AA91-(12),0)+Parameters!$C$16*MAX(AA91-(36),0)+Parameters!$C$17*MAX(AA91-(60),0)+Parameters!$C$18*MAX(AA91-(84),0)+Parameters!$C$19*MAX(AA91-(120),0)+Parameters!$C$20*MAX(AA91-(180),0)),0)</f>
        <v/>
      </c>
      <c r="BH91" s="22">
        <f>IFERROR((Parameters!$C$21*AK91+Parameters!$C$22*MAX(AK91-(0),0)+Parameters!$C$23*MAX(AK91-(2),0)+Parameters!$C$24*MAX(AK91-(5),0)+Parameters!$C$25*MAX(AK91-(8),0)),0)</f>
        <v/>
      </c>
      <c r="BI91" s="22">
        <f>IFERROR((Parameters!$C$26*AI91+Parameters!$C$27*MAX(AI91-(-100),0)+Parameters!$C$28*MAX(AI91-(-25),0)+Parameters!$C$29*MAX(AI91-(25),0)+Parameters!$C$30*MAX(AI91-(100),0)),0)</f>
        <v/>
      </c>
      <c r="BJ91" s="22">
        <f>IFERROR((Parameters!$C$31*AN91+Parameters!$C$32*MAX(AN91-(2),0)+Parameters!$C$33*MAX(AN91-(10),0)+Parameters!$C$34*MAX(AN91-(25),0)),0)</f>
        <v/>
      </c>
      <c r="BK91" s="22">
        <f>IFERROR((Parameters!$C$35*AB91+Parameters!$C$36*MAX(AB91-(12),0)+Parameters!$C$37*MAX(AB91-(24),0)+Parameters!$C$38*MAX(AB91-(60),0)),0)</f>
        <v/>
      </c>
      <c r="BL91" s="22">
        <f>IFERROR((Parameters!$C$39*AC91+Parameters!$C$40*MAX(AC91-(6),0)+Parameters!$C$41*MAX(AC91-(12),0)+Parameters!$C$42*MAX(AC91-(24),0)),0)</f>
        <v/>
      </c>
      <c r="BM91" s="22">
        <f>IFERROR(Parameters!$C$43*(MAX(AM91,0)*MIN(MAX(AK91,0),10))/100,0)</f>
        <v/>
      </c>
      <c r="BN91" s="22">
        <f>Parameters!$C$44*AE91</f>
        <v/>
      </c>
      <c r="BO91" s="22">
        <f>Parameters!$C$45*AU91 + Parameters!$C$46*AV91 + Parameters!$C$47*AW91 + Parameters!$C$48*AX91 + Parameters!$C$49*AY91 + Parameters!$C$50*AZ91 + Parameters!$C$51*BA91</f>
        <v/>
      </c>
      <c r="BP91" s="22">
        <f>Parameters!$C$52*AQ91</f>
        <v/>
      </c>
      <c r="BQ91" s="22">
        <f>Parameters!$C$53*AR91+Parameters!$C$54*AS91+Parameters!$C$55*AT91</f>
        <v/>
      </c>
      <c r="BR91" s="22">
        <f>Parameters!$C$56*BB91+Parameters!$C$57*BC91+Parameters!$C$58*BD91+Parameters!$C$59*BE91</f>
        <v/>
      </c>
      <c r="BS91" s="23">
        <f>Parameters!$B$2</f>
        <v/>
      </c>
      <c r="BT91" s="23">
        <f>BS91+BF91 + BG91 + BH91 + BI91 + BJ91 + BK91 + BL91 + BM91 + BN91 + BO91 + BP91 + BQ91 + BR91</f>
        <v/>
      </c>
      <c r="BU91" s="24">
        <f>IF(AD91=1,0,1/(1+EXP(-BT91))*Parameters!$B$3)</f>
        <v/>
      </c>
      <c r="BV91" s="25">
        <f>(1-(1-BU91)^12)*100</f>
        <v/>
      </c>
      <c r="BW91" s="25">
        <f>IF(AD91=1,0,(1-(1-1/(1+EXP(-Parameters!$B$2)))^12)*100)</f>
        <v/>
      </c>
      <c r="BX91" s="25">
        <f>IF(AD91=1,0,BV91-(1-(1-(1/(1+EXP(-(BT91-BF91)))*Parameters!$B$3))^12)*100)</f>
        <v/>
      </c>
      <c r="BY91" s="25">
        <f>IF(AD91=1,0,BV91-(1-(1-(1/(1+EXP(-(BT91-BG91)))*Parameters!$B$3))^12)*100)</f>
        <v/>
      </c>
      <c r="BZ91" s="25">
        <f>IF(AD91=1,0,BV91-(1-(1-(1/(1+EXP(-(BT91-BH91)))*Parameters!$B$3))^12)*100)</f>
        <v/>
      </c>
      <c r="CA91" s="25">
        <f>IF(AD91=1,0,BV91-(1-(1-(1/(1+EXP(-(BT91-BI91)))*Parameters!$B$3))^12)*100)</f>
        <v/>
      </c>
      <c r="CB91" s="25">
        <f>IF(AD91=1,0,BV91-(1-(1-(1/(1+EXP(-(BT91-BJ91)))*Parameters!$B$3))^12)*100)</f>
        <v/>
      </c>
      <c r="CC91" s="25">
        <f>IF(AD91=1,0,BV91-(1-(1-(1/(1+EXP(-(BT91-BK91)))*Parameters!$B$3))^12)*100)</f>
        <v/>
      </c>
      <c r="CD91" s="25">
        <f>IF(AD91=1,0,BV91-(1-(1-(1/(1+EXP(-(BT91-BL91)))*Parameters!$B$3))^12)*100)</f>
        <v/>
      </c>
      <c r="CE91" s="25">
        <f>IF(AD91=1,0,BV91-(1-(1-(1/(1+EXP(-(BT91-BM91)))*Parameters!$B$3))^12)*100)</f>
        <v/>
      </c>
      <c r="CF91" s="25">
        <f>IF(AD91=1,0,BV91-(1-(1-(1/(1+EXP(-(BT91-BN91)))*Parameters!$B$3))^12)*100)</f>
        <v/>
      </c>
      <c r="CG91" s="25">
        <f>IF(AD91=1,0,BV91-(1-(1-(1/(1+EXP(-(BT91-BO91)))*Parameters!$B$3))^12)*100)</f>
        <v/>
      </c>
      <c r="CH91" s="25">
        <f>IF(AD91=1,0,BV91-(1-(1-(1/(1+EXP(-(BT91-BP91)))*Parameters!$B$3))^12)*100)</f>
        <v/>
      </c>
      <c r="CI91" s="25">
        <f>IF(AD91=1,0,BV91-(1-(1-(1/(1+EXP(-(BT91-BQ91)))*Parameters!$B$3))^12)*100)</f>
        <v/>
      </c>
      <c r="CJ91" s="25">
        <f>IF(AD91=1,0,BV91-(1-(1-(1/(1+EXP(-(BT91-BR91)))*Parameters!$B$3))^12)*100)</f>
        <v/>
      </c>
    </row>
    <row r="92">
      <c r="A92" s="17" t="inlineStr">
        <is>
          <t>GNR_2014_SEASONED</t>
        </is>
      </c>
      <c r="B92" s="17" t="inlineStr">
        <is>
          <t>36179J4H7</t>
        </is>
      </c>
      <c r="C92" s="17" t="inlineStr">
        <is>
          <t>PN</t>
        </is>
      </c>
      <c r="D92" s="17" t="inlineStr">
        <is>
          <t>WELLS FARGO BANK, N.A.</t>
        </is>
      </c>
      <c r="E92" s="17" t="inlineStr">
        <is>
          <t>36179J4H7_000000006535715</t>
        </is>
      </c>
      <c r="F92" s="17" t="n">
        <v>202603</v>
      </c>
      <c r="G92" s="18" t="n">
        <v>3</v>
      </c>
      <c r="H92" s="19" t="n">
        <v>17104416.71</v>
      </c>
      <c r="I92" s="17" t="n">
        <v>480</v>
      </c>
      <c r="J92" s="17" t="n">
        <v>20130401</v>
      </c>
      <c r="K92" s="17" t="n">
        <v>20530501</v>
      </c>
      <c r="L92" s="17" t="n">
        <v>20140601</v>
      </c>
      <c r="M92" s="17" t="n">
        <v>20230601</v>
      </c>
      <c r="N92" s="17" t="n">
        <v>9</v>
      </c>
      <c r="O92" s="17" t="inlineStr">
        <is>
          <t>221d4223a7</t>
        </is>
      </c>
      <c r="P92" s="17" t="inlineStr">
        <is>
          <t>MKT</t>
        </is>
      </c>
      <c r="Q92" s="17" t="n"/>
      <c r="R92" s="17" t="n"/>
      <c r="S92" s="17" t="n"/>
      <c r="T92" s="17" t="inlineStr">
        <is>
          <t>MS</t>
        </is>
      </c>
      <c r="U92" s="17" t="n">
        <v>240</v>
      </c>
      <c r="V92" s="17" t="n">
        <v>490.5</v>
      </c>
      <c r="W92" s="17" t="n">
        <v>155</v>
      </c>
      <c r="X92" s="17" t="n">
        <v>2013</v>
      </c>
      <c r="Y92" s="17" t="n">
        <v>-38</v>
      </c>
      <c r="Z92" s="17" t="n">
        <v>0</v>
      </c>
      <c r="AA92" s="20">
        <f>IF(ISNUMBER(W92),W92,IFERROR(MAX(0,(VALUE(LEFT(F92,4))-VALUE(LEFT(TEXT(J92,"00000000"),4)))*12+(VALUE(MID(F92,5,2))-VALUE(MID(TEXT(J92,"00000000"),5,2)))),""))</f>
        <v/>
      </c>
      <c r="AB92" s="20">
        <f>IFERROR((VALUE(LEFT(TEXT(K92,"00000000"),4))-VALUE(LEFT(F92,4)))*12+(VALUE(MID(TEXT(K92,"00000000"),5,2))-VALUE(MID(F92,5,2))),"")</f>
        <v/>
      </c>
      <c r="AC92" s="20">
        <f>IF(OR(L92="",NOT(ISNUMBER(L92))),0,MAX(0,MIN(60,(VALUE(LEFT(F92,4))-VALUE(LEFT(TEXT(L92,"00000000"),4)))*12+(VALUE(MID(F92,5,2))-VALUE(MID(TEXT(L92,"00000000"),5,2))))))</f>
        <v/>
      </c>
      <c r="AD92" s="20">
        <f>IF(OR(L92="",NOT(ISNUMBER(L92))),0,IF(VALUE(F92)&lt;VALUE(LEFT(TEXT(L92,"00000000"),6)),1,0))</f>
        <v/>
      </c>
      <c r="AE92" s="20">
        <f>IF(OR(M92="",NOT(ISNUMBER(M92))),0,IF(VALUE(F92)&lt;VALUE(LEFT(TEXT(M92,"00000000"),6)),1,0))</f>
        <v/>
      </c>
      <c r="AF92" s="20">
        <f>IF(AND(AD92=0,AE92=0),1,0)</f>
        <v/>
      </c>
      <c r="AG92" s="20">
        <f>IF(ISNUMBER(X92),X92,IFERROR(VALUE(LEFT(TEXT(J92,"00000000"),4)),""))</f>
        <v/>
      </c>
      <c r="AH92" s="20">
        <f>IFERROR(XLOOKUP(AG92,Vintage_Rates!$A$2:$A$1000,Vintage_Rates!$B$2:$B$1000,""),"")</f>
        <v/>
      </c>
      <c r="AI92" s="20">
        <f>IF(ISNUMBER(Y92),Y92,IFERROR((G92-AH92)*100,""))</f>
        <v/>
      </c>
      <c r="AJ92" s="20">
        <f>IF(ISNUMBER(V92),V92,IFERROR(XLOOKUP(VALUE(F92),PLC_Rates!$A$2:$A$1000,PLC_Rates!$B$2:$B$1000,""),""))</f>
        <v/>
      </c>
      <c r="AK92" s="20">
        <f>IF(ISNUMBER(Z92),Z92,IF(AE92=0,0,MAX(0,MIN(10,((VALUE(LEFT(TEXT(M92,"00000000"),4))-VALUE(LEFT(F92,4)))*12+(VALUE(MID(TEXT(M92,"00000000"),5,2))-VALUE(MID(F92,5,2))))/12))))</f>
        <v/>
      </c>
      <c r="AL92" s="20">
        <f>IFERROR(G92*100-AJ92,"")</f>
        <v/>
      </c>
      <c r="AM92" s="20">
        <f>IFERROR(G92*100-(AJ92+(1+AK92)*12.5),"")</f>
        <v/>
      </c>
      <c r="AN92" s="21">
        <f>IFERROR(MIN(H92/1000000,100),"")</f>
        <v/>
      </c>
      <c r="AO92" s="20">
        <f>IFERROR(INDEX(FHA_Lookup!$B$2:$B$11,MATCH(TRUE,ISNUMBER(SEARCH(FHA_Lookup!$A$2:$A$11,UPPER(SUBSTITUTE(O92," ","")))),0)),"OTHER")</f>
        <v/>
      </c>
      <c r="AP92" s="20">
        <f>IFERROR(INDEX(FHA_Lookup!$C$2:$C$11,MATCH(TRUE,ISNUMBER(SEARCH(FHA_Lookup!$A$2:$A$11,UPPER(SUBSTITUTE(O92," ","")))),0)),"OTHER")</f>
        <v/>
      </c>
      <c r="AQ92" s="20">
        <f>IF(AP92="NC",1,0)</f>
        <v/>
      </c>
      <c r="AR92" s="20">
        <f>IF(UPPER(TRIM(P92))="AFF",1,0)</f>
        <v/>
      </c>
      <c r="AS92" s="20">
        <f>IF(UPPER(TRIM(P92))="BAF",1,0)</f>
        <v/>
      </c>
      <c r="AT92" s="20">
        <f>IF(UPPER(TRIM(P92))="MKT",1,0)</f>
        <v/>
      </c>
      <c r="AU92" s="20">
        <f>IF(AO92="221d4",1,0)</f>
        <v/>
      </c>
      <c r="AV92" s="20">
        <f>IF(AO92="223a7",1,0)</f>
        <v/>
      </c>
      <c r="AW92" s="20">
        <f>IF(AO92="232",1,0)</f>
        <v/>
      </c>
      <c r="AX92" s="20">
        <f>IF(AO92="538",1,0)</f>
        <v/>
      </c>
      <c r="AY92" s="20">
        <f>IF(AO92="241",1,0)</f>
        <v/>
      </c>
      <c r="AZ92" s="20">
        <f>IF(AO92="220",1,0)</f>
        <v/>
      </c>
      <c r="BA92" s="20">
        <f>IF(AO92="OTHER",1,0)</f>
        <v/>
      </c>
      <c r="BB92" s="20">
        <f>IF(UPPER(TRIM(C92))="LM",1,0)</f>
        <v/>
      </c>
      <c r="BC92" s="20">
        <f>IF(UPPER(TRIM(C92))="PN",1,0)</f>
        <v/>
      </c>
      <c r="BD92" s="20">
        <f>IF(UPPER(TRIM(C92))="LS",1,0)</f>
        <v/>
      </c>
      <c r="BE92" s="20">
        <f>IF(UPPER(TRIM(C92))="RX",1,0)</f>
        <v/>
      </c>
      <c r="BF92" s="22">
        <f>IFERROR((Parameters!$C$6*AM92+Parameters!$C$7*MAX(AM92-(-150),0)+Parameters!$C$8*MAX(AM92-(-50),0)+Parameters!$C$9*MAX(AM92-(0),0)+Parameters!$C$10*MAX(AM92-(50),0)+Parameters!$C$11*MAX(AM92-(100),0)+Parameters!$C$12*MAX(AM92-(150),0)+Parameters!$C$13*MAX(AM92-(250),0)),0)</f>
        <v/>
      </c>
      <c r="BG92" s="22">
        <f>IFERROR((Parameters!$C$14*AA92+Parameters!$C$15*MAX(AA92-(12),0)+Parameters!$C$16*MAX(AA92-(36),0)+Parameters!$C$17*MAX(AA92-(60),0)+Parameters!$C$18*MAX(AA92-(84),0)+Parameters!$C$19*MAX(AA92-(120),0)+Parameters!$C$20*MAX(AA92-(180),0)),0)</f>
        <v/>
      </c>
      <c r="BH92" s="22">
        <f>IFERROR((Parameters!$C$21*AK92+Parameters!$C$22*MAX(AK92-(0),0)+Parameters!$C$23*MAX(AK92-(2),0)+Parameters!$C$24*MAX(AK92-(5),0)+Parameters!$C$25*MAX(AK92-(8),0)),0)</f>
        <v/>
      </c>
      <c r="BI92" s="22">
        <f>IFERROR((Parameters!$C$26*AI92+Parameters!$C$27*MAX(AI92-(-100),0)+Parameters!$C$28*MAX(AI92-(-25),0)+Parameters!$C$29*MAX(AI92-(25),0)+Parameters!$C$30*MAX(AI92-(100),0)),0)</f>
        <v/>
      </c>
      <c r="BJ92" s="22">
        <f>IFERROR((Parameters!$C$31*AN92+Parameters!$C$32*MAX(AN92-(2),0)+Parameters!$C$33*MAX(AN92-(10),0)+Parameters!$C$34*MAX(AN92-(25),0)),0)</f>
        <v/>
      </c>
      <c r="BK92" s="22">
        <f>IFERROR((Parameters!$C$35*AB92+Parameters!$C$36*MAX(AB92-(12),0)+Parameters!$C$37*MAX(AB92-(24),0)+Parameters!$C$38*MAX(AB92-(60),0)),0)</f>
        <v/>
      </c>
      <c r="BL92" s="22">
        <f>IFERROR((Parameters!$C$39*AC92+Parameters!$C$40*MAX(AC92-(6),0)+Parameters!$C$41*MAX(AC92-(12),0)+Parameters!$C$42*MAX(AC92-(24),0)),0)</f>
        <v/>
      </c>
      <c r="BM92" s="22">
        <f>IFERROR(Parameters!$C$43*(MAX(AM92,0)*MIN(MAX(AK92,0),10))/100,0)</f>
        <v/>
      </c>
      <c r="BN92" s="22">
        <f>Parameters!$C$44*AE92</f>
        <v/>
      </c>
      <c r="BO92" s="22">
        <f>Parameters!$C$45*AU92 + Parameters!$C$46*AV92 + Parameters!$C$47*AW92 + Parameters!$C$48*AX92 + Parameters!$C$49*AY92 + Parameters!$C$50*AZ92 + Parameters!$C$51*BA92</f>
        <v/>
      </c>
      <c r="BP92" s="22">
        <f>Parameters!$C$52*AQ92</f>
        <v/>
      </c>
      <c r="BQ92" s="22">
        <f>Parameters!$C$53*AR92+Parameters!$C$54*AS92+Parameters!$C$55*AT92</f>
        <v/>
      </c>
      <c r="BR92" s="22">
        <f>Parameters!$C$56*BB92+Parameters!$C$57*BC92+Parameters!$C$58*BD92+Parameters!$C$59*BE92</f>
        <v/>
      </c>
      <c r="BS92" s="23">
        <f>Parameters!$B$2</f>
        <v/>
      </c>
      <c r="BT92" s="23">
        <f>BS92+BF92 + BG92 + BH92 + BI92 + BJ92 + BK92 + BL92 + BM92 + BN92 + BO92 + BP92 + BQ92 + BR92</f>
        <v/>
      </c>
      <c r="BU92" s="24">
        <f>IF(AD92=1,0,1/(1+EXP(-BT92))*Parameters!$B$3)</f>
        <v/>
      </c>
      <c r="BV92" s="25">
        <f>(1-(1-BU92)^12)*100</f>
        <v/>
      </c>
      <c r="BW92" s="25">
        <f>IF(AD92=1,0,(1-(1-1/(1+EXP(-Parameters!$B$2)))^12)*100)</f>
        <v/>
      </c>
      <c r="BX92" s="25">
        <f>IF(AD92=1,0,BV92-(1-(1-(1/(1+EXP(-(BT92-BF92)))*Parameters!$B$3))^12)*100)</f>
        <v/>
      </c>
      <c r="BY92" s="25">
        <f>IF(AD92=1,0,BV92-(1-(1-(1/(1+EXP(-(BT92-BG92)))*Parameters!$B$3))^12)*100)</f>
        <v/>
      </c>
      <c r="BZ92" s="25">
        <f>IF(AD92=1,0,BV92-(1-(1-(1/(1+EXP(-(BT92-BH92)))*Parameters!$B$3))^12)*100)</f>
        <v/>
      </c>
      <c r="CA92" s="25">
        <f>IF(AD92=1,0,BV92-(1-(1-(1/(1+EXP(-(BT92-BI92)))*Parameters!$B$3))^12)*100)</f>
        <v/>
      </c>
      <c r="CB92" s="25">
        <f>IF(AD92=1,0,BV92-(1-(1-(1/(1+EXP(-(BT92-BJ92)))*Parameters!$B$3))^12)*100)</f>
        <v/>
      </c>
      <c r="CC92" s="25">
        <f>IF(AD92=1,0,BV92-(1-(1-(1/(1+EXP(-(BT92-BK92)))*Parameters!$B$3))^12)*100)</f>
        <v/>
      </c>
      <c r="CD92" s="25">
        <f>IF(AD92=1,0,BV92-(1-(1-(1/(1+EXP(-(BT92-BL92)))*Parameters!$B$3))^12)*100)</f>
        <v/>
      </c>
      <c r="CE92" s="25">
        <f>IF(AD92=1,0,BV92-(1-(1-(1/(1+EXP(-(BT92-BM92)))*Parameters!$B$3))^12)*100)</f>
        <v/>
      </c>
      <c r="CF92" s="25">
        <f>IF(AD92=1,0,BV92-(1-(1-(1/(1+EXP(-(BT92-BN92)))*Parameters!$B$3))^12)*100)</f>
        <v/>
      </c>
      <c r="CG92" s="25">
        <f>IF(AD92=1,0,BV92-(1-(1-(1/(1+EXP(-(BT92-BO92)))*Parameters!$B$3))^12)*100)</f>
        <v/>
      </c>
      <c r="CH92" s="25">
        <f>IF(AD92=1,0,BV92-(1-(1-(1/(1+EXP(-(BT92-BP92)))*Parameters!$B$3))^12)*100)</f>
        <v/>
      </c>
      <c r="CI92" s="25">
        <f>IF(AD92=1,0,BV92-(1-(1-(1/(1+EXP(-(BT92-BQ92)))*Parameters!$B$3))^12)*100)</f>
        <v/>
      </c>
      <c r="CJ92" s="25">
        <f>IF(AD92=1,0,BV92-(1-(1-(1/(1+EXP(-(BT92-BR92)))*Parameters!$B$3))^12)*100)</f>
        <v/>
      </c>
    </row>
    <row r="93">
      <c r="A93" s="17" t="inlineStr">
        <is>
          <t>GNR_2014_SEASONED</t>
        </is>
      </c>
      <c r="B93" s="17" t="inlineStr">
        <is>
          <t>36182N5P4</t>
        </is>
      </c>
      <c r="C93" s="17" t="inlineStr">
        <is>
          <t>PN</t>
        </is>
      </c>
      <c r="D93" s="17" t="inlineStr">
        <is>
          <t>COLLIERS MORTGAGE LLC</t>
        </is>
      </c>
      <c r="E93" s="17" t="inlineStr">
        <is>
          <t>36182N5P4_000000009235792</t>
        </is>
      </c>
      <c r="F93" s="17" t="n">
        <v>202603</v>
      </c>
      <c r="G93" s="18" t="n">
        <v>3.97</v>
      </c>
      <c r="H93" s="19" t="n">
        <v>8946395.949999999</v>
      </c>
      <c r="I93" s="17" t="n">
        <v>433</v>
      </c>
      <c r="J93" s="17" t="n">
        <v>20150217</v>
      </c>
      <c r="K93" s="17" t="n">
        <v>20510301</v>
      </c>
      <c r="L93" s="17" t="n"/>
      <c r="M93" s="17" t="n">
        <v>20260401</v>
      </c>
      <c r="N93" s="17" t="n">
        <v>10</v>
      </c>
      <c r="O93" s="17" t="inlineStr">
        <is>
          <t>221d4</t>
        </is>
      </c>
      <c r="P93" s="17" t="inlineStr">
        <is>
          <t>MKT</t>
        </is>
      </c>
      <c r="Q93" s="17" t="n"/>
      <c r="R93" s="17" t="n"/>
      <c r="S93" s="17" t="n"/>
      <c r="T93" s="17" t="inlineStr">
        <is>
          <t>MN</t>
        </is>
      </c>
      <c r="U93" s="17" t="n">
        <v>582</v>
      </c>
      <c r="V93" s="17" t="n">
        <v>490.5</v>
      </c>
      <c r="W93" s="17" t="n">
        <v>133</v>
      </c>
      <c r="X93" s="17" t="n">
        <v>2015</v>
      </c>
      <c r="Y93" s="17" t="n">
        <v>42</v>
      </c>
      <c r="Z93" s="17" t="n">
        <v>0</v>
      </c>
      <c r="AA93" s="20">
        <f>IF(ISNUMBER(W93),W93,IFERROR(MAX(0,(VALUE(LEFT(F93,4))-VALUE(LEFT(TEXT(J93,"00000000"),4)))*12+(VALUE(MID(F93,5,2))-VALUE(MID(TEXT(J93,"00000000"),5,2)))),""))</f>
        <v/>
      </c>
      <c r="AB93" s="20">
        <f>IFERROR((VALUE(LEFT(TEXT(K93,"00000000"),4))-VALUE(LEFT(F93,4)))*12+(VALUE(MID(TEXT(K93,"00000000"),5,2))-VALUE(MID(F93,5,2))),"")</f>
        <v/>
      </c>
      <c r="AC93" s="20">
        <f>IF(OR(L93="",NOT(ISNUMBER(L93))),0,MAX(0,MIN(60,(VALUE(LEFT(F93,4))-VALUE(LEFT(TEXT(L93,"00000000"),4)))*12+(VALUE(MID(F93,5,2))-VALUE(MID(TEXT(L93,"00000000"),5,2))))))</f>
        <v/>
      </c>
      <c r="AD93" s="20">
        <f>IF(OR(L93="",NOT(ISNUMBER(L93))),0,IF(VALUE(F93)&lt;VALUE(LEFT(TEXT(L93,"00000000"),6)),1,0))</f>
        <v/>
      </c>
      <c r="AE93" s="20">
        <f>IF(OR(M93="",NOT(ISNUMBER(M93))),0,IF(VALUE(F93)&lt;VALUE(LEFT(TEXT(M93,"00000000"),6)),1,0))</f>
        <v/>
      </c>
      <c r="AF93" s="20">
        <f>IF(AND(AD93=0,AE93=0),1,0)</f>
        <v/>
      </c>
      <c r="AG93" s="20">
        <f>IF(ISNUMBER(X93),X93,IFERROR(VALUE(LEFT(TEXT(J93,"00000000"),4)),""))</f>
        <v/>
      </c>
      <c r="AH93" s="20">
        <f>IFERROR(XLOOKUP(AG93,Vintage_Rates!$A$2:$A$1000,Vintage_Rates!$B$2:$B$1000,""),"")</f>
        <v/>
      </c>
      <c r="AI93" s="20">
        <f>IF(ISNUMBER(Y93),Y93,IFERROR((G93-AH93)*100,""))</f>
        <v/>
      </c>
      <c r="AJ93" s="20">
        <f>IF(ISNUMBER(V93),V93,IFERROR(XLOOKUP(VALUE(F93),PLC_Rates!$A$2:$A$1000,PLC_Rates!$B$2:$B$1000,""),""))</f>
        <v/>
      </c>
      <c r="AK93" s="20">
        <f>IF(ISNUMBER(Z93),Z93,IF(AE93=0,0,MAX(0,MIN(10,((VALUE(LEFT(TEXT(M93,"00000000"),4))-VALUE(LEFT(F93,4)))*12+(VALUE(MID(TEXT(M93,"00000000"),5,2))-VALUE(MID(F93,5,2))))/12))))</f>
        <v/>
      </c>
      <c r="AL93" s="20">
        <f>IFERROR(G93*100-AJ93,"")</f>
        <v/>
      </c>
      <c r="AM93" s="20">
        <f>IFERROR(G93*100-(AJ93+(1+AK93)*12.5),"")</f>
        <v/>
      </c>
      <c r="AN93" s="21">
        <f>IFERROR(MIN(H93/1000000,100),"")</f>
        <v/>
      </c>
      <c r="AO93" s="20">
        <f>IFERROR(INDEX(FHA_Lookup!$B$2:$B$11,MATCH(TRUE,ISNUMBER(SEARCH(FHA_Lookup!$A$2:$A$11,UPPER(SUBSTITUTE(O93," ","")))),0)),"OTHER")</f>
        <v/>
      </c>
      <c r="AP93" s="20">
        <f>IFERROR(INDEX(FHA_Lookup!$C$2:$C$11,MATCH(TRUE,ISNUMBER(SEARCH(FHA_Lookup!$A$2:$A$11,UPPER(SUBSTITUTE(O93," ","")))),0)),"OTHER")</f>
        <v/>
      </c>
      <c r="AQ93" s="20">
        <f>IF(AP93="NC",1,0)</f>
        <v/>
      </c>
      <c r="AR93" s="20">
        <f>IF(UPPER(TRIM(P93))="AFF",1,0)</f>
        <v/>
      </c>
      <c r="AS93" s="20">
        <f>IF(UPPER(TRIM(P93))="BAF",1,0)</f>
        <v/>
      </c>
      <c r="AT93" s="20">
        <f>IF(UPPER(TRIM(P93))="MKT",1,0)</f>
        <v/>
      </c>
      <c r="AU93" s="20">
        <f>IF(AO93="221d4",1,0)</f>
        <v/>
      </c>
      <c r="AV93" s="20">
        <f>IF(AO93="223a7",1,0)</f>
        <v/>
      </c>
      <c r="AW93" s="20">
        <f>IF(AO93="232",1,0)</f>
        <v/>
      </c>
      <c r="AX93" s="20">
        <f>IF(AO93="538",1,0)</f>
        <v/>
      </c>
      <c r="AY93" s="20">
        <f>IF(AO93="241",1,0)</f>
        <v/>
      </c>
      <c r="AZ93" s="20">
        <f>IF(AO93="220",1,0)</f>
        <v/>
      </c>
      <c r="BA93" s="20">
        <f>IF(AO93="OTHER",1,0)</f>
        <v/>
      </c>
      <c r="BB93" s="20">
        <f>IF(UPPER(TRIM(C93))="LM",1,0)</f>
        <v/>
      </c>
      <c r="BC93" s="20">
        <f>IF(UPPER(TRIM(C93))="PN",1,0)</f>
        <v/>
      </c>
      <c r="BD93" s="20">
        <f>IF(UPPER(TRIM(C93))="LS",1,0)</f>
        <v/>
      </c>
      <c r="BE93" s="20">
        <f>IF(UPPER(TRIM(C93))="RX",1,0)</f>
        <v/>
      </c>
      <c r="BF93" s="22">
        <f>IFERROR((Parameters!$C$6*AM93+Parameters!$C$7*MAX(AM93-(-150),0)+Parameters!$C$8*MAX(AM93-(-50),0)+Parameters!$C$9*MAX(AM93-(0),0)+Parameters!$C$10*MAX(AM93-(50),0)+Parameters!$C$11*MAX(AM93-(100),0)+Parameters!$C$12*MAX(AM93-(150),0)+Parameters!$C$13*MAX(AM93-(250),0)),0)</f>
        <v/>
      </c>
      <c r="BG93" s="22">
        <f>IFERROR((Parameters!$C$14*AA93+Parameters!$C$15*MAX(AA93-(12),0)+Parameters!$C$16*MAX(AA93-(36),0)+Parameters!$C$17*MAX(AA93-(60),0)+Parameters!$C$18*MAX(AA93-(84),0)+Parameters!$C$19*MAX(AA93-(120),0)+Parameters!$C$20*MAX(AA93-(180),0)),0)</f>
        <v/>
      </c>
      <c r="BH93" s="22">
        <f>IFERROR((Parameters!$C$21*AK93+Parameters!$C$22*MAX(AK93-(0),0)+Parameters!$C$23*MAX(AK93-(2),0)+Parameters!$C$24*MAX(AK93-(5),0)+Parameters!$C$25*MAX(AK93-(8),0)),0)</f>
        <v/>
      </c>
      <c r="BI93" s="22">
        <f>IFERROR((Parameters!$C$26*AI93+Parameters!$C$27*MAX(AI93-(-100),0)+Parameters!$C$28*MAX(AI93-(-25),0)+Parameters!$C$29*MAX(AI93-(25),0)+Parameters!$C$30*MAX(AI93-(100),0)),0)</f>
        <v/>
      </c>
      <c r="BJ93" s="22">
        <f>IFERROR((Parameters!$C$31*AN93+Parameters!$C$32*MAX(AN93-(2),0)+Parameters!$C$33*MAX(AN93-(10),0)+Parameters!$C$34*MAX(AN93-(25),0)),0)</f>
        <v/>
      </c>
      <c r="BK93" s="22">
        <f>IFERROR((Parameters!$C$35*AB93+Parameters!$C$36*MAX(AB93-(12),0)+Parameters!$C$37*MAX(AB93-(24),0)+Parameters!$C$38*MAX(AB93-(60),0)),0)</f>
        <v/>
      </c>
      <c r="BL93" s="22">
        <f>IFERROR((Parameters!$C$39*AC93+Parameters!$C$40*MAX(AC93-(6),0)+Parameters!$C$41*MAX(AC93-(12),0)+Parameters!$C$42*MAX(AC93-(24),0)),0)</f>
        <v/>
      </c>
      <c r="BM93" s="22">
        <f>IFERROR(Parameters!$C$43*(MAX(AM93,0)*MIN(MAX(AK93,0),10))/100,0)</f>
        <v/>
      </c>
      <c r="BN93" s="22">
        <f>Parameters!$C$44*AE93</f>
        <v/>
      </c>
      <c r="BO93" s="22">
        <f>Parameters!$C$45*AU93 + Parameters!$C$46*AV93 + Parameters!$C$47*AW93 + Parameters!$C$48*AX93 + Parameters!$C$49*AY93 + Parameters!$C$50*AZ93 + Parameters!$C$51*BA93</f>
        <v/>
      </c>
      <c r="BP93" s="22">
        <f>Parameters!$C$52*AQ93</f>
        <v/>
      </c>
      <c r="BQ93" s="22">
        <f>Parameters!$C$53*AR93+Parameters!$C$54*AS93+Parameters!$C$55*AT93</f>
        <v/>
      </c>
      <c r="BR93" s="22">
        <f>Parameters!$C$56*BB93+Parameters!$C$57*BC93+Parameters!$C$58*BD93+Parameters!$C$59*BE93</f>
        <v/>
      </c>
      <c r="BS93" s="23">
        <f>Parameters!$B$2</f>
        <v/>
      </c>
      <c r="BT93" s="23">
        <f>BS93+BF93 + BG93 + BH93 + BI93 + BJ93 + BK93 + BL93 + BM93 + BN93 + BO93 + BP93 + BQ93 + BR93</f>
        <v/>
      </c>
      <c r="BU93" s="24">
        <f>IF(AD93=1,0,1/(1+EXP(-BT93))*Parameters!$B$3)</f>
        <v/>
      </c>
      <c r="BV93" s="25">
        <f>(1-(1-BU93)^12)*100</f>
        <v/>
      </c>
      <c r="BW93" s="25">
        <f>IF(AD93=1,0,(1-(1-1/(1+EXP(-Parameters!$B$2)))^12)*100)</f>
        <v/>
      </c>
      <c r="BX93" s="25">
        <f>IF(AD93=1,0,BV93-(1-(1-(1/(1+EXP(-(BT93-BF93)))*Parameters!$B$3))^12)*100)</f>
        <v/>
      </c>
      <c r="BY93" s="25">
        <f>IF(AD93=1,0,BV93-(1-(1-(1/(1+EXP(-(BT93-BG93)))*Parameters!$B$3))^12)*100)</f>
        <v/>
      </c>
      <c r="BZ93" s="25">
        <f>IF(AD93=1,0,BV93-(1-(1-(1/(1+EXP(-(BT93-BH93)))*Parameters!$B$3))^12)*100)</f>
        <v/>
      </c>
      <c r="CA93" s="25">
        <f>IF(AD93=1,0,BV93-(1-(1-(1/(1+EXP(-(BT93-BI93)))*Parameters!$B$3))^12)*100)</f>
        <v/>
      </c>
      <c r="CB93" s="25">
        <f>IF(AD93=1,0,BV93-(1-(1-(1/(1+EXP(-(BT93-BJ93)))*Parameters!$B$3))^12)*100)</f>
        <v/>
      </c>
      <c r="CC93" s="25">
        <f>IF(AD93=1,0,BV93-(1-(1-(1/(1+EXP(-(BT93-BK93)))*Parameters!$B$3))^12)*100)</f>
        <v/>
      </c>
      <c r="CD93" s="25">
        <f>IF(AD93=1,0,BV93-(1-(1-(1/(1+EXP(-(BT93-BL93)))*Parameters!$B$3))^12)*100)</f>
        <v/>
      </c>
      <c r="CE93" s="25">
        <f>IF(AD93=1,0,BV93-(1-(1-(1/(1+EXP(-(BT93-BM93)))*Parameters!$B$3))^12)*100)</f>
        <v/>
      </c>
      <c r="CF93" s="25">
        <f>IF(AD93=1,0,BV93-(1-(1-(1/(1+EXP(-(BT93-BN93)))*Parameters!$B$3))^12)*100)</f>
        <v/>
      </c>
      <c r="CG93" s="25">
        <f>IF(AD93=1,0,BV93-(1-(1-(1/(1+EXP(-(BT93-BO93)))*Parameters!$B$3))^12)*100)</f>
        <v/>
      </c>
      <c r="CH93" s="25">
        <f>IF(AD93=1,0,BV93-(1-(1-(1/(1+EXP(-(BT93-BP93)))*Parameters!$B$3))^12)*100)</f>
        <v/>
      </c>
      <c r="CI93" s="25">
        <f>IF(AD93=1,0,BV93-(1-(1-(1/(1+EXP(-(BT93-BQ93)))*Parameters!$B$3))^12)*100)</f>
        <v/>
      </c>
      <c r="CJ93" s="25">
        <f>IF(AD93=1,0,BV93-(1-(1-(1/(1+EXP(-(BT93-BR93)))*Parameters!$B$3))^12)*100)</f>
        <v/>
      </c>
    </row>
    <row r="94">
      <c r="A94" s="17" t="inlineStr">
        <is>
          <t>GNR_2014_SEASONED</t>
        </is>
      </c>
      <c r="B94" s="17" t="inlineStr">
        <is>
          <t>3617WBRK6</t>
        </is>
      </c>
      <c r="C94" s="17" t="inlineStr">
        <is>
          <t>LM</t>
        </is>
      </c>
      <c r="D94" s="17" t="inlineStr">
        <is>
          <t>WELLS FARGO BANK, N.A.</t>
        </is>
      </c>
      <c r="E94" s="17" t="inlineStr">
        <is>
          <t>3617WBRK6_000000006511100</t>
        </is>
      </c>
      <c r="F94" s="17" t="n">
        <v>202603</v>
      </c>
      <c r="G94" s="18" t="n">
        <v>2.8</v>
      </c>
      <c r="H94" s="19" t="n">
        <v>2596095.97</v>
      </c>
      <c r="I94" s="17" t="n">
        <v>420</v>
      </c>
      <c r="J94" s="17" t="n">
        <v>20131201</v>
      </c>
      <c r="K94" s="17" t="n">
        <v>20490101</v>
      </c>
      <c r="L94" s="17" t="n"/>
      <c r="M94" s="17" t="n">
        <v>20310901</v>
      </c>
      <c r="N94" s="17" t="n">
        <v>10</v>
      </c>
      <c r="O94" s="17" t="inlineStr">
        <is>
          <t>207/223(F)</t>
        </is>
      </c>
      <c r="P94" s="17" t="inlineStr">
        <is>
          <t>MKT</t>
        </is>
      </c>
      <c r="Q94" s="17" t="inlineStr">
        <is>
          <t>M</t>
        </is>
      </c>
      <c r="R94" s="17" t="n"/>
      <c r="S94" s="17" t="n">
        <v>1</v>
      </c>
      <c r="T94" s="17" t="inlineStr">
        <is>
          <t>MS</t>
        </is>
      </c>
      <c r="U94" s="17" t="n">
        <v>72</v>
      </c>
      <c r="V94" s="17" t="n">
        <v>490.5</v>
      </c>
      <c r="W94" s="17" t="n">
        <v>147</v>
      </c>
      <c r="X94" s="17" t="n">
        <v>2013</v>
      </c>
      <c r="Y94" s="17" t="n">
        <v>-58</v>
      </c>
      <c r="Z94" s="17" t="n">
        <v>6</v>
      </c>
      <c r="AA94" s="20">
        <f>IF(ISNUMBER(W94),W94,IFERROR(MAX(0,(VALUE(LEFT(F94,4))-VALUE(LEFT(TEXT(J94,"00000000"),4)))*12+(VALUE(MID(F94,5,2))-VALUE(MID(TEXT(J94,"00000000"),5,2)))),""))</f>
        <v/>
      </c>
      <c r="AB94" s="20">
        <f>IFERROR((VALUE(LEFT(TEXT(K94,"00000000"),4))-VALUE(LEFT(F94,4)))*12+(VALUE(MID(TEXT(K94,"00000000"),5,2))-VALUE(MID(F94,5,2))),"")</f>
        <v/>
      </c>
      <c r="AC94" s="20">
        <f>IF(OR(L94="",NOT(ISNUMBER(L94))),0,MAX(0,MIN(60,(VALUE(LEFT(F94,4))-VALUE(LEFT(TEXT(L94,"00000000"),4)))*12+(VALUE(MID(F94,5,2))-VALUE(MID(TEXT(L94,"00000000"),5,2))))))</f>
        <v/>
      </c>
      <c r="AD94" s="20">
        <f>IF(OR(L94="",NOT(ISNUMBER(L94))),0,IF(VALUE(F94)&lt;VALUE(LEFT(TEXT(L94,"00000000"),6)),1,0))</f>
        <v/>
      </c>
      <c r="AE94" s="20">
        <f>IF(OR(M94="",NOT(ISNUMBER(M94))),0,IF(VALUE(F94)&lt;VALUE(LEFT(TEXT(M94,"00000000"),6)),1,0))</f>
        <v/>
      </c>
      <c r="AF94" s="20">
        <f>IF(AND(AD94=0,AE94=0),1,0)</f>
        <v/>
      </c>
      <c r="AG94" s="20">
        <f>IF(ISNUMBER(X94),X94,IFERROR(VALUE(LEFT(TEXT(J94,"00000000"),4)),""))</f>
        <v/>
      </c>
      <c r="AH94" s="20">
        <f>IFERROR(XLOOKUP(AG94,Vintage_Rates!$A$2:$A$1000,Vintage_Rates!$B$2:$B$1000,""),"")</f>
        <v/>
      </c>
      <c r="AI94" s="20">
        <f>IF(ISNUMBER(Y94),Y94,IFERROR((G94-AH94)*100,""))</f>
        <v/>
      </c>
      <c r="AJ94" s="20">
        <f>IF(ISNUMBER(V94),V94,IFERROR(XLOOKUP(VALUE(F94),PLC_Rates!$A$2:$A$1000,PLC_Rates!$B$2:$B$1000,""),""))</f>
        <v/>
      </c>
      <c r="AK94" s="20">
        <f>IF(ISNUMBER(Z94),Z94,IF(AE94=0,0,MAX(0,MIN(10,((VALUE(LEFT(TEXT(M94,"00000000"),4))-VALUE(LEFT(F94,4)))*12+(VALUE(MID(TEXT(M94,"00000000"),5,2))-VALUE(MID(F94,5,2))))/12))))</f>
        <v/>
      </c>
      <c r="AL94" s="20">
        <f>IFERROR(G94*100-AJ94,"")</f>
        <v/>
      </c>
      <c r="AM94" s="20">
        <f>IFERROR(G94*100-(AJ94+(1+AK94)*12.5),"")</f>
        <v/>
      </c>
      <c r="AN94" s="21">
        <f>IFERROR(MIN(H94/1000000,100),"")</f>
        <v/>
      </c>
      <c r="AO94" s="20">
        <f>IFERROR(INDEX(FHA_Lookup!$B$2:$B$11,MATCH(TRUE,ISNUMBER(SEARCH(FHA_Lookup!$A$2:$A$11,UPPER(SUBSTITUTE(O94," ","")))),0)),"OTHER")</f>
        <v/>
      </c>
      <c r="AP94" s="20">
        <f>IFERROR(INDEX(FHA_Lookup!$C$2:$C$11,MATCH(TRUE,ISNUMBER(SEARCH(FHA_Lookup!$A$2:$A$11,UPPER(SUBSTITUTE(O94," ","")))),0)),"OTHER")</f>
        <v/>
      </c>
      <c r="AQ94" s="20">
        <f>IF(AP94="NC",1,0)</f>
        <v/>
      </c>
      <c r="AR94" s="20">
        <f>IF(UPPER(TRIM(P94))="AFF",1,0)</f>
        <v/>
      </c>
      <c r="AS94" s="20">
        <f>IF(UPPER(TRIM(P94))="BAF",1,0)</f>
        <v/>
      </c>
      <c r="AT94" s="20">
        <f>IF(UPPER(TRIM(P94))="MKT",1,0)</f>
        <v/>
      </c>
      <c r="AU94" s="20">
        <f>IF(AO94="221d4",1,0)</f>
        <v/>
      </c>
      <c r="AV94" s="20">
        <f>IF(AO94="223a7",1,0)</f>
        <v/>
      </c>
      <c r="AW94" s="20">
        <f>IF(AO94="232",1,0)</f>
        <v/>
      </c>
      <c r="AX94" s="20">
        <f>IF(AO94="538",1,0)</f>
        <v/>
      </c>
      <c r="AY94" s="20">
        <f>IF(AO94="241",1,0)</f>
        <v/>
      </c>
      <c r="AZ94" s="20">
        <f>IF(AO94="220",1,0)</f>
        <v/>
      </c>
      <c r="BA94" s="20">
        <f>IF(AO94="OTHER",1,0)</f>
        <v/>
      </c>
      <c r="BB94" s="20">
        <f>IF(UPPER(TRIM(C94))="LM",1,0)</f>
        <v/>
      </c>
      <c r="BC94" s="20">
        <f>IF(UPPER(TRIM(C94))="PN",1,0)</f>
        <v/>
      </c>
      <c r="BD94" s="20">
        <f>IF(UPPER(TRIM(C94))="LS",1,0)</f>
        <v/>
      </c>
      <c r="BE94" s="20">
        <f>IF(UPPER(TRIM(C94))="RX",1,0)</f>
        <v/>
      </c>
      <c r="BF94" s="22">
        <f>IFERROR((Parameters!$C$6*AM94+Parameters!$C$7*MAX(AM94-(-150),0)+Parameters!$C$8*MAX(AM94-(-50),0)+Parameters!$C$9*MAX(AM94-(0),0)+Parameters!$C$10*MAX(AM94-(50),0)+Parameters!$C$11*MAX(AM94-(100),0)+Parameters!$C$12*MAX(AM94-(150),0)+Parameters!$C$13*MAX(AM94-(250),0)),0)</f>
        <v/>
      </c>
      <c r="BG94" s="22">
        <f>IFERROR((Parameters!$C$14*AA94+Parameters!$C$15*MAX(AA94-(12),0)+Parameters!$C$16*MAX(AA94-(36),0)+Parameters!$C$17*MAX(AA94-(60),0)+Parameters!$C$18*MAX(AA94-(84),0)+Parameters!$C$19*MAX(AA94-(120),0)+Parameters!$C$20*MAX(AA94-(180),0)),0)</f>
        <v/>
      </c>
      <c r="BH94" s="22">
        <f>IFERROR((Parameters!$C$21*AK94+Parameters!$C$22*MAX(AK94-(0),0)+Parameters!$C$23*MAX(AK94-(2),0)+Parameters!$C$24*MAX(AK94-(5),0)+Parameters!$C$25*MAX(AK94-(8),0)),0)</f>
        <v/>
      </c>
      <c r="BI94" s="22">
        <f>IFERROR((Parameters!$C$26*AI94+Parameters!$C$27*MAX(AI94-(-100),0)+Parameters!$C$28*MAX(AI94-(-25),0)+Parameters!$C$29*MAX(AI94-(25),0)+Parameters!$C$30*MAX(AI94-(100),0)),0)</f>
        <v/>
      </c>
      <c r="BJ94" s="22">
        <f>IFERROR((Parameters!$C$31*AN94+Parameters!$C$32*MAX(AN94-(2),0)+Parameters!$C$33*MAX(AN94-(10),0)+Parameters!$C$34*MAX(AN94-(25),0)),0)</f>
        <v/>
      </c>
      <c r="BK94" s="22">
        <f>IFERROR((Parameters!$C$35*AB94+Parameters!$C$36*MAX(AB94-(12),0)+Parameters!$C$37*MAX(AB94-(24),0)+Parameters!$C$38*MAX(AB94-(60),0)),0)</f>
        <v/>
      </c>
      <c r="BL94" s="22">
        <f>IFERROR((Parameters!$C$39*AC94+Parameters!$C$40*MAX(AC94-(6),0)+Parameters!$C$41*MAX(AC94-(12),0)+Parameters!$C$42*MAX(AC94-(24),0)),0)</f>
        <v/>
      </c>
      <c r="BM94" s="22">
        <f>IFERROR(Parameters!$C$43*(MAX(AM94,0)*MIN(MAX(AK94,0),10))/100,0)</f>
        <v/>
      </c>
      <c r="BN94" s="22">
        <f>Parameters!$C$44*AE94</f>
        <v/>
      </c>
      <c r="BO94" s="22">
        <f>Parameters!$C$45*AU94 + Parameters!$C$46*AV94 + Parameters!$C$47*AW94 + Parameters!$C$48*AX94 + Parameters!$C$49*AY94 + Parameters!$C$50*AZ94 + Parameters!$C$51*BA94</f>
        <v/>
      </c>
      <c r="BP94" s="22">
        <f>Parameters!$C$52*AQ94</f>
        <v/>
      </c>
      <c r="BQ94" s="22">
        <f>Parameters!$C$53*AR94+Parameters!$C$54*AS94+Parameters!$C$55*AT94</f>
        <v/>
      </c>
      <c r="BR94" s="22">
        <f>Parameters!$C$56*BB94+Parameters!$C$57*BC94+Parameters!$C$58*BD94+Parameters!$C$59*BE94</f>
        <v/>
      </c>
      <c r="BS94" s="23">
        <f>Parameters!$B$2</f>
        <v/>
      </c>
      <c r="BT94" s="23">
        <f>BS94+BF94 + BG94 + BH94 + BI94 + BJ94 + BK94 + BL94 + BM94 + BN94 + BO94 + BP94 + BQ94 + BR94</f>
        <v/>
      </c>
      <c r="BU94" s="24">
        <f>IF(AD94=1,0,1/(1+EXP(-BT94))*Parameters!$B$3)</f>
        <v/>
      </c>
      <c r="BV94" s="25">
        <f>(1-(1-BU94)^12)*100</f>
        <v/>
      </c>
      <c r="BW94" s="25">
        <f>IF(AD94=1,0,(1-(1-1/(1+EXP(-Parameters!$B$2)))^12)*100)</f>
        <v/>
      </c>
      <c r="BX94" s="25">
        <f>IF(AD94=1,0,BV94-(1-(1-(1/(1+EXP(-(BT94-BF94)))*Parameters!$B$3))^12)*100)</f>
        <v/>
      </c>
      <c r="BY94" s="25">
        <f>IF(AD94=1,0,BV94-(1-(1-(1/(1+EXP(-(BT94-BG94)))*Parameters!$B$3))^12)*100)</f>
        <v/>
      </c>
      <c r="BZ94" s="25">
        <f>IF(AD94=1,0,BV94-(1-(1-(1/(1+EXP(-(BT94-BH94)))*Parameters!$B$3))^12)*100)</f>
        <v/>
      </c>
      <c r="CA94" s="25">
        <f>IF(AD94=1,0,BV94-(1-(1-(1/(1+EXP(-(BT94-BI94)))*Parameters!$B$3))^12)*100)</f>
        <v/>
      </c>
      <c r="CB94" s="25">
        <f>IF(AD94=1,0,BV94-(1-(1-(1/(1+EXP(-(BT94-BJ94)))*Parameters!$B$3))^12)*100)</f>
        <v/>
      </c>
      <c r="CC94" s="25">
        <f>IF(AD94=1,0,BV94-(1-(1-(1/(1+EXP(-(BT94-BK94)))*Parameters!$B$3))^12)*100)</f>
        <v/>
      </c>
      <c r="CD94" s="25">
        <f>IF(AD94=1,0,BV94-(1-(1-(1/(1+EXP(-(BT94-BL94)))*Parameters!$B$3))^12)*100)</f>
        <v/>
      </c>
      <c r="CE94" s="25">
        <f>IF(AD94=1,0,BV94-(1-(1-(1/(1+EXP(-(BT94-BM94)))*Parameters!$B$3))^12)*100)</f>
        <v/>
      </c>
      <c r="CF94" s="25">
        <f>IF(AD94=1,0,BV94-(1-(1-(1/(1+EXP(-(BT94-BN94)))*Parameters!$B$3))^12)*100)</f>
        <v/>
      </c>
      <c r="CG94" s="25">
        <f>IF(AD94=1,0,BV94-(1-(1-(1/(1+EXP(-(BT94-BO94)))*Parameters!$B$3))^12)*100)</f>
        <v/>
      </c>
      <c r="CH94" s="25">
        <f>IF(AD94=1,0,BV94-(1-(1-(1/(1+EXP(-(BT94-BP94)))*Parameters!$B$3))^12)*100)</f>
        <v/>
      </c>
      <c r="CI94" s="25">
        <f>IF(AD94=1,0,BV94-(1-(1-(1/(1+EXP(-(BT94-BQ94)))*Parameters!$B$3))^12)*100)</f>
        <v/>
      </c>
      <c r="CJ94" s="25">
        <f>IF(AD94=1,0,BV94-(1-(1-(1/(1+EXP(-(BT94-BR94)))*Parameters!$B$3))^12)*100)</f>
        <v/>
      </c>
    </row>
    <row r="95">
      <c r="A95" s="17" t="inlineStr">
        <is>
          <t>GNR_2014_SEASONED</t>
        </is>
      </c>
      <c r="B95" s="17" t="inlineStr">
        <is>
          <t>36196ERZ2</t>
        </is>
      </c>
      <c r="C95" s="17" t="inlineStr">
        <is>
          <t>PN</t>
        </is>
      </c>
      <c r="D95" s="17" t="inlineStr">
        <is>
          <t>MIDLAND STATES BANK</t>
        </is>
      </c>
      <c r="E95" s="17" t="inlineStr">
        <is>
          <t>36196ERZ2_000000005611033</t>
        </is>
      </c>
      <c r="F95" s="17" t="n">
        <v>202603</v>
      </c>
      <c r="G95" s="18" t="n">
        <v>3.29</v>
      </c>
      <c r="H95" s="19" t="n">
        <v>2247558.69</v>
      </c>
      <c r="I95" s="17" t="n">
        <v>420</v>
      </c>
      <c r="J95" s="17" t="n">
        <v>20161213</v>
      </c>
      <c r="K95" s="17" t="n">
        <v>20520101</v>
      </c>
      <c r="L95" s="17" t="n"/>
      <c r="M95" s="17" t="n">
        <v>20270201</v>
      </c>
      <c r="N95" s="17" t="n">
        <v>10</v>
      </c>
      <c r="O95" s="17" t="inlineStr">
        <is>
          <t>207 / 223(F)</t>
        </is>
      </c>
      <c r="P95" s="17" t="inlineStr">
        <is>
          <t>BAF</t>
        </is>
      </c>
      <c r="Q95" s="17" t="n"/>
      <c r="R95" s="17" t="n"/>
      <c r="S95" s="17" t="n"/>
      <c r="T95" s="17" t="inlineStr">
        <is>
          <t>PR</t>
        </is>
      </c>
      <c r="U95" s="17" t="n">
        <v>72</v>
      </c>
      <c r="V95" s="17" t="n">
        <v>490.5</v>
      </c>
      <c r="W95" s="17" t="n">
        <v>111</v>
      </c>
      <c r="X95" s="17" t="n">
        <v>2016</v>
      </c>
      <c r="Y95" s="17" t="n">
        <v>-16</v>
      </c>
      <c r="Z95" s="17" t="n">
        <v>1</v>
      </c>
      <c r="AA95" s="20">
        <f>IF(ISNUMBER(W95),W95,IFERROR(MAX(0,(VALUE(LEFT(F95,4))-VALUE(LEFT(TEXT(J95,"00000000"),4)))*12+(VALUE(MID(F95,5,2))-VALUE(MID(TEXT(J95,"00000000"),5,2)))),""))</f>
        <v/>
      </c>
      <c r="AB95" s="20">
        <f>IFERROR((VALUE(LEFT(TEXT(K95,"00000000"),4))-VALUE(LEFT(F95,4)))*12+(VALUE(MID(TEXT(K95,"00000000"),5,2))-VALUE(MID(F95,5,2))),"")</f>
        <v/>
      </c>
      <c r="AC95" s="20">
        <f>IF(OR(L95="",NOT(ISNUMBER(L95))),0,MAX(0,MIN(60,(VALUE(LEFT(F95,4))-VALUE(LEFT(TEXT(L95,"00000000"),4)))*12+(VALUE(MID(F95,5,2))-VALUE(MID(TEXT(L95,"00000000"),5,2))))))</f>
        <v/>
      </c>
      <c r="AD95" s="20">
        <f>IF(OR(L95="",NOT(ISNUMBER(L95))),0,IF(VALUE(F95)&lt;VALUE(LEFT(TEXT(L95,"00000000"),6)),1,0))</f>
        <v/>
      </c>
      <c r="AE95" s="20">
        <f>IF(OR(M95="",NOT(ISNUMBER(M95))),0,IF(VALUE(F95)&lt;VALUE(LEFT(TEXT(M95,"00000000"),6)),1,0))</f>
        <v/>
      </c>
      <c r="AF95" s="20">
        <f>IF(AND(AD95=0,AE95=0),1,0)</f>
        <v/>
      </c>
      <c r="AG95" s="20">
        <f>IF(ISNUMBER(X95),X95,IFERROR(VALUE(LEFT(TEXT(J95,"00000000"),4)),""))</f>
        <v/>
      </c>
      <c r="AH95" s="20">
        <f>IFERROR(XLOOKUP(AG95,Vintage_Rates!$A$2:$A$1000,Vintage_Rates!$B$2:$B$1000,""),"")</f>
        <v/>
      </c>
      <c r="AI95" s="20">
        <f>IF(ISNUMBER(Y95),Y95,IFERROR((G95-AH95)*100,""))</f>
        <v/>
      </c>
      <c r="AJ95" s="20">
        <f>IF(ISNUMBER(V95),V95,IFERROR(XLOOKUP(VALUE(F95),PLC_Rates!$A$2:$A$1000,PLC_Rates!$B$2:$B$1000,""),""))</f>
        <v/>
      </c>
      <c r="AK95" s="20">
        <f>IF(ISNUMBER(Z95),Z95,IF(AE95=0,0,MAX(0,MIN(10,((VALUE(LEFT(TEXT(M95,"00000000"),4))-VALUE(LEFT(F95,4)))*12+(VALUE(MID(TEXT(M95,"00000000"),5,2))-VALUE(MID(F95,5,2))))/12))))</f>
        <v/>
      </c>
      <c r="AL95" s="20">
        <f>IFERROR(G95*100-AJ95,"")</f>
        <v/>
      </c>
      <c r="AM95" s="20">
        <f>IFERROR(G95*100-(AJ95+(1+AK95)*12.5),"")</f>
        <v/>
      </c>
      <c r="AN95" s="21">
        <f>IFERROR(MIN(H95/1000000,100),"")</f>
        <v/>
      </c>
      <c r="AO95" s="20">
        <f>IFERROR(INDEX(FHA_Lookup!$B$2:$B$11,MATCH(TRUE,ISNUMBER(SEARCH(FHA_Lookup!$A$2:$A$11,UPPER(SUBSTITUTE(O95," ","")))),0)),"OTHER")</f>
        <v/>
      </c>
      <c r="AP95" s="20">
        <f>IFERROR(INDEX(FHA_Lookup!$C$2:$C$11,MATCH(TRUE,ISNUMBER(SEARCH(FHA_Lookup!$A$2:$A$11,UPPER(SUBSTITUTE(O95," ","")))),0)),"OTHER")</f>
        <v/>
      </c>
      <c r="AQ95" s="20">
        <f>IF(AP95="NC",1,0)</f>
        <v/>
      </c>
      <c r="AR95" s="20">
        <f>IF(UPPER(TRIM(P95))="AFF",1,0)</f>
        <v/>
      </c>
      <c r="AS95" s="20">
        <f>IF(UPPER(TRIM(P95))="BAF",1,0)</f>
        <v/>
      </c>
      <c r="AT95" s="20">
        <f>IF(UPPER(TRIM(P95))="MKT",1,0)</f>
        <v/>
      </c>
      <c r="AU95" s="20">
        <f>IF(AO95="221d4",1,0)</f>
        <v/>
      </c>
      <c r="AV95" s="20">
        <f>IF(AO95="223a7",1,0)</f>
        <v/>
      </c>
      <c r="AW95" s="20">
        <f>IF(AO95="232",1,0)</f>
        <v/>
      </c>
      <c r="AX95" s="20">
        <f>IF(AO95="538",1,0)</f>
        <v/>
      </c>
      <c r="AY95" s="20">
        <f>IF(AO95="241",1,0)</f>
        <v/>
      </c>
      <c r="AZ95" s="20">
        <f>IF(AO95="220",1,0)</f>
        <v/>
      </c>
      <c r="BA95" s="20">
        <f>IF(AO95="OTHER",1,0)</f>
        <v/>
      </c>
      <c r="BB95" s="20">
        <f>IF(UPPER(TRIM(C95))="LM",1,0)</f>
        <v/>
      </c>
      <c r="BC95" s="20">
        <f>IF(UPPER(TRIM(C95))="PN",1,0)</f>
        <v/>
      </c>
      <c r="BD95" s="20">
        <f>IF(UPPER(TRIM(C95))="LS",1,0)</f>
        <v/>
      </c>
      <c r="BE95" s="20">
        <f>IF(UPPER(TRIM(C95))="RX",1,0)</f>
        <v/>
      </c>
      <c r="BF95" s="22">
        <f>IFERROR((Parameters!$C$6*AM95+Parameters!$C$7*MAX(AM95-(-150),0)+Parameters!$C$8*MAX(AM95-(-50),0)+Parameters!$C$9*MAX(AM95-(0),0)+Parameters!$C$10*MAX(AM95-(50),0)+Parameters!$C$11*MAX(AM95-(100),0)+Parameters!$C$12*MAX(AM95-(150),0)+Parameters!$C$13*MAX(AM95-(250),0)),0)</f>
        <v/>
      </c>
      <c r="BG95" s="22">
        <f>IFERROR((Parameters!$C$14*AA95+Parameters!$C$15*MAX(AA95-(12),0)+Parameters!$C$16*MAX(AA95-(36),0)+Parameters!$C$17*MAX(AA95-(60),0)+Parameters!$C$18*MAX(AA95-(84),0)+Parameters!$C$19*MAX(AA95-(120),0)+Parameters!$C$20*MAX(AA95-(180),0)),0)</f>
        <v/>
      </c>
      <c r="BH95" s="22">
        <f>IFERROR((Parameters!$C$21*AK95+Parameters!$C$22*MAX(AK95-(0),0)+Parameters!$C$23*MAX(AK95-(2),0)+Parameters!$C$24*MAX(AK95-(5),0)+Parameters!$C$25*MAX(AK95-(8),0)),0)</f>
        <v/>
      </c>
      <c r="BI95" s="22">
        <f>IFERROR((Parameters!$C$26*AI95+Parameters!$C$27*MAX(AI95-(-100),0)+Parameters!$C$28*MAX(AI95-(-25),0)+Parameters!$C$29*MAX(AI95-(25),0)+Parameters!$C$30*MAX(AI95-(100),0)),0)</f>
        <v/>
      </c>
      <c r="BJ95" s="22">
        <f>IFERROR((Parameters!$C$31*AN95+Parameters!$C$32*MAX(AN95-(2),0)+Parameters!$C$33*MAX(AN95-(10),0)+Parameters!$C$34*MAX(AN95-(25),0)),0)</f>
        <v/>
      </c>
      <c r="BK95" s="22">
        <f>IFERROR((Parameters!$C$35*AB95+Parameters!$C$36*MAX(AB95-(12),0)+Parameters!$C$37*MAX(AB95-(24),0)+Parameters!$C$38*MAX(AB95-(60),0)),0)</f>
        <v/>
      </c>
      <c r="BL95" s="22">
        <f>IFERROR((Parameters!$C$39*AC95+Parameters!$C$40*MAX(AC95-(6),0)+Parameters!$C$41*MAX(AC95-(12),0)+Parameters!$C$42*MAX(AC95-(24),0)),0)</f>
        <v/>
      </c>
      <c r="BM95" s="22">
        <f>IFERROR(Parameters!$C$43*(MAX(AM95,0)*MIN(MAX(AK95,0),10))/100,0)</f>
        <v/>
      </c>
      <c r="BN95" s="22">
        <f>Parameters!$C$44*AE95</f>
        <v/>
      </c>
      <c r="BO95" s="22">
        <f>Parameters!$C$45*AU95 + Parameters!$C$46*AV95 + Parameters!$C$47*AW95 + Parameters!$C$48*AX95 + Parameters!$C$49*AY95 + Parameters!$C$50*AZ95 + Parameters!$C$51*BA95</f>
        <v/>
      </c>
      <c r="BP95" s="22">
        <f>Parameters!$C$52*AQ95</f>
        <v/>
      </c>
      <c r="BQ95" s="22">
        <f>Parameters!$C$53*AR95+Parameters!$C$54*AS95+Parameters!$C$55*AT95</f>
        <v/>
      </c>
      <c r="BR95" s="22">
        <f>Parameters!$C$56*BB95+Parameters!$C$57*BC95+Parameters!$C$58*BD95+Parameters!$C$59*BE95</f>
        <v/>
      </c>
      <c r="BS95" s="23">
        <f>Parameters!$B$2</f>
        <v/>
      </c>
      <c r="BT95" s="23">
        <f>BS95+BF95 + BG95 + BH95 + BI95 + BJ95 + BK95 + BL95 + BM95 + BN95 + BO95 + BP95 + BQ95 + BR95</f>
        <v/>
      </c>
      <c r="BU95" s="24">
        <f>IF(AD95=1,0,1/(1+EXP(-BT95))*Parameters!$B$3)</f>
        <v/>
      </c>
      <c r="BV95" s="25">
        <f>(1-(1-BU95)^12)*100</f>
        <v/>
      </c>
      <c r="BW95" s="25">
        <f>IF(AD95=1,0,(1-(1-1/(1+EXP(-Parameters!$B$2)))^12)*100)</f>
        <v/>
      </c>
      <c r="BX95" s="25">
        <f>IF(AD95=1,0,BV95-(1-(1-(1/(1+EXP(-(BT95-BF95)))*Parameters!$B$3))^12)*100)</f>
        <v/>
      </c>
      <c r="BY95" s="25">
        <f>IF(AD95=1,0,BV95-(1-(1-(1/(1+EXP(-(BT95-BG95)))*Parameters!$B$3))^12)*100)</f>
        <v/>
      </c>
      <c r="BZ95" s="25">
        <f>IF(AD95=1,0,BV95-(1-(1-(1/(1+EXP(-(BT95-BH95)))*Parameters!$B$3))^12)*100)</f>
        <v/>
      </c>
      <c r="CA95" s="25">
        <f>IF(AD95=1,0,BV95-(1-(1-(1/(1+EXP(-(BT95-BI95)))*Parameters!$B$3))^12)*100)</f>
        <v/>
      </c>
      <c r="CB95" s="25">
        <f>IF(AD95=1,0,BV95-(1-(1-(1/(1+EXP(-(BT95-BJ95)))*Parameters!$B$3))^12)*100)</f>
        <v/>
      </c>
      <c r="CC95" s="25">
        <f>IF(AD95=1,0,BV95-(1-(1-(1/(1+EXP(-(BT95-BK95)))*Parameters!$B$3))^12)*100)</f>
        <v/>
      </c>
      <c r="CD95" s="25">
        <f>IF(AD95=1,0,BV95-(1-(1-(1/(1+EXP(-(BT95-BL95)))*Parameters!$B$3))^12)*100)</f>
        <v/>
      </c>
      <c r="CE95" s="25">
        <f>IF(AD95=1,0,BV95-(1-(1-(1/(1+EXP(-(BT95-BM95)))*Parameters!$B$3))^12)*100)</f>
        <v/>
      </c>
      <c r="CF95" s="25">
        <f>IF(AD95=1,0,BV95-(1-(1-(1/(1+EXP(-(BT95-BN95)))*Parameters!$B$3))^12)*100)</f>
        <v/>
      </c>
      <c r="CG95" s="25">
        <f>IF(AD95=1,0,BV95-(1-(1-(1/(1+EXP(-(BT95-BO95)))*Parameters!$B$3))^12)*100)</f>
        <v/>
      </c>
      <c r="CH95" s="25">
        <f>IF(AD95=1,0,BV95-(1-(1-(1/(1+EXP(-(BT95-BP95)))*Parameters!$B$3))^12)*100)</f>
        <v/>
      </c>
      <c r="CI95" s="25">
        <f>IF(AD95=1,0,BV95-(1-(1-(1/(1+EXP(-(BT95-BQ95)))*Parameters!$B$3))^12)*100)</f>
        <v/>
      </c>
      <c r="CJ95" s="25">
        <f>IF(AD95=1,0,BV95-(1-(1-(1/(1+EXP(-(BT95-BR95)))*Parameters!$B$3))^12)*100)</f>
        <v/>
      </c>
    </row>
    <row r="96">
      <c r="A96" s="17" t="inlineStr">
        <is>
          <t>GNR_2014_SEASONED</t>
        </is>
      </c>
      <c r="B96" s="17" t="inlineStr">
        <is>
          <t>3617QRH60</t>
        </is>
      </c>
      <c r="C96" s="17" t="inlineStr">
        <is>
          <t>LM</t>
        </is>
      </c>
      <c r="D96" s="17" t="inlineStr">
        <is>
          <t>LUMENT REAL ESTATE CAPITAL,LLC</t>
        </is>
      </c>
      <c r="E96" s="17" t="inlineStr">
        <is>
          <t>3617QRH60_000000004511037</t>
        </is>
      </c>
      <c r="F96" s="17" t="n">
        <v>202603</v>
      </c>
      <c r="G96" s="18" t="n">
        <v>2.3</v>
      </c>
      <c r="H96" s="19" t="n">
        <v>3269582.81</v>
      </c>
      <c r="I96" s="17" t="n">
        <v>420</v>
      </c>
      <c r="J96" s="17" t="n">
        <v>20140922</v>
      </c>
      <c r="K96" s="17" t="n">
        <v>20491001</v>
      </c>
      <c r="L96" s="17" t="n"/>
      <c r="M96" s="17" t="n">
        <v>20310201</v>
      </c>
      <c r="N96" s="17" t="n">
        <v>10</v>
      </c>
      <c r="O96" s="17" t="inlineStr">
        <is>
          <t>207/223(F)</t>
        </is>
      </c>
      <c r="P96" s="17" t="inlineStr">
        <is>
          <t>MKT</t>
        </is>
      </c>
      <c r="Q96" s="17" t="inlineStr">
        <is>
          <t>M</t>
        </is>
      </c>
      <c r="R96" s="17" t="n"/>
      <c r="S96" s="17" t="n">
        <v>1</v>
      </c>
      <c r="T96" s="17" t="inlineStr">
        <is>
          <t>WV</t>
        </is>
      </c>
      <c r="U96" s="17" t="n">
        <v>104</v>
      </c>
      <c r="V96" s="17" t="n">
        <v>490.5</v>
      </c>
      <c r="W96" s="17" t="n">
        <v>138</v>
      </c>
      <c r="X96" s="17" t="n">
        <v>2014</v>
      </c>
      <c r="Y96" s="17" t="n">
        <v>-155</v>
      </c>
      <c r="Z96" s="17" t="n">
        <v>5</v>
      </c>
      <c r="AA96" s="20">
        <f>IF(ISNUMBER(W96),W96,IFERROR(MAX(0,(VALUE(LEFT(F96,4))-VALUE(LEFT(TEXT(J96,"00000000"),4)))*12+(VALUE(MID(F96,5,2))-VALUE(MID(TEXT(J96,"00000000"),5,2)))),""))</f>
        <v/>
      </c>
      <c r="AB96" s="20">
        <f>IFERROR((VALUE(LEFT(TEXT(K96,"00000000"),4))-VALUE(LEFT(F96,4)))*12+(VALUE(MID(TEXT(K96,"00000000"),5,2))-VALUE(MID(F96,5,2))),"")</f>
        <v/>
      </c>
      <c r="AC96" s="20">
        <f>IF(OR(L96="",NOT(ISNUMBER(L96))),0,MAX(0,MIN(60,(VALUE(LEFT(F96,4))-VALUE(LEFT(TEXT(L96,"00000000"),4)))*12+(VALUE(MID(F96,5,2))-VALUE(MID(TEXT(L96,"00000000"),5,2))))))</f>
        <v/>
      </c>
      <c r="AD96" s="20">
        <f>IF(OR(L96="",NOT(ISNUMBER(L96))),0,IF(VALUE(F96)&lt;VALUE(LEFT(TEXT(L96,"00000000"),6)),1,0))</f>
        <v/>
      </c>
      <c r="AE96" s="20">
        <f>IF(OR(M96="",NOT(ISNUMBER(M96))),0,IF(VALUE(F96)&lt;VALUE(LEFT(TEXT(M96,"00000000"),6)),1,0))</f>
        <v/>
      </c>
      <c r="AF96" s="20">
        <f>IF(AND(AD96=0,AE96=0),1,0)</f>
        <v/>
      </c>
      <c r="AG96" s="20">
        <f>IF(ISNUMBER(X96),X96,IFERROR(VALUE(LEFT(TEXT(J96,"00000000"),4)),""))</f>
        <v/>
      </c>
      <c r="AH96" s="20">
        <f>IFERROR(XLOOKUP(AG96,Vintage_Rates!$A$2:$A$1000,Vintage_Rates!$B$2:$B$1000,""),"")</f>
        <v/>
      </c>
      <c r="AI96" s="20">
        <f>IF(ISNUMBER(Y96),Y96,IFERROR((G96-AH96)*100,""))</f>
        <v/>
      </c>
      <c r="AJ96" s="20">
        <f>IF(ISNUMBER(V96),V96,IFERROR(XLOOKUP(VALUE(F96),PLC_Rates!$A$2:$A$1000,PLC_Rates!$B$2:$B$1000,""),""))</f>
        <v/>
      </c>
      <c r="AK96" s="20">
        <f>IF(ISNUMBER(Z96),Z96,IF(AE96=0,0,MAX(0,MIN(10,((VALUE(LEFT(TEXT(M96,"00000000"),4))-VALUE(LEFT(F96,4)))*12+(VALUE(MID(TEXT(M96,"00000000"),5,2))-VALUE(MID(F96,5,2))))/12))))</f>
        <v/>
      </c>
      <c r="AL96" s="20">
        <f>IFERROR(G96*100-AJ96,"")</f>
        <v/>
      </c>
      <c r="AM96" s="20">
        <f>IFERROR(G96*100-(AJ96+(1+AK96)*12.5),"")</f>
        <v/>
      </c>
      <c r="AN96" s="21">
        <f>IFERROR(MIN(H96/1000000,100),"")</f>
        <v/>
      </c>
      <c r="AO96" s="20">
        <f>IFERROR(INDEX(FHA_Lookup!$B$2:$B$11,MATCH(TRUE,ISNUMBER(SEARCH(FHA_Lookup!$A$2:$A$11,UPPER(SUBSTITUTE(O96," ","")))),0)),"OTHER")</f>
        <v/>
      </c>
      <c r="AP96" s="20">
        <f>IFERROR(INDEX(FHA_Lookup!$C$2:$C$11,MATCH(TRUE,ISNUMBER(SEARCH(FHA_Lookup!$A$2:$A$11,UPPER(SUBSTITUTE(O96," ","")))),0)),"OTHER")</f>
        <v/>
      </c>
      <c r="AQ96" s="20">
        <f>IF(AP96="NC",1,0)</f>
        <v/>
      </c>
      <c r="AR96" s="20">
        <f>IF(UPPER(TRIM(P96))="AFF",1,0)</f>
        <v/>
      </c>
      <c r="AS96" s="20">
        <f>IF(UPPER(TRIM(P96))="BAF",1,0)</f>
        <v/>
      </c>
      <c r="AT96" s="20">
        <f>IF(UPPER(TRIM(P96))="MKT",1,0)</f>
        <v/>
      </c>
      <c r="AU96" s="20">
        <f>IF(AO96="221d4",1,0)</f>
        <v/>
      </c>
      <c r="AV96" s="20">
        <f>IF(AO96="223a7",1,0)</f>
        <v/>
      </c>
      <c r="AW96" s="20">
        <f>IF(AO96="232",1,0)</f>
        <v/>
      </c>
      <c r="AX96" s="20">
        <f>IF(AO96="538",1,0)</f>
        <v/>
      </c>
      <c r="AY96" s="20">
        <f>IF(AO96="241",1,0)</f>
        <v/>
      </c>
      <c r="AZ96" s="20">
        <f>IF(AO96="220",1,0)</f>
        <v/>
      </c>
      <c r="BA96" s="20">
        <f>IF(AO96="OTHER",1,0)</f>
        <v/>
      </c>
      <c r="BB96" s="20">
        <f>IF(UPPER(TRIM(C96))="LM",1,0)</f>
        <v/>
      </c>
      <c r="BC96" s="20">
        <f>IF(UPPER(TRIM(C96))="PN",1,0)</f>
        <v/>
      </c>
      <c r="BD96" s="20">
        <f>IF(UPPER(TRIM(C96))="LS",1,0)</f>
        <v/>
      </c>
      <c r="BE96" s="20">
        <f>IF(UPPER(TRIM(C96))="RX",1,0)</f>
        <v/>
      </c>
      <c r="BF96" s="22">
        <f>IFERROR((Parameters!$C$6*AM96+Parameters!$C$7*MAX(AM96-(-150),0)+Parameters!$C$8*MAX(AM96-(-50),0)+Parameters!$C$9*MAX(AM96-(0),0)+Parameters!$C$10*MAX(AM96-(50),0)+Parameters!$C$11*MAX(AM96-(100),0)+Parameters!$C$12*MAX(AM96-(150),0)+Parameters!$C$13*MAX(AM96-(250),0)),0)</f>
        <v/>
      </c>
      <c r="BG96" s="22">
        <f>IFERROR((Parameters!$C$14*AA96+Parameters!$C$15*MAX(AA96-(12),0)+Parameters!$C$16*MAX(AA96-(36),0)+Parameters!$C$17*MAX(AA96-(60),0)+Parameters!$C$18*MAX(AA96-(84),0)+Parameters!$C$19*MAX(AA96-(120),0)+Parameters!$C$20*MAX(AA96-(180),0)),0)</f>
        <v/>
      </c>
      <c r="BH96" s="22">
        <f>IFERROR((Parameters!$C$21*AK96+Parameters!$C$22*MAX(AK96-(0),0)+Parameters!$C$23*MAX(AK96-(2),0)+Parameters!$C$24*MAX(AK96-(5),0)+Parameters!$C$25*MAX(AK96-(8),0)),0)</f>
        <v/>
      </c>
      <c r="BI96" s="22">
        <f>IFERROR((Parameters!$C$26*AI96+Parameters!$C$27*MAX(AI96-(-100),0)+Parameters!$C$28*MAX(AI96-(-25),0)+Parameters!$C$29*MAX(AI96-(25),0)+Parameters!$C$30*MAX(AI96-(100),0)),0)</f>
        <v/>
      </c>
      <c r="BJ96" s="22">
        <f>IFERROR((Parameters!$C$31*AN96+Parameters!$C$32*MAX(AN96-(2),0)+Parameters!$C$33*MAX(AN96-(10),0)+Parameters!$C$34*MAX(AN96-(25),0)),0)</f>
        <v/>
      </c>
      <c r="BK96" s="22">
        <f>IFERROR((Parameters!$C$35*AB96+Parameters!$C$36*MAX(AB96-(12),0)+Parameters!$C$37*MAX(AB96-(24),0)+Parameters!$C$38*MAX(AB96-(60),0)),0)</f>
        <v/>
      </c>
      <c r="BL96" s="22">
        <f>IFERROR((Parameters!$C$39*AC96+Parameters!$C$40*MAX(AC96-(6),0)+Parameters!$C$41*MAX(AC96-(12),0)+Parameters!$C$42*MAX(AC96-(24),0)),0)</f>
        <v/>
      </c>
      <c r="BM96" s="22">
        <f>IFERROR(Parameters!$C$43*(MAX(AM96,0)*MIN(MAX(AK96,0),10))/100,0)</f>
        <v/>
      </c>
      <c r="BN96" s="22">
        <f>Parameters!$C$44*AE96</f>
        <v/>
      </c>
      <c r="BO96" s="22">
        <f>Parameters!$C$45*AU96 + Parameters!$C$46*AV96 + Parameters!$C$47*AW96 + Parameters!$C$48*AX96 + Parameters!$C$49*AY96 + Parameters!$C$50*AZ96 + Parameters!$C$51*BA96</f>
        <v/>
      </c>
      <c r="BP96" s="22">
        <f>Parameters!$C$52*AQ96</f>
        <v/>
      </c>
      <c r="BQ96" s="22">
        <f>Parameters!$C$53*AR96+Parameters!$C$54*AS96+Parameters!$C$55*AT96</f>
        <v/>
      </c>
      <c r="BR96" s="22">
        <f>Parameters!$C$56*BB96+Parameters!$C$57*BC96+Parameters!$C$58*BD96+Parameters!$C$59*BE96</f>
        <v/>
      </c>
      <c r="BS96" s="23">
        <f>Parameters!$B$2</f>
        <v/>
      </c>
      <c r="BT96" s="23">
        <f>BS96+BF96 + BG96 + BH96 + BI96 + BJ96 + BK96 + BL96 + BM96 + BN96 + BO96 + BP96 + BQ96 + BR96</f>
        <v/>
      </c>
      <c r="BU96" s="24">
        <f>IF(AD96=1,0,1/(1+EXP(-BT96))*Parameters!$B$3)</f>
        <v/>
      </c>
      <c r="BV96" s="25">
        <f>(1-(1-BU96)^12)*100</f>
        <v/>
      </c>
      <c r="BW96" s="25">
        <f>IF(AD96=1,0,(1-(1-1/(1+EXP(-Parameters!$B$2)))^12)*100)</f>
        <v/>
      </c>
      <c r="BX96" s="25">
        <f>IF(AD96=1,0,BV96-(1-(1-(1/(1+EXP(-(BT96-BF96)))*Parameters!$B$3))^12)*100)</f>
        <v/>
      </c>
      <c r="BY96" s="25">
        <f>IF(AD96=1,0,BV96-(1-(1-(1/(1+EXP(-(BT96-BG96)))*Parameters!$B$3))^12)*100)</f>
        <v/>
      </c>
      <c r="BZ96" s="25">
        <f>IF(AD96=1,0,BV96-(1-(1-(1/(1+EXP(-(BT96-BH96)))*Parameters!$B$3))^12)*100)</f>
        <v/>
      </c>
      <c r="CA96" s="25">
        <f>IF(AD96=1,0,BV96-(1-(1-(1/(1+EXP(-(BT96-BI96)))*Parameters!$B$3))^12)*100)</f>
        <v/>
      </c>
      <c r="CB96" s="25">
        <f>IF(AD96=1,0,BV96-(1-(1-(1/(1+EXP(-(BT96-BJ96)))*Parameters!$B$3))^12)*100)</f>
        <v/>
      </c>
      <c r="CC96" s="25">
        <f>IF(AD96=1,0,BV96-(1-(1-(1/(1+EXP(-(BT96-BK96)))*Parameters!$B$3))^12)*100)</f>
        <v/>
      </c>
      <c r="CD96" s="25">
        <f>IF(AD96=1,0,BV96-(1-(1-(1/(1+EXP(-(BT96-BL96)))*Parameters!$B$3))^12)*100)</f>
        <v/>
      </c>
      <c r="CE96" s="25">
        <f>IF(AD96=1,0,BV96-(1-(1-(1/(1+EXP(-(BT96-BM96)))*Parameters!$B$3))^12)*100)</f>
        <v/>
      </c>
      <c r="CF96" s="25">
        <f>IF(AD96=1,0,BV96-(1-(1-(1/(1+EXP(-(BT96-BN96)))*Parameters!$B$3))^12)*100)</f>
        <v/>
      </c>
      <c r="CG96" s="25">
        <f>IF(AD96=1,0,BV96-(1-(1-(1/(1+EXP(-(BT96-BO96)))*Parameters!$B$3))^12)*100)</f>
        <v/>
      </c>
      <c r="CH96" s="25">
        <f>IF(AD96=1,0,BV96-(1-(1-(1/(1+EXP(-(BT96-BP96)))*Parameters!$B$3))^12)*100)</f>
        <v/>
      </c>
      <c r="CI96" s="25">
        <f>IF(AD96=1,0,BV96-(1-(1-(1/(1+EXP(-(BT96-BQ96)))*Parameters!$B$3))^12)*100)</f>
        <v/>
      </c>
      <c r="CJ96" s="25">
        <f>IF(AD96=1,0,BV96-(1-(1-(1/(1+EXP(-(BT96-BR96)))*Parameters!$B$3))^12)*100)</f>
        <v/>
      </c>
    </row>
    <row r="97">
      <c r="A97" s="17" t="inlineStr">
        <is>
          <t>GNR_2014_SEASONED</t>
        </is>
      </c>
      <c r="B97" s="17" t="inlineStr">
        <is>
          <t>36196KYU1</t>
        </is>
      </c>
      <c r="C97" s="17" t="inlineStr">
        <is>
          <t>LM</t>
        </is>
      </c>
      <c r="D97" s="17" t="inlineStr">
        <is>
          <t>BERKADIA COMMERCIAL MORTGAGE, LLC</t>
        </is>
      </c>
      <c r="E97" s="17" t="inlineStr">
        <is>
          <t>36196KYU1_000000003411153</t>
        </is>
      </c>
      <c r="F97" s="17" t="n">
        <v>202603</v>
      </c>
      <c r="G97" s="18" t="n">
        <v>3.89</v>
      </c>
      <c r="H97" s="19" t="n">
        <v>5551169.34</v>
      </c>
      <c r="I97" s="17" t="n">
        <v>420</v>
      </c>
      <c r="J97" s="17" t="n">
        <v>20130520</v>
      </c>
      <c r="K97" s="17" t="n">
        <v>20481001</v>
      </c>
      <c r="L97" s="17" t="n"/>
      <c r="M97" s="17" t="n">
        <v>20270201</v>
      </c>
      <c r="N97" s="17" t="n">
        <v>10</v>
      </c>
      <c r="O97" s="17" t="inlineStr">
        <is>
          <t>207/223(F)</t>
        </is>
      </c>
      <c r="P97" s="17" t="inlineStr">
        <is>
          <t>MKT</t>
        </is>
      </c>
      <c r="Q97" s="17" t="inlineStr">
        <is>
          <t>M</t>
        </is>
      </c>
      <c r="R97" s="17" t="n"/>
      <c r="S97" s="17" t="n">
        <v>1</v>
      </c>
      <c r="T97" s="17" t="inlineStr">
        <is>
          <t>PA</t>
        </is>
      </c>
      <c r="U97" s="17" t="n">
        <v>288</v>
      </c>
      <c r="V97" s="17" t="n">
        <v>490.5</v>
      </c>
      <c r="W97" s="17" t="n">
        <v>154</v>
      </c>
      <c r="X97" s="17" t="n">
        <v>2013</v>
      </c>
      <c r="Y97" s="17" t="n">
        <v>51</v>
      </c>
      <c r="Z97" s="17" t="n">
        <v>2</v>
      </c>
      <c r="AA97" s="20">
        <f>IF(ISNUMBER(W97),W97,IFERROR(MAX(0,(VALUE(LEFT(F97,4))-VALUE(LEFT(TEXT(J97,"00000000"),4)))*12+(VALUE(MID(F97,5,2))-VALUE(MID(TEXT(J97,"00000000"),5,2)))),""))</f>
        <v/>
      </c>
      <c r="AB97" s="20">
        <f>IFERROR((VALUE(LEFT(TEXT(K97,"00000000"),4))-VALUE(LEFT(F97,4)))*12+(VALUE(MID(TEXT(K97,"00000000"),5,2))-VALUE(MID(F97,5,2))),"")</f>
        <v/>
      </c>
      <c r="AC97" s="20">
        <f>IF(OR(L97="",NOT(ISNUMBER(L97))),0,MAX(0,MIN(60,(VALUE(LEFT(F97,4))-VALUE(LEFT(TEXT(L97,"00000000"),4)))*12+(VALUE(MID(F97,5,2))-VALUE(MID(TEXT(L97,"00000000"),5,2))))))</f>
        <v/>
      </c>
      <c r="AD97" s="20">
        <f>IF(OR(L97="",NOT(ISNUMBER(L97))),0,IF(VALUE(F97)&lt;VALUE(LEFT(TEXT(L97,"00000000"),6)),1,0))</f>
        <v/>
      </c>
      <c r="AE97" s="20">
        <f>IF(OR(M97="",NOT(ISNUMBER(M97))),0,IF(VALUE(F97)&lt;VALUE(LEFT(TEXT(M97,"00000000"),6)),1,0))</f>
        <v/>
      </c>
      <c r="AF97" s="20">
        <f>IF(AND(AD97=0,AE97=0),1,0)</f>
        <v/>
      </c>
      <c r="AG97" s="20">
        <f>IF(ISNUMBER(X97),X97,IFERROR(VALUE(LEFT(TEXT(J97,"00000000"),4)),""))</f>
        <v/>
      </c>
      <c r="AH97" s="20">
        <f>IFERROR(XLOOKUP(AG97,Vintage_Rates!$A$2:$A$1000,Vintage_Rates!$B$2:$B$1000,""),"")</f>
        <v/>
      </c>
      <c r="AI97" s="20">
        <f>IF(ISNUMBER(Y97),Y97,IFERROR((G97-AH97)*100,""))</f>
        <v/>
      </c>
      <c r="AJ97" s="20">
        <f>IF(ISNUMBER(V97),V97,IFERROR(XLOOKUP(VALUE(F97),PLC_Rates!$A$2:$A$1000,PLC_Rates!$B$2:$B$1000,""),""))</f>
        <v/>
      </c>
      <c r="AK97" s="20">
        <f>IF(ISNUMBER(Z97),Z97,IF(AE97=0,0,MAX(0,MIN(10,((VALUE(LEFT(TEXT(M97,"00000000"),4))-VALUE(LEFT(F97,4)))*12+(VALUE(MID(TEXT(M97,"00000000"),5,2))-VALUE(MID(F97,5,2))))/12))))</f>
        <v/>
      </c>
      <c r="AL97" s="20">
        <f>IFERROR(G97*100-AJ97,"")</f>
        <v/>
      </c>
      <c r="AM97" s="20">
        <f>IFERROR(G97*100-(AJ97+(1+AK97)*12.5),"")</f>
        <v/>
      </c>
      <c r="AN97" s="21">
        <f>IFERROR(MIN(H97/1000000,100),"")</f>
        <v/>
      </c>
      <c r="AO97" s="20">
        <f>IFERROR(INDEX(FHA_Lookup!$B$2:$B$11,MATCH(TRUE,ISNUMBER(SEARCH(FHA_Lookup!$A$2:$A$11,UPPER(SUBSTITUTE(O97," ","")))),0)),"OTHER")</f>
        <v/>
      </c>
      <c r="AP97" s="20">
        <f>IFERROR(INDEX(FHA_Lookup!$C$2:$C$11,MATCH(TRUE,ISNUMBER(SEARCH(FHA_Lookup!$A$2:$A$11,UPPER(SUBSTITUTE(O97," ","")))),0)),"OTHER")</f>
        <v/>
      </c>
      <c r="AQ97" s="20">
        <f>IF(AP97="NC",1,0)</f>
        <v/>
      </c>
      <c r="AR97" s="20">
        <f>IF(UPPER(TRIM(P97))="AFF",1,0)</f>
        <v/>
      </c>
      <c r="AS97" s="20">
        <f>IF(UPPER(TRIM(P97))="BAF",1,0)</f>
        <v/>
      </c>
      <c r="AT97" s="20">
        <f>IF(UPPER(TRIM(P97))="MKT",1,0)</f>
        <v/>
      </c>
      <c r="AU97" s="20">
        <f>IF(AO97="221d4",1,0)</f>
        <v/>
      </c>
      <c r="AV97" s="20">
        <f>IF(AO97="223a7",1,0)</f>
        <v/>
      </c>
      <c r="AW97" s="20">
        <f>IF(AO97="232",1,0)</f>
        <v/>
      </c>
      <c r="AX97" s="20">
        <f>IF(AO97="538",1,0)</f>
        <v/>
      </c>
      <c r="AY97" s="20">
        <f>IF(AO97="241",1,0)</f>
        <v/>
      </c>
      <c r="AZ97" s="20">
        <f>IF(AO97="220",1,0)</f>
        <v/>
      </c>
      <c r="BA97" s="20">
        <f>IF(AO97="OTHER",1,0)</f>
        <v/>
      </c>
      <c r="BB97" s="20">
        <f>IF(UPPER(TRIM(C97))="LM",1,0)</f>
        <v/>
      </c>
      <c r="BC97" s="20">
        <f>IF(UPPER(TRIM(C97))="PN",1,0)</f>
        <v/>
      </c>
      <c r="BD97" s="20">
        <f>IF(UPPER(TRIM(C97))="LS",1,0)</f>
        <v/>
      </c>
      <c r="BE97" s="20">
        <f>IF(UPPER(TRIM(C97))="RX",1,0)</f>
        <v/>
      </c>
      <c r="BF97" s="22">
        <f>IFERROR((Parameters!$C$6*AM97+Parameters!$C$7*MAX(AM97-(-150),0)+Parameters!$C$8*MAX(AM97-(-50),0)+Parameters!$C$9*MAX(AM97-(0),0)+Parameters!$C$10*MAX(AM97-(50),0)+Parameters!$C$11*MAX(AM97-(100),0)+Parameters!$C$12*MAX(AM97-(150),0)+Parameters!$C$13*MAX(AM97-(250),0)),0)</f>
        <v/>
      </c>
      <c r="BG97" s="22">
        <f>IFERROR((Parameters!$C$14*AA97+Parameters!$C$15*MAX(AA97-(12),0)+Parameters!$C$16*MAX(AA97-(36),0)+Parameters!$C$17*MAX(AA97-(60),0)+Parameters!$C$18*MAX(AA97-(84),0)+Parameters!$C$19*MAX(AA97-(120),0)+Parameters!$C$20*MAX(AA97-(180),0)),0)</f>
        <v/>
      </c>
      <c r="BH97" s="22">
        <f>IFERROR((Parameters!$C$21*AK97+Parameters!$C$22*MAX(AK97-(0),0)+Parameters!$C$23*MAX(AK97-(2),0)+Parameters!$C$24*MAX(AK97-(5),0)+Parameters!$C$25*MAX(AK97-(8),0)),0)</f>
        <v/>
      </c>
      <c r="BI97" s="22">
        <f>IFERROR((Parameters!$C$26*AI97+Parameters!$C$27*MAX(AI97-(-100),0)+Parameters!$C$28*MAX(AI97-(-25),0)+Parameters!$C$29*MAX(AI97-(25),0)+Parameters!$C$30*MAX(AI97-(100),0)),0)</f>
        <v/>
      </c>
      <c r="BJ97" s="22">
        <f>IFERROR((Parameters!$C$31*AN97+Parameters!$C$32*MAX(AN97-(2),0)+Parameters!$C$33*MAX(AN97-(10),0)+Parameters!$C$34*MAX(AN97-(25),0)),0)</f>
        <v/>
      </c>
      <c r="BK97" s="22">
        <f>IFERROR((Parameters!$C$35*AB97+Parameters!$C$36*MAX(AB97-(12),0)+Parameters!$C$37*MAX(AB97-(24),0)+Parameters!$C$38*MAX(AB97-(60),0)),0)</f>
        <v/>
      </c>
      <c r="BL97" s="22">
        <f>IFERROR((Parameters!$C$39*AC97+Parameters!$C$40*MAX(AC97-(6),0)+Parameters!$C$41*MAX(AC97-(12),0)+Parameters!$C$42*MAX(AC97-(24),0)),0)</f>
        <v/>
      </c>
      <c r="BM97" s="22">
        <f>IFERROR(Parameters!$C$43*(MAX(AM97,0)*MIN(MAX(AK97,0),10))/100,0)</f>
        <v/>
      </c>
      <c r="BN97" s="22">
        <f>Parameters!$C$44*AE97</f>
        <v/>
      </c>
      <c r="BO97" s="22">
        <f>Parameters!$C$45*AU97 + Parameters!$C$46*AV97 + Parameters!$C$47*AW97 + Parameters!$C$48*AX97 + Parameters!$C$49*AY97 + Parameters!$C$50*AZ97 + Parameters!$C$51*BA97</f>
        <v/>
      </c>
      <c r="BP97" s="22">
        <f>Parameters!$C$52*AQ97</f>
        <v/>
      </c>
      <c r="BQ97" s="22">
        <f>Parameters!$C$53*AR97+Parameters!$C$54*AS97+Parameters!$C$55*AT97</f>
        <v/>
      </c>
      <c r="BR97" s="22">
        <f>Parameters!$C$56*BB97+Parameters!$C$57*BC97+Parameters!$C$58*BD97+Parameters!$C$59*BE97</f>
        <v/>
      </c>
      <c r="BS97" s="23">
        <f>Parameters!$B$2</f>
        <v/>
      </c>
      <c r="BT97" s="23">
        <f>BS97+BF97 + BG97 + BH97 + BI97 + BJ97 + BK97 + BL97 + BM97 + BN97 + BO97 + BP97 + BQ97 + BR97</f>
        <v/>
      </c>
      <c r="BU97" s="24">
        <f>IF(AD97=1,0,1/(1+EXP(-BT97))*Parameters!$B$3)</f>
        <v/>
      </c>
      <c r="BV97" s="25">
        <f>(1-(1-BU97)^12)*100</f>
        <v/>
      </c>
      <c r="BW97" s="25">
        <f>IF(AD97=1,0,(1-(1-1/(1+EXP(-Parameters!$B$2)))^12)*100)</f>
        <v/>
      </c>
      <c r="BX97" s="25">
        <f>IF(AD97=1,0,BV97-(1-(1-(1/(1+EXP(-(BT97-BF97)))*Parameters!$B$3))^12)*100)</f>
        <v/>
      </c>
      <c r="BY97" s="25">
        <f>IF(AD97=1,0,BV97-(1-(1-(1/(1+EXP(-(BT97-BG97)))*Parameters!$B$3))^12)*100)</f>
        <v/>
      </c>
      <c r="BZ97" s="25">
        <f>IF(AD97=1,0,BV97-(1-(1-(1/(1+EXP(-(BT97-BH97)))*Parameters!$B$3))^12)*100)</f>
        <v/>
      </c>
      <c r="CA97" s="25">
        <f>IF(AD97=1,0,BV97-(1-(1-(1/(1+EXP(-(BT97-BI97)))*Parameters!$B$3))^12)*100)</f>
        <v/>
      </c>
      <c r="CB97" s="25">
        <f>IF(AD97=1,0,BV97-(1-(1-(1/(1+EXP(-(BT97-BJ97)))*Parameters!$B$3))^12)*100)</f>
        <v/>
      </c>
      <c r="CC97" s="25">
        <f>IF(AD97=1,0,BV97-(1-(1-(1/(1+EXP(-(BT97-BK97)))*Parameters!$B$3))^12)*100)</f>
        <v/>
      </c>
      <c r="CD97" s="25">
        <f>IF(AD97=1,0,BV97-(1-(1-(1/(1+EXP(-(BT97-BL97)))*Parameters!$B$3))^12)*100)</f>
        <v/>
      </c>
      <c r="CE97" s="25">
        <f>IF(AD97=1,0,BV97-(1-(1-(1/(1+EXP(-(BT97-BM97)))*Parameters!$B$3))^12)*100)</f>
        <v/>
      </c>
      <c r="CF97" s="25">
        <f>IF(AD97=1,0,BV97-(1-(1-(1/(1+EXP(-(BT97-BN97)))*Parameters!$B$3))^12)*100)</f>
        <v/>
      </c>
      <c r="CG97" s="25">
        <f>IF(AD97=1,0,BV97-(1-(1-(1/(1+EXP(-(BT97-BO97)))*Parameters!$B$3))^12)*100)</f>
        <v/>
      </c>
      <c r="CH97" s="25">
        <f>IF(AD97=1,0,BV97-(1-(1-(1/(1+EXP(-(BT97-BP97)))*Parameters!$B$3))^12)*100)</f>
        <v/>
      </c>
      <c r="CI97" s="25">
        <f>IF(AD97=1,0,BV97-(1-(1-(1/(1+EXP(-(BT97-BQ97)))*Parameters!$B$3))^12)*100)</f>
        <v/>
      </c>
      <c r="CJ97" s="25">
        <f>IF(AD97=1,0,BV97-(1-(1-(1/(1+EXP(-(BT97-BR97)))*Parameters!$B$3))^12)*100)</f>
        <v/>
      </c>
    </row>
    <row r="98">
      <c r="A98" s="17" t="inlineStr">
        <is>
          <t>GNR_2014_SEASONED</t>
        </is>
      </c>
      <c r="B98" s="17" t="inlineStr">
        <is>
          <t>36184QBH6</t>
        </is>
      </c>
      <c r="C98" s="17" t="inlineStr">
        <is>
          <t>LM</t>
        </is>
      </c>
      <c r="D98" s="17" t="inlineStr">
        <is>
          <t>PNC BANK, NA</t>
        </is>
      </c>
      <c r="E98" s="17" t="inlineStr">
        <is>
          <t>36184QBH6_000000001711084</t>
        </is>
      </c>
      <c r="F98" s="17" t="n">
        <v>202603</v>
      </c>
      <c r="G98" s="18" t="n">
        <v>3.23</v>
      </c>
      <c r="H98" s="19" t="n">
        <v>1440043.63</v>
      </c>
      <c r="I98" s="17" t="n">
        <v>420</v>
      </c>
      <c r="J98" s="17" t="n">
        <v>20150421</v>
      </c>
      <c r="K98" s="17" t="n">
        <v>20400201</v>
      </c>
      <c r="L98" s="17" t="n"/>
      <c r="M98" s="17" t="n">
        <v>20250601</v>
      </c>
      <c r="N98" s="17" t="n">
        <v>10</v>
      </c>
      <c r="O98" s="17" t="inlineStr">
        <is>
          <t>223F</t>
        </is>
      </c>
      <c r="P98" s="17" t="inlineStr">
        <is>
          <t>MKT</t>
        </is>
      </c>
      <c r="Q98" s="17" t="inlineStr">
        <is>
          <t>M</t>
        </is>
      </c>
      <c r="R98" s="17" t="n"/>
      <c r="S98" s="17" t="n">
        <v>1</v>
      </c>
      <c r="T98" s="17" t="inlineStr">
        <is>
          <t>CT</t>
        </is>
      </c>
      <c r="U98" s="17" t="n">
        <v>49</v>
      </c>
      <c r="V98" s="17" t="n">
        <v>490.5</v>
      </c>
      <c r="W98" s="17" t="n">
        <v>131</v>
      </c>
      <c r="X98" s="17" t="n">
        <v>2015</v>
      </c>
      <c r="Y98" s="17" t="n">
        <v>-32</v>
      </c>
      <c r="Z98" s="17" t="n">
        <v>0</v>
      </c>
      <c r="AA98" s="20">
        <f>IF(ISNUMBER(W98),W98,IFERROR(MAX(0,(VALUE(LEFT(F98,4))-VALUE(LEFT(TEXT(J98,"00000000"),4)))*12+(VALUE(MID(F98,5,2))-VALUE(MID(TEXT(J98,"00000000"),5,2)))),""))</f>
        <v/>
      </c>
      <c r="AB98" s="20">
        <f>IFERROR((VALUE(LEFT(TEXT(K98,"00000000"),4))-VALUE(LEFT(F98,4)))*12+(VALUE(MID(TEXT(K98,"00000000"),5,2))-VALUE(MID(F98,5,2))),"")</f>
        <v/>
      </c>
      <c r="AC98" s="20">
        <f>IF(OR(L98="",NOT(ISNUMBER(L98))),0,MAX(0,MIN(60,(VALUE(LEFT(F98,4))-VALUE(LEFT(TEXT(L98,"00000000"),4)))*12+(VALUE(MID(F98,5,2))-VALUE(MID(TEXT(L98,"00000000"),5,2))))))</f>
        <v/>
      </c>
      <c r="AD98" s="20">
        <f>IF(OR(L98="",NOT(ISNUMBER(L98))),0,IF(VALUE(F98)&lt;VALUE(LEFT(TEXT(L98,"00000000"),6)),1,0))</f>
        <v/>
      </c>
      <c r="AE98" s="20">
        <f>IF(OR(M98="",NOT(ISNUMBER(M98))),0,IF(VALUE(F98)&lt;VALUE(LEFT(TEXT(M98,"00000000"),6)),1,0))</f>
        <v/>
      </c>
      <c r="AF98" s="20">
        <f>IF(AND(AD98=0,AE98=0),1,0)</f>
        <v/>
      </c>
      <c r="AG98" s="20">
        <f>IF(ISNUMBER(X98),X98,IFERROR(VALUE(LEFT(TEXT(J98,"00000000"),4)),""))</f>
        <v/>
      </c>
      <c r="AH98" s="20">
        <f>IFERROR(XLOOKUP(AG98,Vintage_Rates!$A$2:$A$1000,Vintage_Rates!$B$2:$B$1000,""),"")</f>
        <v/>
      </c>
      <c r="AI98" s="20">
        <f>IF(ISNUMBER(Y98),Y98,IFERROR((G98-AH98)*100,""))</f>
        <v/>
      </c>
      <c r="AJ98" s="20">
        <f>IF(ISNUMBER(V98),V98,IFERROR(XLOOKUP(VALUE(F98),PLC_Rates!$A$2:$A$1000,PLC_Rates!$B$2:$B$1000,""),""))</f>
        <v/>
      </c>
      <c r="AK98" s="20">
        <f>IF(ISNUMBER(Z98),Z98,IF(AE98=0,0,MAX(0,MIN(10,((VALUE(LEFT(TEXT(M98,"00000000"),4))-VALUE(LEFT(F98,4)))*12+(VALUE(MID(TEXT(M98,"00000000"),5,2))-VALUE(MID(F98,5,2))))/12))))</f>
        <v/>
      </c>
      <c r="AL98" s="20">
        <f>IFERROR(G98*100-AJ98,"")</f>
        <v/>
      </c>
      <c r="AM98" s="20">
        <f>IFERROR(G98*100-(AJ98+(1+AK98)*12.5),"")</f>
        <v/>
      </c>
      <c r="AN98" s="21">
        <f>IFERROR(MIN(H98/1000000,100),"")</f>
        <v/>
      </c>
      <c r="AO98" s="20">
        <f>IFERROR(INDEX(FHA_Lookup!$B$2:$B$11,MATCH(TRUE,ISNUMBER(SEARCH(FHA_Lookup!$A$2:$A$11,UPPER(SUBSTITUTE(O98," ","")))),0)),"OTHER")</f>
        <v/>
      </c>
      <c r="AP98" s="20">
        <f>IFERROR(INDEX(FHA_Lookup!$C$2:$C$11,MATCH(TRUE,ISNUMBER(SEARCH(FHA_Lookup!$A$2:$A$11,UPPER(SUBSTITUTE(O98," ","")))),0)),"OTHER")</f>
        <v/>
      </c>
      <c r="AQ98" s="20">
        <f>IF(AP98="NC",1,0)</f>
        <v/>
      </c>
      <c r="AR98" s="20">
        <f>IF(UPPER(TRIM(P98))="AFF",1,0)</f>
        <v/>
      </c>
      <c r="AS98" s="20">
        <f>IF(UPPER(TRIM(P98))="BAF",1,0)</f>
        <v/>
      </c>
      <c r="AT98" s="20">
        <f>IF(UPPER(TRIM(P98))="MKT",1,0)</f>
        <v/>
      </c>
      <c r="AU98" s="20">
        <f>IF(AO98="221d4",1,0)</f>
        <v/>
      </c>
      <c r="AV98" s="20">
        <f>IF(AO98="223a7",1,0)</f>
        <v/>
      </c>
      <c r="AW98" s="20">
        <f>IF(AO98="232",1,0)</f>
        <v/>
      </c>
      <c r="AX98" s="20">
        <f>IF(AO98="538",1,0)</f>
        <v/>
      </c>
      <c r="AY98" s="20">
        <f>IF(AO98="241",1,0)</f>
        <v/>
      </c>
      <c r="AZ98" s="20">
        <f>IF(AO98="220",1,0)</f>
        <v/>
      </c>
      <c r="BA98" s="20">
        <f>IF(AO98="OTHER",1,0)</f>
        <v/>
      </c>
      <c r="BB98" s="20">
        <f>IF(UPPER(TRIM(C98))="LM",1,0)</f>
        <v/>
      </c>
      <c r="BC98" s="20">
        <f>IF(UPPER(TRIM(C98))="PN",1,0)</f>
        <v/>
      </c>
      <c r="BD98" s="20">
        <f>IF(UPPER(TRIM(C98))="LS",1,0)</f>
        <v/>
      </c>
      <c r="BE98" s="20">
        <f>IF(UPPER(TRIM(C98))="RX",1,0)</f>
        <v/>
      </c>
      <c r="BF98" s="22">
        <f>IFERROR((Parameters!$C$6*AM98+Parameters!$C$7*MAX(AM98-(-150),0)+Parameters!$C$8*MAX(AM98-(-50),0)+Parameters!$C$9*MAX(AM98-(0),0)+Parameters!$C$10*MAX(AM98-(50),0)+Parameters!$C$11*MAX(AM98-(100),0)+Parameters!$C$12*MAX(AM98-(150),0)+Parameters!$C$13*MAX(AM98-(250),0)),0)</f>
        <v/>
      </c>
      <c r="BG98" s="22">
        <f>IFERROR((Parameters!$C$14*AA98+Parameters!$C$15*MAX(AA98-(12),0)+Parameters!$C$16*MAX(AA98-(36),0)+Parameters!$C$17*MAX(AA98-(60),0)+Parameters!$C$18*MAX(AA98-(84),0)+Parameters!$C$19*MAX(AA98-(120),0)+Parameters!$C$20*MAX(AA98-(180),0)),0)</f>
        <v/>
      </c>
      <c r="BH98" s="22">
        <f>IFERROR((Parameters!$C$21*AK98+Parameters!$C$22*MAX(AK98-(0),0)+Parameters!$C$23*MAX(AK98-(2),0)+Parameters!$C$24*MAX(AK98-(5),0)+Parameters!$C$25*MAX(AK98-(8),0)),0)</f>
        <v/>
      </c>
      <c r="BI98" s="22">
        <f>IFERROR((Parameters!$C$26*AI98+Parameters!$C$27*MAX(AI98-(-100),0)+Parameters!$C$28*MAX(AI98-(-25),0)+Parameters!$C$29*MAX(AI98-(25),0)+Parameters!$C$30*MAX(AI98-(100),0)),0)</f>
        <v/>
      </c>
      <c r="BJ98" s="22">
        <f>IFERROR((Parameters!$C$31*AN98+Parameters!$C$32*MAX(AN98-(2),0)+Parameters!$C$33*MAX(AN98-(10),0)+Parameters!$C$34*MAX(AN98-(25),0)),0)</f>
        <v/>
      </c>
      <c r="BK98" s="22">
        <f>IFERROR((Parameters!$C$35*AB98+Parameters!$C$36*MAX(AB98-(12),0)+Parameters!$C$37*MAX(AB98-(24),0)+Parameters!$C$38*MAX(AB98-(60),0)),0)</f>
        <v/>
      </c>
      <c r="BL98" s="22">
        <f>IFERROR((Parameters!$C$39*AC98+Parameters!$C$40*MAX(AC98-(6),0)+Parameters!$C$41*MAX(AC98-(12),0)+Parameters!$C$42*MAX(AC98-(24),0)),0)</f>
        <v/>
      </c>
      <c r="BM98" s="22">
        <f>IFERROR(Parameters!$C$43*(MAX(AM98,0)*MIN(MAX(AK98,0),10))/100,0)</f>
        <v/>
      </c>
      <c r="BN98" s="22">
        <f>Parameters!$C$44*AE98</f>
        <v/>
      </c>
      <c r="BO98" s="22">
        <f>Parameters!$C$45*AU98 + Parameters!$C$46*AV98 + Parameters!$C$47*AW98 + Parameters!$C$48*AX98 + Parameters!$C$49*AY98 + Parameters!$C$50*AZ98 + Parameters!$C$51*BA98</f>
        <v/>
      </c>
      <c r="BP98" s="22">
        <f>Parameters!$C$52*AQ98</f>
        <v/>
      </c>
      <c r="BQ98" s="22">
        <f>Parameters!$C$53*AR98+Parameters!$C$54*AS98+Parameters!$C$55*AT98</f>
        <v/>
      </c>
      <c r="BR98" s="22">
        <f>Parameters!$C$56*BB98+Parameters!$C$57*BC98+Parameters!$C$58*BD98+Parameters!$C$59*BE98</f>
        <v/>
      </c>
      <c r="BS98" s="23">
        <f>Parameters!$B$2</f>
        <v/>
      </c>
      <c r="BT98" s="23">
        <f>BS98+BF98 + BG98 + BH98 + BI98 + BJ98 + BK98 + BL98 + BM98 + BN98 + BO98 + BP98 + BQ98 + BR98</f>
        <v/>
      </c>
      <c r="BU98" s="24">
        <f>IF(AD98=1,0,1/(1+EXP(-BT98))*Parameters!$B$3)</f>
        <v/>
      </c>
      <c r="BV98" s="25">
        <f>(1-(1-BU98)^12)*100</f>
        <v/>
      </c>
      <c r="BW98" s="25">
        <f>IF(AD98=1,0,(1-(1-1/(1+EXP(-Parameters!$B$2)))^12)*100)</f>
        <v/>
      </c>
      <c r="BX98" s="25">
        <f>IF(AD98=1,0,BV98-(1-(1-(1/(1+EXP(-(BT98-BF98)))*Parameters!$B$3))^12)*100)</f>
        <v/>
      </c>
      <c r="BY98" s="25">
        <f>IF(AD98=1,0,BV98-(1-(1-(1/(1+EXP(-(BT98-BG98)))*Parameters!$B$3))^12)*100)</f>
        <v/>
      </c>
      <c r="BZ98" s="25">
        <f>IF(AD98=1,0,BV98-(1-(1-(1/(1+EXP(-(BT98-BH98)))*Parameters!$B$3))^12)*100)</f>
        <v/>
      </c>
      <c r="CA98" s="25">
        <f>IF(AD98=1,0,BV98-(1-(1-(1/(1+EXP(-(BT98-BI98)))*Parameters!$B$3))^12)*100)</f>
        <v/>
      </c>
      <c r="CB98" s="25">
        <f>IF(AD98=1,0,BV98-(1-(1-(1/(1+EXP(-(BT98-BJ98)))*Parameters!$B$3))^12)*100)</f>
        <v/>
      </c>
      <c r="CC98" s="25">
        <f>IF(AD98=1,0,BV98-(1-(1-(1/(1+EXP(-(BT98-BK98)))*Parameters!$B$3))^12)*100)</f>
        <v/>
      </c>
      <c r="CD98" s="25">
        <f>IF(AD98=1,0,BV98-(1-(1-(1/(1+EXP(-(BT98-BL98)))*Parameters!$B$3))^12)*100)</f>
        <v/>
      </c>
      <c r="CE98" s="25">
        <f>IF(AD98=1,0,BV98-(1-(1-(1/(1+EXP(-(BT98-BM98)))*Parameters!$B$3))^12)*100)</f>
        <v/>
      </c>
      <c r="CF98" s="25">
        <f>IF(AD98=1,0,BV98-(1-(1-(1/(1+EXP(-(BT98-BN98)))*Parameters!$B$3))^12)*100)</f>
        <v/>
      </c>
      <c r="CG98" s="25">
        <f>IF(AD98=1,0,BV98-(1-(1-(1/(1+EXP(-(BT98-BO98)))*Parameters!$B$3))^12)*100)</f>
        <v/>
      </c>
      <c r="CH98" s="25">
        <f>IF(AD98=1,0,BV98-(1-(1-(1/(1+EXP(-(BT98-BP98)))*Parameters!$B$3))^12)*100)</f>
        <v/>
      </c>
      <c r="CI98" s="25">
        <f>IF(AD98=1,0,BV98-(1-(1-(1/(1+EXP(-(BT98-BQ98)))*Parameters!$B$3))^12)*100)</f>
        <v/>
      </c>
      <c r="CJ98" s="25">
        <f>IF(AD98=1,0,BV98-(1-(1-(1/(1+EXP(-(BT98-BR98)))*Parameters!$B$3))^12)*100)</f>
        <v/>
      </c>
    </row>
    <row r="99">
      <c r="A99" s="17" t="inlineStr">
        <is>
          <t>GNR_2014_SEASONED</t>
        </is>
      </c>
      <c r="B99" s="17" t="inlineStr">
        <is>
          <t>3617URTG0</t>
        </is>
      </c>
      <c r="C99" s="17" t="inlineStr">
        <is>
          <t>LM</t>
        </is>
      </c>
      <c r="D99" s="17" t="inlineStr">
        <is>
          <t>M&amp;T REALTY CAPITAL CORPORATION</t>
        </is>
      </c>
      <c r="E99" s="17" t="inlineStr">
        <is>
          <t>3617URTG0_000000005211219</t>
        </is>
      </c>
      <c r="F99" s="17" t="n">
        <v>202603</v>
      </c>
      <c r="G99" s="18" t="n">
        <v>2.91</v>
      </c>
      <c r="H99" s="19" t="n">
        <v>5223695.87</v>
      </c>
      <c r="I99" s="17" t="n">
        <v>420</v>
      </c>
      <c r="J99" s="17" t="n">
        <v>20151030</v>
      </c>
      <c r="K99" s="17" t="n">
        <v>20501101</v>
      </c>
      <c r="L99" s="17" t="n"/>
      <c r="M99" s="17" t="n">
        <v>20310601</v>
      </c>
      <c r="N99" s="17" t="n">
        <v>10</v>
      </c>
      <c r="O99" s="17" t="inlineStr">
        <is>
          <t>207/223(F)</t>
        </is>
      </c>
      <c r="P99" s="17" t="inlineStr">
        <is>
          <t>MKT</t>
        </is>
      </c>
      <c r="Q99" s="17" t="inlineStr">
        <is>
          <t>M</t>
        </is>
      </c>
      <c r="R99" s="17" t="n"/>
      <c r="S99" s="17" t="n">
        <v>1</v>
      </c>
      <c r="T99" s="17" t="inlineStr">
        <is>
          <t>MD</t>
        </is>
      </c>
      <c r="U99" s="17" t="n">
        <v>121</v>
      </c>
      <c r="V99" s="17" t="n">
        <v>490.5</v>
      </c>
      <c r="W99" s="17" t="n">
        <v>125</v>
      </c>
      <c r="X99" s="17" t="n">
        <v>2015</v>
      </c>
      <c r="Y99" s="17" t="n">
        <v>-64</v>
      </c>
      <c r="Z99" s="17" t="n">
        <v>6</v>
      </c>
      <c r="AA99" s="20">
        <f>IF(ISNUMBER(W99),W99,IFERROR(MAX(0,(VALUE(LEFT(F99,4))-VALUE(LEFT(TEXT(J99,"00000000"),4)))*12+(VALUE(MID(F99,5,2))-VALUE(MID(TEXT(J99,"00000000"),5,2)))),""))</f>
        <v/>
      </c>
      <c r="AB99" s="20">
        <f>IFERROR((VALUE(LEFT(TEXT(K99,"00000000"),4))-VALUE(LEFT(F99,4)))*12+(VALUE(MID(TEXT(K99,"00000000"),5,2))-VALUE(MID(F99,5,2))),"")</f>
        <v/>
      </c>
      <c r="AC99" s="20">
        <f>IF(OR(L99="",NOT(ISNUMBER(L99))),0,MAX(0,MIN(60,(VALUE(LEFT(F99,4))-VALUE(LEFT(TEXT(L99,"00000000"),4)))*12+(VALUE(MID(F99,5,2))-VALUE(MID(TEXT(L99,"00000000"),5,2))))))</f>
        <v/>
      </c>
      <c r="AD99" s="20">
        <f>IF(OR(L99="",NOT(ISNUMBER(L99))),0,IF(VALUE(F99)&lt;VALUE(LEFT(TEXT(L99,"00000000"),6)),1,0))</f>
        <v/>
      </c>
      <c r="AE99" s="20">
        <f>IF(OR(M99="",NOT(ISNUMBER(M99))),0,IF(VALUE(F99)&lt;VALUE(LEFT(TEXT(M99,"00000000"),6)),1,0))</f>
        <v/>
      </c>
      <c r="AF99" s="20">
        <f>IF(AND(AD99=0,AE99=0),1,0)</f>
        <v/>
      </c>
      <c r="AG99" s="20">
        <f>IF(ISNUMBER(X99),X99,IFERROR(VALUE(LEFT(TEXT(J99,"00000000"),4)),""))</f>
        <v/>
      </c>
      <c r="AH99" s="20">
        <f>IFERROR(XLOOKUP(AG99,Vintage_Rates!$A$2:$A$1000,Vintage_Rates!$B$2:$B$1000,""),"")</f>
        <v/>
      </c>
      <c r="AI99" s="20">
        <f>IF(ISNUMBER(Y99),Y99,IFERROR((G99-AH99)*100,""))</f>
        <v/>
      </c>
      <c r="AJ99" s="20">
        <f>IF(ISNUMBER(V99),V99,IFERROR(XLOOKUP(VALUE(F99),PLC_Rates!$A$2:$A$1000,PLC_Rates!$B$2:$B$1000,""),""))</f>
        <v/>
      </c>
      <c r="AK99" s="20">
        <f>IF(ISNUMBER(Z99),Z99,IF(AE99=0,0,MAX(0,MIN(10,((VALUE(LEFT(TEXT(M99,"00000000"),4))-VALUE(LEFT(F99,4)))*12+(VALUE(MID(TEXT(M99,"00000000"),5,2))-VALUE(MID(F99,5,2))))/12))))</f>
        <v/>
      </c>
      <c r="AL99" s="20">
        <f>IFERROR(G99*100-AJ99,"")</f>
        <v/>
      </c>
      <c r="AM99" s="20">
        <f>IFERROR(G99*100-(AJ99+(1+AK99)*12.5),"")</f>
        <v/>
      </c>
      <c r="AN99" s="21">
        <f>IFERROR(MIN(H99/1000000,100),"")</f>
        <v/>
      </c>
      <c r="AO99" s="20">
        <f>IFERROR(INDEX(FHA_Lookup!$B$2:$B$11,MATCH(TRUE,ISNUMBER(SEARCH(FHA_Lookup!$A$2:$A$11,UPPER(SUBSTITUTE(O99," ","")))),0)),"OTHER")</f>
        <v/>
      </c>
      <c r="AP99" s="20">
        <f>IFERROR(INDEX(FHA_Lookup!$C$2:$C$11,MATCH(TRUE,ISNUMBER(SEARCH(FHA_Lookup!$A$2:$A$11,UPPER(SUBSTITUTE(O99," ","")))),0)),"OTHER")</f>
        <v/>
      </c>
      <c r="AQ99" s="20">
        <f>IF(AP99="NC",1,0)</f>
        <v/>
      </c>
      <c r="AR99" s="20">
        <f>IF(UPPER(TRIM(P99))="AFF",1,0)</f>
        <v/>
      </c>
      <c r="AS99" s="20">
        <f>IF(UPPER(TRIM(P99))="BAF",1,0)</f>
        <v/>
      </c>
      <c r="AT99" s="20">
        <f>IF(UPPER(TRIM(P99))="MKT",1,0)</f>
        <v/>
      </c>
      <c r="AU99" s="20">
        <f>IF(AO99="221d4",1,0)</f>
        <v/>
      </c>
      <c r="AV99" s="20">
        <f>IF(AO99="223a7",1,0)</f>
        <v/>
      </c>
      <c r="AW99" s="20">
        <f>IF(AO99="232",1,0)</f>
        <v/>
      </c>
      <c r="AX99" s="20">
        <f>IF(AO99="538",1,0)</f>
        <v/>
      </c>
      <c r="AY99" s="20">
        <f>IF(AO99="241",1,0)</f>
        <v/>
      </c>
      <c r="AZ99" s="20">
        <f>IF(AO99="220",1,0)</f>
        <v/>
      </c>
      <c r="BA99" s="20">
        <f>IF(AO99="OTHER",1,0)</f>
        <v/>
      </c>
      <c r="BB99" s="20">
        <f>IF(UPPER(TRIM(C99))="LM",1,0)</f>
        <v/>
      </c>
      <c r="BC99" s="20">
        <f>IF(UPPER(TRIM(C99))="PN",1,0)</f>
        <v/>
      </c>
      <c r="BD99" s="20">
        <f>IF(UPPER(TRIM(C99))="LS",1,0)</f>
        <v/>
      </c>
      <c r="BE99" s="20">
        <f>IF(UPPER(TRIM(C99))="RX",1,0)</f>
        <v/>
      </c>
      <c r="BF99" s="22">
        <f>IFERROR((Parameters!$C$6*AM99+Parameters!$C$7*MAX(AM99-(-150),0)+Parameters!$C$8*MAX(AM99-(-50),0)+Parameters!$C$9*MAX(AM99-(0),0)+Parameters!$C$10*MAX(AM99-(50),0)+Parameters!$C$11*MAX(AM99-(100),0)+Parameters!$C$12*MAX(AM99-(150),0)+Parameters!$C$13*MAX(AM99-(250),0)),0)</f>
        <v/>
      </c>
      <c r="BG99" s="22">
        <f>IFERROR((Parameters!$C$14*AA99+Parameters!$C$15*MAX(AA99-(12),0)+Parameters!$C$16*MAX(AA99-(36),0)+Parameters!$C$17*MAX(AA99-(60),0)+Parameters!$C$18*MAX(AA99-(84),0)+Parameters!$C$19*MAX(AA99-(120),0)+Parameters!$C$20*MAX(AA99-(180),0)),0)</f>
        <v/>
      </c>
      <c r="BH99" s="22">
        <f>IFERROR((Parameters!$C$21*AK99+Parameters!$C$22*MAX(AK99-(0),0)+Parameters!$C$23*MAX(AK99-(2),0)+Parameters!$C$24*MAX(AK99-(5),0)+Parameters!$C$25*MAX(AK99-(8),0)),0)</f>
        <v/>
      </c>
      <c r="BI99" s="22">
        <f>IFERROR((Parameters!$C$26*AI99+Parameters!$C$27*MAX(AI99-(-100),0)+Parameters!$C$28*MAX(AI99-(-25),0)+Parameters!$C$29*MAX(AI99-(25),0)+Parameters!$C$30*MAX(AI99-(100),0)),0)</f>
        <v/>
      </c>
      <c r="BJ99" s="22">
        <f>IFERROR((Parameters!$C$31*AN99+Parameters!$C$32*MAX(AN99-(2),0)+Parameters!$C$33*MAX(AN99-(10),0)+Parameters!$C$34*MAX(AN99-(25),0)),0)</f>
        <v/>
      </c>
      <c r="BK99" s="22">
        <f>IFERROR((Parameters!$C$35*AB99+Parameters!$C$36*MAX(AB99-(12),0)+Parameters!$C$37*MAX(AB99-(24),0)+Parameters!$C$38*MAX(AB99-(60),0)),0)</f>
        <v/>
      </c>
      <c r="BL99" s="22">
        <f>IFERROR((Parameters!$C$39*AC99+Parameters!$C$40*MAX(AC99-(6),0)+Parameters!$C$41*MAX(AC99-(12),0)+Parameters!$C$42*MAX(AC99-(24),0)),0)</f>
        <v/>
      </c>
      <c r="BM99" s="22">
        <f>IFERROR(Parameters!$C$43*(MAX(AM99,0)*MIN(MAX(AK99,0),10))/100,0)</f>
        <v/>
      </c>
      <c r="BN99" s="22">
        <f>Parameters!$C$44*AE99</f>
        <v/>
      </c>
      <c r="BO99" s="22">
        <f>Parameters!$C$45*AU99 + Parameters!$C$46*AV99 + Parameters!$C$47*AW99 + Parameters!$C$48*AX99 + Parameters!$C$49*AY99 + Parameters!$C$50*AZ99 + Parameters!$C$51*BA99</f>
        <v/>
      </c>
      <c r="BP99" s="22">
        <f>Parameters!$C$52*AQ99</f>
        <v/>
      </c>
      <c r="BQ99" s="22">
        <f>Parameters!$C$53*AR99+Parameters!$C$54*AS99+Parameters!$C$55*AT99</f>
        <v/>
      </c>
      <c r="BR99" s="22">
        <f>Parameters!$C$56*BB99+Parameters!$C$57*BC99+Parameters!$C$58*BD99+Parameters!$C$59*BE99</f>
        <v/>
      </c>
      <c r="BS99" s="23">
        <f>Parameters!$B$2</f>
        <v/>
      </c>
      <c r="BT99" s="23">
        <f>BS99+BF99 + BG99 + BH99 + BI99 + BJ99 + BK99 + BL99 + BM99 + BN99 + BO99 + BP99 + BQ99 + BR99</f>
        <v/>
      </c>
      <c r="BU99" s="24">
        <f>IF(AD99=1,0,1/(1+EXP(-BT99))*Parameters!$B$3)</f>
        <v/>
      </c>
      <c r="BV99" s="25">
        <f>(1-(1-BU99)^12)*100</f>
        <v/>
      </c>
      <c r="BW99" s="25">
        <f>IF(AD99=1,0,(1-(1-1/(1+EXP(-Parameters!$B$2)))^12)*100)</f>
        <v/>
      </c>
      <c r="BX99" s="25">
        <f>IF(AD99=1,0,BV99-(1-(1-(1/(1+EXP(-(BT99-BF99)))*Parameters!$B$3))^12)*100)</f>
        <v/>
      </c>
      <c r="BY99" s="25">
        <f>IF(AD99=1,0,BV99-(1-(1-(1/(1+EXP(-(BT99-BG99)))*Parameters!$B$3))^12)*100)</f>
        <v/>
      </c>
      <c r="BZ99" s="25">
        <f>IF(AD99=1,0,BV99-(1-(1-(1/(1+EXP(-(BT99-BH99)))*Parameters!$B$3))^12)*100)</f>
        <v/>
      </c>
      <c r="CA99" s="25">
        <f>IF(AD99=1,0,BV99-(1-(1-(1/(1+EXP(-(BT99-BI99)))*Parameters!$B$3))^12)*100)</f>
        <v/>
      </c>
      <c r="CB99" s="25">
        <f>IF(AD99=1,0,BV99-(1-(1-(1/(1+EXP(-(BT99-BJ99)))*Parameters!$B$3))^12)*100)</f>
        <v/>
      </c>
      <c r="CC99" s="25">
        <f>IF(AD99=1,0,BV99-(1-(1-(1/(1+EXP(-(BT99-BK99)))*Parameters!$B$3))^12)*100)</f>
        <v/>
      </c>
      <c r="CD99" s="25">
        <f>IF(AD99=1,0,BV99-(1-(1-(1/(1+EXP(-(BT99-BL99)))*Parameters!$B$3))^12)*100)</f>
        <v/>
      </c>
      <c r="CE99" s="25">
        <f>IF(AD99=1,0,BV99-(1-(1-(1/(1+EXP(-(BT99-BM99)))*Parameters!$B$3))^12)*100)</f>
        <v/>
      </c>
      <c r="CF99" s="25">
        <f>IF(AD99=1,0,BV99-(1-(1-(1/(1+EXP(-(BT99-BN99)))*Parameters!$B$3))^12)*100)</f>
        <v/>
      </c>
      <c r="CG99" s="25">
        <f>IF(AD99=1,0,BV99-(1-(1-(1/(1+EXP(-(BT99-BO99)))*Parameters!$B$3))^12)*100)</f>
        <v/>
      </c>
      <c r="CH99" s="25">
        <f>IF(AD99=1,0,BV99-(1-(1-(1/(1+EXP(-(BT99-BP99)))*Parameters!$B$3))^12)*100)</f>
        <v/>
      </c>
      <c r="CI99" s="25">
        <f>IF(AD99=1,0,BV99-(1-(1-(1/(1+EXP(-(BT99-BQ99)))*Parameters!$B$3))^12)*100)</f>
        <v/>
      </c>
      <c r="CJ99" s="25">
        <f>IF(AD99=1,0,BV99-(1-(1-(1/(1+EXP(-(BT99-BR99)))*Parameters!$B$3))^12)*100)</f>
        <v/>
      </c>
    </row>
    <row r="100">
      <c r="A100" s="17" t="inlineStr">
        <is>
          <t>GNR_2014_SEASONED</t>
        </is>
      </c>
      <c r="B100" s="17" t="inlineStr">
        <is>
          <t>36198LGX1</t>
        </is>
      </c>
      <c r="C100" s="17" t="inlineStr">
        <is>
          <t>PN</t>
        </is>
      </c>
      <c r="D100" s="17" t="inlineStr">
        <is>
          <t>LUMENT REAL ESTATE CAPITAL,LLC</t>
        </is>
      </c>
      <c r="E100" s="17" t="inlineStr">
        <is>
          <t>36198LGX1_000000008711096</t>
        </is>
      </c>
      <c r="F100" s="17" t="n">
        <v>202603</v>
      </c>
      <c r="G100" s="18" t="n">
        <v>3.45</v>
      </c>
      <c r="H100" s="19" t="n">
        <v>2871491.27</v>
      </c>
      <c r="I100" s="17" t="n">
        <v>420</v>
      </c>
      <c r="J100" s="17" t="n">
        <v>20141114</v>
      </c>
      <c r="K100" s="17" t="n">
        <v>20491201</v>
      </c>
      <c r="L100" s="17" t="n"/>
      <c r="M100" s="17" t="n">
        <v>20241231</v>
      </c>
      <c r="N100" s="17" t="n">
        <v>10</v>
      </c>
      <c r="O100" s="17" t="inlineStr">
        <is>
          <t>223(f)</t>
        </is>
      </c>
      <c r="P100" s="17" t="inlineStr">
        <is>
          <t>MKT</t>
        </is>
      </c>
      <c r="Q100" s="17" t="n"/>
      <c r="R100" s="17" t="n"/>
      <c r="S100" s="17" t="n"/>
      <c r="T100" s="17" t="inlineStr">
        <is>
          <t>TN</t>
        </is>
      </c>
      <c r="U100" s="17" t="n">
        <v>94</v>
      </c>
      <c r="V100" s="17" t="n">
        <v>490.5</v>
      </c>
      <c r="W100" s="17" t="n">
        <v>136</v>
      </c>
      <c r="X100" s="17" t="n">
        <v>2014</v>
      </c>
      <c r="Y100" s="17" t="n">
        <v>-40</v>
      </c>
      <c r="Z100" s="17" t="n">
        <v>0</v>
      </c>
      <c r="AA100" s="20">
        <f>IF(ISNUMBER(W100),W100,IFERROR(MAX(0,(VALUE(LEFT(F100,4))-VALUE(LEFT(TEXT(J100,"00000000"),4)))*12+(VALUE(MID(F100,5,2))-VALUE(MID(TEXT(J100,"00000000"),5,2)))),""))</f>
        <v/>
      </c>
      <c r="AB100" s="20">
        <f>IFERROR((VALUE(LEFT(TEXT(K100,"00000000"),4))-VALUE(LEFT(F100,4)))*12+(VALUE(MID(TEXT(K100,"00000000"),5,2))-VALUE(MID(F100,5,2))),"")</f>
        <v/>
      </c>
      <c r="AC100" s="20">
        <f>IF(OR(L100="",NOT(ISNUMBER(L100))),0,MAX(0,MIN(60,(VALUE(LEFT(F100,4))-VALUE(LEFT(TEXT(L100,"00000000"),4)))*12+(VALUE(MID(F100,5,2))-VALUE(MID(TEXT(L100,"00000000"),5,2))))))</f>
        <v/>
      </c>
      <c r="AD100" s="20">
        <f>IF(OR(L100="",NOT(ISNUMBER(L100))),0,IF(VALUE(F100)&lt;VALUE(LEFT(TEXT(L100,"00000000"),6)),1,0))</f>
        <v/>
      </c>
      <c r="AE100" s="20">
        <f>IF(OR(M100="",NOT(ISNUMBER(M100))),0,IF(VALUE(F100)&lt;VALUE(LEFT(TEXT(M100,"00000000"),6)),1,0))</f>
        <v/>
      </c>
      <c r="AF100" s="20">
        <f>IF(AND(AD100=0,AE100=0),1,0)</f>
        <v/>
      </c>
      <c r="AG100" s="20">
        <f>IF(ISNUMBER(X100),X100,IFERROR(VALUE(LEFT(TEXT(J100,"00000000"),4)),""))</f>
        <v/>
      </c>
      <c r="AH100" s="20">
        <f>IFERROR(XLOOKUP(AG100,Vintage_Rates!$A$2:$A$1000,Vintage_Rates!$B$2:$B$1000,""),"")</f>
        <v/>
      </c>
      <c r="AI100" s="20">
        <f>IF(ISNUMBER(Y100),Y100,IFERROR((G100-AH100)*100,""))</f>
        <v/>
      </c>
      <c r="AJ100" s="20">
        <f>IF(ISNUMBER(V100),V100,IFERROR(XLOOKUP(VALUE(F100),PLC_Rates!$A$2:$A$1000,PLC_Rates!$B$2:$B$1000,""),""))</f>
        <v/>
      </c>
      <c r="AK100" s="20">
        <f>IF(ISNUMBER(Z100),Z100,IF(AE100=0,0,MAX(0,MIN(10,((VALUE(LEFT(TEXT(M100,"00000000"),4))-VALUE(LEFT(F100,4)))*12+(VALUE(MID(TEXT(M100,"00000000"),5,2))-VALUE(MID(F100,5,2))))/12))))</f>
        <v/>
      </c>
      <c r="AL100" s="20">
        <f>IFERROR(G100*100-AJ100,"")</f>
        <v/>
      </c>
      <c r="AM100" s="20">
        <f>IFERROR(G100*100-(AJ100+(1+AK100)*12.5),"")</f>
        <v/>
      </c>
      <c r="AN100" s="21">
        <f>IFERROR(MIN(H100/1000000,100),"")</f>
        <v/>
      </c>
      <c r="AO100" s="20">
        <f>IFERROR(INDEX(FHA_Lookup!$B$2:$B$11,MATCH(TRUE,ISNUMBER(SEARCH(FHA_Lookup!$A$2:$A$11,UPPER(SUBSTITUTE(O100," ","")))),0)),"OTHER")</f>
        <v/>
      </c>
      <c r="AP100" s="20">
        <f>IFERROR(INDEX(FHA_Lookup!$C$2:$C$11,MATCH(TRUE,ISNUMBER(SEARCH(FHA_Lookup!$A$2:$A$11,UPPER(SUBSTITUTE(O100," ","")))),0)),"OTHER")</f>
        <v/>
      </c>
      <c r="AQ100" s="20">
        <f>IF(AP100="NC",1,0)</f>
        <v/>
      </c>
      <c r="AR100" s="20">
        <f>IF(UPPER(TRIM(P100))="AFF",1,0)</f>
        <v/>
      </c>
      <c r="AS100" s="20">
        <f>IF(UPPER(TRIM(P100))="BAF",1,0)</f>
        <v/>
      </c>
      <c r="AT100" s="20">
        <f>IF(UPPER(TRIM(P100))="MKT",1,0)</f>
        <v/>
      </c>
      <c r="AU100" s="20">
        <f>IF(AO100="221d4",1,0)</f>
        <v/>
      </c>
      <c r="AV100" s="20">
        <f>IF(AO100="223a7",1,0)</f>
        <v/>
      </c>
      <c r="AW100" s="20">
        <f>IF(AO100="232",1,0)</f>
        <v/>
      </c>
      <c r="AX100" s="20">
        <f>IF(AO100="538",1,0)</f>
        <v/>
      </c>
      <c r="AY100" s="20">
        <f>IF(AO100="241",1,0)</f>
        <v/>
      </c>
      <c r="AZ100" s="20">
        <f>IF(AO100="220",1,0)</f>
        <v/>
      </c>
      <c r="BA100" s="20">
        <f>IF(AO100="OTHER",1,0)</f>
        <v/>
      </c>
      <c r="BB100" s="20">
        <f>IF(UPPER(TRIM(C100))="LM",1,0)</f>
        <v/>
      </c>
      <c r="BC100" s="20">
        <f>IF(UPPER(TRIM(C100))="PN",1,0)</f>
        <v/>
      </c>
      <c r="BD100" s="20">
        <f>IF(UPPER(TRIM(C100))="LS",1,0)</f>
        <v/>
      </c>
      <c r="BE100" s="20">
        <f>IF(UPPER(TRIM(C100))="RX",1,0)</f>
        <v/>
      </c>
      <c r="BF100" s="22">
        <f>IFERROR((Parameters!$C$6*AM100+Parameters!$C$7*MAX(AM100-(-150),0)+Parameters!$C$8*MAX(AM100-(-50),0)+Parameters!$C$9*MAX(AM100-(0),0)+Parameters!$C$10*MAX(AM100-(50),0)+Parameters!$C$11*MAX(AM100-(100),0)+Parameters!$C$12*MAX(AM100-(150),0)+Parameters!$C$13*MAX(AM100-(250),0)),0)</f>
        <v/>
      </c>
      <c r="BG100" s="22">
        <f>IFERROR((Parameters!$C$14*AA100+Parameters!$C$15*MAX(AA100-(12),0)+Parameters!$C$16*MAX(AA100-(36),0)+Parameters!$C$17*MAX(AA100-(60),0)+Parameters!$C$18*MAX(AA100-(84),0)+Parameters!$C$19*MAX(AA100-(120),0)+Parameters!$C$20*MAX(AA100-(180),0)),0)</f>
        <v/>
      </c>
      <c r="BH100" s="22">
        <f>IFERROR((Parameters!$C$21*AK100+Parameters!$C$22*MAX(AK100-(0),0)+Parameters!$C$23*MAX(AK100-(2),0)+Parameters!$C$24*MAX(AK100-(5),0)+Parameters!$C$25*MAX(AK100-(8),0)),0)</f>
        <v/>
      </c>
      <c r="BI100" s="22">
        <f>IFERROR((Parameters!$C$26*AI100+Parameters!$C$27*MAX(AI100-(-100),0)+Parameters!$C$28*MAX(AI100-(-25),0)+Parameters!$C$29*MAX(AI100-(25),0)+Parameters!$C$30*MAX(AI100-(100),0)),0)</f>
        <v/>
      </c>
      <c r="BJ100" s="22">
        <f>IFERROR((Parameters!$C$31*AN100+Parameters!$C$32*MAX(AN100-(2),0)+Parameters!$C$33*MAX(AN100-(10),0)+Parameters!$C$34*MAX(AN100-(25),0)),0)</f>
        <v/>
      </c>
      <c r="BK100" s="22">
        <f>IFERROR((Parameters!$C$35*AB100+Parameters!$C$36*MAX(AB100-(12),0)+Parameters!$C$37*MAX(AB100-(24),0)+Parameters!$C$38*MAX(AB100-(60),0)),0)</f>
        <v/>
      </c>
      <c r="BL100" s="22">
        <f>IFERROR((Parameters!$C$39*AC100+Parameters!$C$40*MAX(AC100-(6),0)+Parameters!$C$41*MAX(AC100-(12),0)+Parameters!$C$42*MAX(AC100-(24),0)),0)</f>
        <v/>
      </c>
      <c r="BM100" s="22">
        <f>IFERROR(Parameters!$C$43*(MAX(AM100,0)*MIN(MAX(AK100,0),10))/100,0)</f>
        <v/>
      </c>
      <c r="BN100" s="22">
        <f>Parameters!$C$44*AE100</f>
        <v/>
      </c>
      <c r="BO100" s="22">
        <f>Parameters!$C$45*AU100 + Parameters!$C$46*AV100 + Parameters!$C$47*AW100 + Parameters!$C$48*AX100 + Parameters!$C$49*AY100 + Parameters!$C$50*AZ100 + Parameters!$C$51*BA100</f>
        <v/>
      </c>
      <c r="BP100" s="22">
        <f>Parameters!$C$52*AQ100</f>
        <v/>
      </c>
      <c r="BQ100" s="22">
        <f>Parameters!$C$53*AR100+Parameters!$C$54*AS100+Parameters!$C$55*AT100</f>
        <v/>
      </c>
      <c r="BR100" s="22">
        <f>Parameters!$C$56*BB100+Parameters!$C$57*BC100+Parameters!$C$58*BD100+Parameters!$C$59*BE100</f>
        <v/>
      </c>
      <c r="BS100" s="23">
        <f>Parameters!$B$2</f>
        <v/>
      </c>
      <c r="BT100" s="23">
        <f>BS100+BF100 + BG100 + BH100 + BI100 + BJ100 + BK100 + BL100 + BM100 + BN100 + BO100 + BP100 + BQ100 + BR100</f>
        <v/>
      </c>
      <c r="BU100" s="24">
        <f>IF(AD100=1,0,1/(1+EXP(-BT100))*Parameters!$B$3)</f>
        <v/>
      </c>
      <c r="BV100" s="25">
        <f>(1-(1-BU100)^12)*100</f>
        <v/>
      </c>
      <c r="BW100" s="25">
        <f>IF(AD100=1,0,(1-(1-1/(1+EXP(-Parameters!$B$2)))^12)*100)</f>
        <v/>
      </c>
      <c r="BX100" s="25">
        <f>IF(AD100=1,0,BV100-(1-(1-(1/(1+EXP(-(BT100-BF100)))*Parameters!$B$3))^12)*100)</f>
        <v/>
      </c>
      <c r="BY100" s="25">
        <f>IF(AD100=1,0,BV100-(1-(1-(1/(1+EXP(-(BT100-BG100)))*Parameters!$B$3))^12)*100)</f>
        <v/>
      </c>
      <c r="BZ100" s="25">
        <f>IF(AD100=1,0,BV100-(1-(1-(1/(1+EXP(-(BT100-BH100)))*Parameters!$B$3))^12)*100)</f>
        <v/>
      </c>
      <c r="CA100" s="25">
        <f>IF(AD100=1,0,BV100-(1-(1-(1/(1+EXP(-(BT100-BI100)))*Parameters!$B$3))^12)*100)</f>
        <v/>
      </c>
      <c r="CB100" s="25">
        <f>IF(AD100=1,0,BV100-(1-(1-(1/(1+EXP(-(BT100-BJ100)))*Parameters!$B$3))^12)*100)</f>
        <v/>
      </c>
      <c r="CC100" s="25">
        <f>IF(AD100=1,0,BV100-(1-(1-(1/(1+EXP(-(BT100-BK100)))*Parameters!$B$3))^12)*100)</f>
        <v/>
      </c>
      <c r="CD100" s="25">
        <f>IF(AD100=1,0,BV100-(1-(1-(1/(1+EXP(-(BT100-BL100)))*Parameters!$B$3))^12)*100)</f>
        <v/>
      </c>
      <c r="CE100" s="25">
        <f>IF(AD100=1,0,BV100-(1-(1-(1/(1+EXP(-(BT100-BM100)))*Parameters!$B$3))^12)*100)</f>
        <v/>
      </c>
      <c r="CF100" s="25">
        <f>IF(AD100=1,0,BV100-(1-(1-(1/(1+EXP(-(BT100-BN100)))*Parameters!$B$3))^12)*100)</f>
        <v/>
      </c>
      <c r="CG100" s="25">
        <f>IF(AD100=1,0,BV100-(1-(1-(1/(1+EXP(-(BT100-BO100)))*Parameters!$B$3))^12)*100)</f>
        <v/>
      </c>
      <c r="CH100" s="25">
        <f>IF(AD100=1,0,BV100-(1-(1-(1/(1+EXP(-(BT100-BP100)))*Parameters!$B$3))^12)*100)</f>
        <v/>
      </c>
      <c r="CI100" s="25">
        <f>IF(AD100=1,0,BV100-(1-(1-(1/(1+EXP(-(BT100-BQ100)))*Parameters!$B$3))^12)*100)</f>
        <v/>
      </c>
      <c r="CJ100" s="25">
        <f>IF(AD100=1,0,BV100-(1-(1-(1/(1+EXP(-(BT100-BR100)))*Parameters!$B$3))^12)*100)</f>
        <v/>
      </c>
    </row>
    <row r="101">
      <c r="A101" s="17" t="inlineStr">
        <is>
          <t>GNR_2014_SEASONED</t>
        </is>
      </c>
      <c r="B101" s="17" t="inlineStr">
        <is>
          <t>36180KXD8</t>
        </is>
      </c>
      <c r="C101" s="17" t="inlineStr">
        <is>
          <t>LM</t>
        </is>
      </c>
      <c r="D101" s="17" t="inlineStr">
        <is>
          <t>GRANDBRIDGE REAL ESTATE CAPITAL, LLC</t>
        </is>
      </c>
      <c r="E101" s="17" t="inlineStr">
        <is>
          <t>36180KXD8_000000005311217</t>
        </is>
      </c>
      <c r="F101" s="17" t="n">
        <v>202603</v>
      </c>
      <c r="G101" s="18" t="n">
        <v>4.7</v>
      </c>
      <c r="H101" s="19" t="n">
        <v>376217.01</v>
      </c>
      <c r="I101" s="17" t="n">
        <v>158</v>
      </c>
      <c r="J101" s="17" t="n">
        <v>20140301</v>
      </c>
      <c r="K101" s="17" t="n">
        <v>20270601</v>
      </c>
      <c r="L101" s="17" t="n">
        <v>20150501</v>
      </c>
      <c r="M101" s="17" t="n">
        <v>20240501</v>
      </c>
      <c r="N101" s="17" t="n">
        <v>9</v>
      </c>
      <c r="O101" s="17" t="inlineStr">
        <is>
          <t>223(F)</t>
        </is>
      </c>
      <c r="P101" s="17" t="inlineStr">
        <is>
          <t>MKT</t>
        </is>
      </c>
      <c r="Q101" s="17" t="inlineStr">
        <is>
          <t>M</t>
        </is>
      </c>
      <c r="R101" s="17" t="n"/>
      <c r="S101" s="17" t="n">
        <v>1</v>
      </c>
      <c r="T101" s="17" t="inlineStr">
        <is>
          <t>NC</t>
        </is>
      </c>
      <c r="U101" s="17" t="n">
        <v>110</v>
      </c>
      <c r="V101" s="17" t="n">
        <v>490.5</v>
      </c>
      <c r="W101" s="17" t="n">
        <v>144</v>
      </c>
      <c r="X101" s="17" t="n">
        <v>2014</v>
      </c>
      <c r="Y101" s="17" t="n">
        <v>85</v>
      </c>
      <c r="Z101" s="17" t="n">
        <v>0</v>
      </c>
      <c r="AA101" s="20">
        <f>IF(ISNUMBER(W101),W101,IFERROR(MAX(0,(VALUE(LEFT(F101,4))-VALUE(LEFT(TEXT(J101,"00000000"),4)))*12+(VALUE(MID(F101,5,2))-VALUE(MID(TEXT(J101,"00000000"),5,2)))),""))</f>
        <v/>
      </c>
      <c r="AB101" s="20">
        <f>IFERROR((VALUE(LEFT(TEXT(K101,"00000000"),4))-VALUE(LEFT(F101,4)))*12+(VALUE(MID(TEXT(K101,"00000000"),5,2))-VALUE(MID(F101,5,2))),"")</f>
        <v/>
      </c>
      <c r="AC101" s="20">
        <f>IF(OR(L101="",NOT(ISNUMBER(L101))),0,MAX(0,MIN(60,(VALUE(LEFT(F101,4))-VALUE(LEFT(TEXT(L101,"00000000"),4)))*12+(VALUE(MID(F101,5,2))-VALUE(MID(TEXT(L101,"00000000"),5,2))))))</f>
        <v/>
      </c>
      <c r="AD101" s="20">
        <f>IF(OR(L101="",NOT(ISNUMBER(L101))),0,IF(VALUE(F101)&lt;VALUE(LEFT(TEXT(L101,"00000000"),6)),1,0))</f>
        <v/>
      </c>
      <c r="AE101" s="20">
        <f>IF(OR(M101="",NOT(ISNUMBER(M101))),0,IF(VALUE(F101)&lt;VALUE(LEFT(TEXT(M101,"00000000"),6)),1,0))</f>
        <v/>
      </c>
      <c r="AF101" s="20">
        <f>IF(AND(AD101=0,AE101=0),1,0)</f>
        <v/>
      </c>
      <c r="AG101" s="20">
        <f>IF(ISNUMBER(X101),X101,IFERROR(VALUE(LEFT(TEXT(J101,"00000000"),4)),""))</f>
        <v/>
      </c>
      <c r="AH101" s="20">
        <f>IFERROR(XLOOKUP(AG101,Vintage_Rates!$A$2:$A$1000,Vintage_Rates!$B$2:$B$1000,""),"")</f>
        <v/>
      </c>
      <c r="AI101" s="20">
        <f>IF(ISNUMBER(Y101),Y101,IFERROR((G101-AH101)*100,""))</f>
        <v/>
      </c>
      <c r="AJ101" s="20">
        <f>IF(ISNUMBER(V101),V101,IFERROR(XLOOKUP(VALUE(F101),PLC_Rates!$A$2:$A$1000,PLC_Rates!$B$2:$B$1000,""),""))</f>
        <v/>
      </c>
      <c r="AK101" s="20">
        <f>IF(ISNUMBER(Z101),Z101,IF(AE101=0,0,MAX(0,MIN(10,((VALUE(LEFT(TEXT(M101,"00000000"),4))-VALUE(LEFT(F101,4)))*12+(VALUE(MID(TEXT(M101,"00000000"),5,2))-VALUE(MID(F101,5,2))))/12))))</f>
        <v/>
      </c>
      <c r="AL101" s="20">
        <f>IFERROR(G101*100-AJ101,"")</f>
        <v/>
      </c>
      <c r="AM101" s="20">
        <f>IFERROR(G101*100-(AJ101+(1+AK101)*12.5),"")</f>
        <v/>
      </c>
      <c r="AN101" s="21">
        <f>IFERROR(MIN(H101/1000000,100),"")</f>
        <v/>
      </c>
      <c r="AO101" s="20">
        <f>IFERROR(INDEX(FHA_Lookup!$B$2:$B$11,MATCH(TRUE,ISNUMBER(SEARCH(FHA_Lookup!$A$2:$A$11,UPPER(SUBSTITUTE(O101," ","")))),0)),"OTHER")</f>
        <v/>
      </c>
      <c r="AP101" s="20">
        <f>IFERROR(INDEX(FHA_Lookup!$C$2:$C$11,MATCH(TRUE,ISNUMBER(SEARCH(FHA_Lookup!$A$2:$A$11,UPPER(SUBSTITUTE(O101," ","")))),0)),"OTHER")</f>
        <v/>
      </c>
      <c r="AQ101" s="20">
        <f>IF(AP101="NC",1,0)</f>
        <v/>
      </c>
      <c r="AR101" s="20">
        <f>IF(UPPER(TRIM(P101))="AFF",1,0)</f>
        <v/>
      </c>
      <c r="AS101" s="20">
        <f>IF(UPPER(TRIM(P101))="BAF",1,0)</f>
        <v/>
      </c>
      <c r="AT101" s="20">
        <f>IF(UPPER(TRIM(P101))="MKT",1,0)</f>
        <v/>
      </c>
      <c r="AU101" s="20">
        <f>IF(AO101="221d4",1,0)</f>
        <v/>
      </c>
      <c r="AV101" s="20">
        <f>IF(AO101="223a7",1,0)</f>
        <v/>
      </c>
      <c r="AW101" s="20">
        <f>IF(AO101="232",1,0)</f>
        <v/>
      </c>
      <c r="AX101" s="20">
        <f>IF(AO101="538",1,0)</f>
        <v/>
      </c>
      <c r="AY101" s="20">
        <f>IF(AO101="241",1,0)</f>
        <v/>
      </c>
      <c r="AZ101" s="20">
        <f>IF(AO101="220",1,0)</f>
        <v/>
      </c>
      <c r="BA101" s="20">
        <f>IF(AO101="OTHER",1,0)</f>
        <v/>
      </c>
      <c r="BB101" s="20">
        <f>IF(UPPER(TRIM(C101))="LM",1,0)</f>
        <v/>
      </c>
      <c r="BC101" s="20">
        <f>IF(UPPER(TRIM(C101))="PN",1,0)</f>
        <v/>
      </c>
      <c r="BD101" s="20">
        <f>IF(UPPER(TRIM(C101))="LS",1,0)</f>
        <v/>
      </c>
      <c r="BE101" s="20">
        <f>IF(UPPER(TRIM(C101))="RX",1,0)</f>
        <v/>
      </c>
      <c r="BF101" s="22">
        <f>IFERROR((Parameters!$C$6*AM101+Parameters!$C$7*MAX(AM101-(-150),0)+Parameters!$C$8*MAX(AM101-(-50),0)+Parameters!$C$9*MAX(AM101-(0),0)+Parameters!$C$10*MAX(AM101-(50),0)+Parameters!$C$11*MAX(AM101-(100),0)+Parameters!$C$12*MAX(AM101-(150),0)+Parameters!$C$13*MAX(AM101-(250),0)),0)</f>
        <v/>
      </c>
      <c r="BG101" s="22">
        <f>IFERROR((Parameters!$C$14*AA101+Parameters!$C$15*MAX(AA101-(12),0)+Parameters!$C$16*MAX(AA101-(36),0)+Parameters!$C$17*MAX(AA101-(60),0)+Parameters!$C$18*MAX(AA101-(84),0)+Parameters!$C$19*MAX(AA101-(120),0)+Parameters!$C$20*MAX(AA101-(180),0)),0)</f>
        <v/>
      </c>
      <c r="BH101" s="22">
        <f>IFERROR((Parameters!$C$21*AK101+Parameters!$C$22*MAX(AK101-(0),0)+Parameters!$C$23*MAX(AK101-(2),0)+Parameters!$C$24*MAX(AK101-(5),0)+Parameters!$C$25*MAX(AK101-(8),0)),0)</f>
        <v/>
      </c>
      <c r="BI101" s="22">
        <f>IFERROR((Parameters!$C$26*AI101+Parameters!$C$27*MAX(AI101-(-100),0)+Parameters!$C$28*MAX(AI101-(-25),0)+Parameters!$C$29*MAX(AI101-(25),0)+Parameters!$C$30*MAX(AI101-(100),0)),0)</f>
        <v/>
      </c>
      <c r="BJ101" s="22">
        <f>IFERROR((Parameters!$C$31*AN101+Parameters!$C$32*MAX(AN101-(2),0)+Parameters!$C$33*MAX(AN101-(10),0)+Parameters!$C$34*MAX(AN101-(25),0)),0)</f>
        <v/>
      </c>
      <c r="BK101" s="22">
        <f>IFERROR((Parameters!$C$35*AB101+Parameters!$C$36*MAX(AB101-(12),0)+Parameters!$C$37*MAX(AB101-(24),0)+Parameters!$C$38*MAX(AB101-(60),0)),0)</f>
        <v/>
      </c>
      <c r="BL101" s="22">
        <f>IFERROR((Parameters!$C$39*AC101+Parameters!$C$40*MAX(AC101-(6),0)+Parameters!$C$41*MAX(AC101-(12),0)+Parameters!$C$42*MAX(AC101-(24),0)),0)</f>
        <v/>
      </c>
      <c r="BM101" s="22">
        <f>IFERROR(Parameters!$C$43*(MAX(AM101,0)*MIN(MAX(AK101,0),10))/100,0)</f>
        <v/>
      </c>
      <c r="BN101" s="22">
        <f>Parameters!$C$44*AE101</f>
        <v/>
      </c>
      <c r="BO101" s="22">
        <f>Parameters!$C$45*AU101 + Parameters!$C$46*AV101 + Parameters!$C$47*AW101 + Parameters!$C$48*AX101 + Parameters!$C$49*AY101 + Parameters!$C$50*AZ101 + Parameters!$C$51*BA101</f>
        <v/>
      </c>
      <c r="BP101" s="22">
        <f>Parameters!$C$52*AQ101</f>
        <v/>
      </c>
      <c r="BQ101" s="22">
        <f>Parameters!$C$53*AR101+Parameters!$C$54*AS101+Parameters!$C$55*AT101</f>
        <v/>
      </c>
      <c r="BR101" s="22">
        <f>Parameters!$C$56*BB101+Parameters!$C$57*BC101+Parameters!$C$58*BD101+Parameters!$C$59*BE101</f>
        <v/>
      </c>
      <c r="BS101" s="23">
        <f>Parameters!$B$2</f>
        <v/>
      </c>
      <c r="BT101" s="23">
        <f>BS101+BF101 + BG101 + BH101 + BI101 + BJ101 + BK101 + BL101 + BM101 + BN101 + BO101 + BP101 + BQ101 + BR101</f>
        <v/>
      </c>
      <c r="BU101" s="24">
        <f>IF(AD101=1,0,1/(1+EXP(-BT101))*Parameters!$B$3)</f>
        <v/>
      </c>
      <c r="BV101" s="25">
        <f>(1-(1-BU101)^12)*100</f>
        <v/>
      </c>
      <c r="BW101" s="25">
        <f>IF(AD101=1,0,(1-(1-1/(1+EXP(-Parameters!$B$2)))^12)*100)</f>
        <v/>
      </c>
      <c r="BX101" s="25">
        <f>IF(AD101=1,0,BV101-(1-(1-(1/(1+EXP(-(BT101-BF101)))*Parameters!$B$3))^12)*100)</f>
        <v/>
      </c>
      <c r="BY101" s="25">
        <f>IF(AD101=1,0,BV101-(1-(1-(1/(1+EXP(-(BT101-BG101)))*Parameters!$B$3))^12)*100)</f>
        <v/>
      </c>
      <c r="BZ101" s="25">
        <f>IF(AD101=1,0,BV101-(1-(1-(1/(1+EXP(-(BT101-BH101)))*Parameters!$B$3))^12)*100)</f>
        <v/>
      </c>
      <c r="CA101" s="25">
        <f>IF(AD101=1,0,BV101-(1-(1-(1/(1+EXP(-(BT101-BI101)))*Parameters!$B$3))^12)*100)</f>
        <v/>
      </c>
      <c r="CB101" s="25">
        <f>IF(AD101=1,0,BV101-(1-(1-(1/(1+EXP(-(BT101-BJ101)))*Parameters!$B$3))^12)*100)</f>
        <v/>
      </c>
      <c r="CC101" s="25">
        <f>IF(AD101=1,0,BV101-(1-(1-(1/(1+EXP(-(BT101-BK101)))*Parameters!$B$3))^12)*100)</f>
        <v/>
      </c>
      <c r="CD101" s="25">
        <f>IF(AD101=1,0,BV101-(1-(1-(1/(1+EXP(-(BT101-BL101)))*Parameters!$B$3))^12)*100)</f>
        <v/>
      </c>
      <c r="CE101" s="25">
        <f>IF(AD101=1,0,BV101-(1-(1-(1/(1+EXP(-(BT101-BM101)))*Parameters!$B$3))^12)*100)</f>
        <v/>
      </c>
      <c r="CF101" s="25">
        <f>IF(AD101=1,0,BV101-(1-(1-(1/(1+EXP(-(BT101-BN101)))*Parameters!$B$3))^12)*100)</f>
        <v/>
      </c>
      <c r="CG101" s="25">
        <f>IF(AD101=1,0,BV101-(1-(1-(1/(1+EXP(-(BT101-BO101)))*Parameters!$B$3))^12)*100)</f>
        <v/>
      </c>
      <c r="CH101" s="25">
        <f>IF(AD101=1,0,BV101-(1-(1-(1/(1+EXP(-(BT101-BP101)))*Parameters!$B$3))^12)*100)</f>
        <v/>
      </c>
      <c r="CI101" s="25">
        <f>IF(AD101=1,0,BV101-(1-(1-(1/(1+EXP(-(BT101-BQ101)))*Parameters!$B$3))^12)*100)</f>
        <v/>
      </c>
      <c r="CJ101" s="25">
        <f>IF(AD101=1,0,BV101-(1-(1-(1/(1+EXP(-(BT101-BR101)))*Parameters!$B$3))^12)*100)</f>
        <v/>
      </c>
    </row>
    <row r="102">
      <c r="A102" s="17" t="inlineStr">
        <is>
          <t>GNR_2014_SEASONED</t>
        </is>
      </c>
      <c r="B102" s="17" t="inlineStr">
        <is>
          <t>36181KRL6</t>
        </is>
      </c>
      <c r="C102" s="17" t="inlineStr">
        <is>
          <t>PN</t>
        </is>
      </c>
      <c r="D102" s="17" t="inlineStr">
        <is>
          <t>PNC BANK, NA</t>
        </is>
      </c>
      <c r="E102" s="17" t="inlineStr">
        <is>
          <t>36181KRL6_000000011635171</t>
        </is>
      </c>
      <c r="F102" s="17" t="n">
        <v>202603</v>
      </c>
      <c r="G102" s="18" t="n">
        <v>4.23</v>
      </c>
      <c r="H102" s="19" t="n">
        <v>2635603.64</v>
      </c>
      <c r="I102" s="17" t="n">
        <v>497</v>
      </c>
      <c r="J102" s="17" t="n">
        <v>20140701</v>
      </c>
      <c r="K102" s="17" t="n">
        <v>20560101</v>
      </c>
      <c r="L102" s="17" t="n"/>
      <c r="M102" s="17" t="n">
        <v>20260201</v>
      </c>
      <c r="N102" s="17" t="n">
        <v>10</v>
      </c>
      <c r="O102" s="17" t="inlineStr">
        <is>
          <t>221D4</t>
        </is>
      </c>
      <c r="P102" s="17" t="inlineStr">
        <is>
          <t>MKT</t>
        </is>
      </c>
      <c r="Q102" s="17" t="n"/>
      <c r="R102" s="17" t="n"/>
      <c r="S102" s="17" t="n"/>
      <c r="T102" s="17" t="inlineStr">
        <is>
          <t>NM</t>
        </is>
      </c>
      <c r="U102" s="17" t="n">
        <v>98</v>
      </c>
      <c r="V102" s="17" t="n">
        <v>490.5</v>
      </c>
      <c r="W102" s="17" t="n">
        <v>140</v>
      </c>
      <c r="X102" s="17" t="n">
        <v>2014</v>
      </c>
      <c r="Y102" s="17" t="n">
        <v>38</v>
      </c>
      <c r="Z102" s="17" t="n">
        <v>0</v>
      </c>
      <c r="AA102" s="20">
        <f>IF(ISNUMBER(W102),W102,IFERROR(MAX(0,(VALUE(LEFT(F102,4))-VALUE(LEFT(TEXT(J102,"00000000"),4)))*12+(VALUE(MID(F102,5,2))-VALUE(MID(TEXT(J102,"00000000"),5,2)))),""))</f>
        <v/>
      </c>
      <c r="AB102" s="20">
        <f>IFERROR((VALUE(LEFT(TEXT(K102,"00000000"),4))-VALUE(LEFT(F102,4)))*12+(VALUE(MID(TEXT(K102,"00000000"),5,2))-VALUE(MID(F102,5,2))),"")</f>
        <v/>
      </c>
      <c r="AC102" s="20">
        <f>IF(OR(L102="",NOT(ISNUMBER(L102))),0,MAX(0,MIN(60,(VALUE(LEFT(F102,4))-VALUE(LEFT(TEXT(L102,"00000000"),4)))*12+(VALUE(MID(F102,5,2))-VALUE(MID(TEXT(L102,"00000000"),5,2))))))</f>
        <v/>
      </c>
      <c r="AD102" s="20">
        <f>IF(OR(L102="",NOT(ISNUMBER(L102))),0,IF(VALUE(F102)&lt;VALUE(LEFT(TEXT(L102,"00000000"),6)),1,0))</f>
        <v/>
      </c>
      <c r="AE102" s="20">
        <f>IF(OR(M102="",NOT(ISNUMBER(M102))),0,IF(VALUE(F102)&lt;VALUE(LEFT(TEXT(M102,"00000000"),6)),1,0))</f>
        <v/>
      </c>
      <c r="AF102" s="20">
        <f>IF(AND(AD102=0,AE102=0),1,0)</f>
        <v/>
      </c>
      <c r="AG102" s="20">
        <f>IF(ISNUMBER(X102),X102,IFERROR(VALUE(LEFT(TEXT(J102,"00000000"),4)),""))</f>
        <v/>
      </c>
      <c r="AH102" s="20">
        <f>IFERROR(XLOOKUP(AG102,Vintage_Rates!$A$2:$A$1000,Vintage_Rates!$B$2:$B$1000,""),"")</f>
        <v/>
      </c>
      <c r="AI102" s="20">
        <f>IF(ISNUMBER(Y102),Y102,IFERROR((G102-AH102)*100,""))</f>
        <v/>
      </c>
      <c r="AJ102" s="20">
        <f>IF(ISNUMBER(V102),V102,IFERROR(XLOOKUP(VALUE(F102),PLC_Rates!$A$2:$A$1000,PLC_Rates!$B$2:$B$1000,""),""))</f>
        <v/>
      </c>
      <c r="AK102" s="20">
        <f>IF(ISNUMBER(Z102),Z102,IF(AE102=0,0,MAX(0,MIN(10,((VALUE(LEFT(TEXT(M102,"00000000"),4))-VALUE(LEFT(F102,4)))*12+(VALUE(MID(TEXT(M102,"00000000"),5,2))-VALUE(MID(F102,5,2))))/12))))</f>
        <v/>
      </c>
      <c r="AL102" s="20">
        <f>IFERROR(G102*100-AJ102,"")</f>
        <v/>
      </c>
      <c r="AM102" s="20">
        <f>IFERROR(G102*100-(AJ102+(1+AK102)*12.5),"")</f>
        <v/>
      </c>
      <c r="AN102" s="21">
        <f>IFERROR(MIN(H102/1000000,100),"")</f>
        <v/>
      </c>
      <c r="AO102" s="20">
        <f>IFERROR(INDEX(FHA_Lookup!$B$2:$B$11,MATCH(TRUE,ISNUMBER(SEARCH(FHA_Lookup!$A$2:$A$11,UPPER(SUBSTITUTE(O102," ","")))),0)),"OTHER")</f>
        <v/>
      </c>
      <c r="AP102" s="20">
        <f>IFERROR(INDEX(FHA_Lookup!$C$2:$C$11,MATCH(TRUE,ISNUMBER(SEARCH(FHA_Lookup!$A$2:$A$11,UPPER(SUBSTITUTE(O102," ","")))),0)),"OTHER")</f>
        <v/>
      </c>
      <c r="AQ102" s="20">
        <f>IF(AP102="NC",1,0)</f>
        <v/>
      </c>
      <c r="AR102" s="20">
        <f>IF(UPPER(TRIM(P102))="AFF",1,0)</f>
        <v/>
      </c>
      <c r="AS102" s="20">
        <f>IF(UPPER(TRIM(P102))="BAF",1,0)</f>
        <v/>
      </c>
      <c r="AT102" s="20">
        <f>IF(UPPER(TRIM(P102))="MKT",1,0)</f>
        <v/>
      </c>
      <c r="AU102" s="20">
        <f>IF(AO102="221d4",1,0)</f>
        <v/>
      </c>
      <c r="AV102" s="20">
        <f>IF(AO102="223a7",1,0)</f>
        <v/>
      </c>
      <c r="AW102" s="20">
        <f>IF(AO102="232",1,0)</f>
        <v/>
      </c>
      <c r="AX102" s="20">
        <f>IF(AO102="538",1,0)</f>
        <v/>
      </c>
      <c r="AY102" s="20">
        <f>IF(AO102="241",1,0)</f>
        <v/>
      </c>
      <c r="AZ102" s="20">
        <f>IF(AO102="220",1,0)</f>
        <v/>
      </c>
      <c r="BA102" s="20">
        <f>IF(AO102="OTHER",1,0)</f>
        <v/>
      </c>
      <c r="BB102" s="20">
        <f>IF(UPPER(TRIM(C102))="LM",1,0)</f>
        <v/>
      </c>
      <c r="BC102" s="20">
        <f>IF(UPPER(TRIM(C102))="PN",1,0)</f>
        <v/>
      </c>
      <c r="BD102" s="20">
        <f>IF(UPPER(TRIM(C102))="LS",1,0)</f>
        <v/>
      </c>
      <c r="BE102" s="20">
        <f>IF(UPPER(TRIM(C102))="RX",1,0)</f>
        <v/>
      </c>
      <c r="BF102" s="22">
        <f>IFERROR((Parameters!$C$6*AM102+Parameters!$C$7*MAX(AM102-(-150),0)+Parameters!$C$8*MAX(AM102-(-50),0)+Parameters!$C$9*MAX(AM102-(0),0)+Parameters!$C$10*MAX(AM102-(50),0)+Parameters!$C$11*MAX(AM102-(100),0)+Parameters!$C$12*MAX(AM102-(150),0)+Parameters!$C$13*MAX(AM102-(250),0)),0)</f>
        <v/>
      </c>
      <c r="BG102" s="22">
        <f>IFERROR((Parameters!$C$14*AA102+Parameters!$C$15*MAX(AA102-(12),0)+Parameters!$C$16*MAX(AA102-(36),0)+Parameters!$C$17*MAX(AA102-(60),0)+Parameters!$C$18*MAX(AA102-(84),0)+Parameters!$C$19*MAX(AA102-(120),0)+Parameters!$C$20*MAX(AA102-(180),0)),0)</f>
        <v/>
      </c>
      <c r="BH102" s="22">
        <f>IFERROR((Parameters!$C$21*AK102+Parameters!$C$22*MAX(AK102-(0),0)+Parameters!$C$23*MAX(AK102-(2),0)+Parameters!$C$24*MAX(AK102-(5),0)+Parameters!$C$25*MAX(AK102-(8),0)),0)</f>
        <v/>
      </c>
      <c r="BI102" s="22">
        <f>IFERROR((Parameters!$C$26*AI102+Parameters!$C$27*MAX(AI102-(-100),0)+Parameters!$C$28*MAX(AI102-(-25),0)+Parameters!$C$29*MAX(AI102-(25),0)+Parameters!$C$30*MAX(AI102-(100),0)),0)</f>
        <v/>
      </c>
      <c r="BJ102" s="22">
        <f>IFERROR((Parameters!$C$31*AN102+Parameters!$C$32*MAX(AN102-(2),0)+Parameters!$C$33*MAX(AN102-(10),0)+Parameters!$C$34*MAX(AN102-(25),0)),0)</f>
        <v/>
      </c>
      <c r="BK102" s="22">
        <f>IFERROR((Parameters!$C$35*AB102+Parameters!$C$36*MAX(AB102-(12),0)+Parameters!$C$37*MAX(AB102-(24),0)+Parameters!$C$38*MAX(AB102-(60),0)),0)</f>
        <v/>
      </c>
      <c r="BL102" s="22">
        <f>IFERROR((Parameters!$C$39*AC102+Parameters!$C$40*MAX(AC102-(6),0)+Parameters!$C$41*MAX(AC102-(12),0)+Parameters!$C$42*MAX(AC102-(24),0)),0)</f>
        <v/>
      </c>
      <c r="BM102" s="22">
        <f>IFERROR(Parameters!$C$43*(MAX(AM102,0)*MIN(MAX(AK102,0),10))/100,0)</f>
        <v/>
      </c>
      <c r="BN102" s="22">
        <f>Parameters!$C$44*AE102</f>
        <v/>
      </c>
      <c r="BO102" s="22">
        <f>Parameters!$C$45*AU102 + Parameters!$C$46*AV102 + Parameters!$C$47*AW102 + Parameters!$C$48*AX102 + Parameters!$C$49*AY102 + Parameters!$C$50*AZ102 + Parameters!$C$51*BA102</f>
        <v/>
      </c>
      <c r="BP102" s="22">
        <f>Parameters!$C$52*AQ102</f>
        <v/>
      </c>
      <c r="BQ102" s="22">
        <f>Parameters!$C$53*AR102+Parameters!$C$54*AS102+Parameters!$C$55*AT102</f>
        <v/>
      </c>
      <c r="BR102" s="22">
        <f>Parameters!$C$56*BB102+Parameters!$C$57*BC102+Parameters!$C$58*BD102+Parameters!$C$59*BE102</f>
        <v/>
      </c>
      <c r="BS102" s="23">
        <f>Parameters!$B$2</f>
        <v/>
      </c>
      <c r="BT102" s="23">
        <f>BS102+BF102 + BG102 + BH102 + BI102 + BJ102 + BK102 + BL102 + BM102 + BN102 + BO102 + BP102 + BQ102 + BR102</f>
        <v/>
      </c>
      <c r="BU102" s="24">
        <f>IF(AD102=1,0,1/(1+EXP(-BT102))*Parameters!$B$3)</f>
        <v/>
      </c>
      <c r="BV102" s="25">
        <f>(1-(1-BU102)^12)*100</f>
        <v/>
      </c>
      <c r="BW102" s="25">
        <f>IF(AD102=1,0,(1-(1-1/(1+EXP(-Parameters!$B$2)))^12)*100)</f>
        <v/>
      </c>
      <c r="BX102" s="25">
        <f>IF(AD102=1,0,BV102-(1-(1-(1/(1+EXP(-(BT102-BF102)))*Parameters!$B$3))^12)*100)</f>
        <v/>
      </c>
      <c r="BY102" s="25">
        <f>IF(AD102=1,0,BV102-(1-(1-(1/(1+EXP(-(BT102-BG102)))*Parameters!$B$3))^12)*100)</f>
        <v/>
      </c>
      <c r="BZ102" s="25">
        <f>IF(AD102=1,0,BV102-(1-(1-(1/(1+EXP(-(BT102-BH102)))*Parameters!$B$3))^12)*100)</f>
        <v/>
      </c>
      <c r="CA102" s="25">
        <f>IF(AD102=1,0,BV102-(1-(1-(1/(1+EXP(-(BT102-BI102)))*Parameters!$B$3))^12)*100)</f>
        <v/>
      </c>
      <c r="CB102" s="25">
        <f>IF(AD102=1,0,BV102-(1-(1-(1/(1+EXP(-(BT102-BJ102)))*Parameters!$B$3))^12)*100)</f>
        <v/>
      </c>
      <c r="CC102" s="25">
        <f>IF(AD102=1,0,BV102-(1-(1-(1/(1+EXP(-(BT102-BK102)))*Parameters!$B$3))^12)*100)</f>
        <v/>
      </c>
      <c r="CD102" s="25">
        <f>IF(AD102=1,0,BV102-(1-(1-(1/(1+EXP(-(BT102-BL102)))*Parameters!$B$3))^12)*100)</f>
        <v/>
      </c>
      <c r="CE102" s="25">
        <f>IF(AD102=1,0,BV102-(1-(1-(1/(1+EXP(-(BT102-BM102)))*Parameters!$B$3))^12)*100)</f>
        <v/>
      </c>
      <c r="CF102" s="25">
        <f>IF(AD102=1,0,BV102-(1-(1-(1/(1+EXP(-(BT102-BN102)))*Parameters!$B$3))^12)*100)</f>
        <v/>
      </c>
      <c r="CG102" s="25">
        <f>IF(AD102=1,0,BV102-(1-(1-(1/(1+EXP(-(BT102-BO102)))*Parameters!$B$3))^12)*100)</f>
        <v/>
      </c>
      <c r="CH102" s="25">
        <f>IF(AD102=1,0,BV102-(1-(1-(1/(1+EXP(-(BT102-BP102)))*Parameters!$B$3))^12)*100)</f>
        <v/>
      </c>
      <c r="CI102" s="25">
        <f>IF(AD102=1,0,BV102-(1-(1-(1/(1+EXP(-(BT102-BQ102)))*Parameters!$B$3))^12)*100)</f>
        <v/>
      </c>
      <c r="CJ102" s="25">
        <f>IF(AD102=1,0,BV102-(1-(1-(1/(1+EXP(-(BT102-BR102)))*Parameters!$B$3))^12)*100)</f>
        <v/>
      </c>
    </row>
    <row r="103">
      <c r="A103" s="17" t="inlineStr">
        <is>
          <t>GNR_HC_2020</t>
        </is>
      </c>
      <c r="B103" s="17" t="inlineStr">
        <is>
          <t>3617UAXZ0</t>
        </is>
      </c>
      <c r="C103" s="17" t="inlineStr">
        <is>
          <t>LM</t>
        </is>
      </c>
      <c r="D103" s="17" t="inlineStr">
        <is>
          <t>LUMENT REAL ESTATE CAPITAL,LLC</t>
        </is>
      </c>
      <c r="E103" s="17" t="inlineStr">
        <is>
          <t>3617UAXZ0_000000005322223</t>
        </is>
      </c>
      <c r="F103" s="17" t="n">
        <v>202603</v>
      </c>
      <c r="G103" s="18" t="n">
        <v>3.91</v>
      </c>
      <c r="H103" s="19" t="n">
        <v>6385853.29</v>
      </c>
      <c r="I103" s="17" t="n">
        <v>420</v>
      </c>
      <c r="J103" s="17" t="n">
        <v>20180926</v>
      </c>
      <c r="K103" s="17" t="n">
        <v>20531001</v>
      </c>
      <c r="L103" s="17" t="n">
        <v>20220201</v>
      </c>
      <c r="M103" s="17" t="n">
        <v>20310201</v>
      </c>
      <c r="N103" s="17" t="n">
        <v>9</v>
      </c>
      <c r="O103" s="17" t="inlineStr">
        <is>
          <t>232/223(f)</t>
        </is>
      </c>
      <c r="P103" s="17" t="inlineStr">
        <is>
          <t>MKT</t>
        </is>
      </c>
      <c r="Q103" s="17" t="inlineStr">
        <is>
          <t>M</t>
        </is>
      </c>
      <c r="R103" s="17" t="n"/>
      <c r="S103" s="17" t="n">
        <v>1</v>
      </c>
      <c r="T103" s="17" t="inlineStr">
        <is>
          <t>NC</t>
        </is>
      </c>
      <c r="U103" s="17" t="n">
        <v>155</v>
      </c>
      <c r="V103" s="17" t="n">
        <v>490.5</v>
      </c>
      <c r="W103" s="17" t="n">
        <v>90</v>
      </c>
      <c r="X103" s="17" t="n">
        <v>2018</v>
      </c>
      <c r="Y103" s="17" t="n">
        <v>-11</v>
      </c>
      <c r="Z103" s="17" t="n">
        <v>6</v>
      </c>
      <c r="AA103" s="20">
        <f>IF(ISNUMBER(W103),W103,IFERROR(MAX(0,(VALUE(LEFT(F103,4))-VALUE(LEFT(TEXT(J103,"00000000"),4)))*12+(VALUE(MID(F103,5,2))-VALUE(MID(TEXT(J103,"00000000"),5,2)))),""))</f>
        <v/>
      </c>
      <c r="AB103" s="20">
        <f>IFERROR((VALUE(LEFT(TEXT(K103,"00000000"),4))-VALUE(LEFT(F103,4)))*12+(VALUE(MID(TEXT(K103,"00000000"),5,2))-VALUE(MID(F103,5,2))),"")</f>
        <v/>
      </c>
      <c r="AC103" s="20">
        <f>IF(OR(L103="",NOT(ISNUMBER(L103))),0,MAX(0,MIN(60,(VALUE(LEFT(F103,4))-VALUE(LEFT(TEXT(L103,"00000000"),4)))*12+(VALUE(MID(F103,5,2))-VALUE(MID(TEXT(L103,"00000000"),5,2))))))</f>
        <v/>
      </c>
      <c r="AD103" s="20">
        <f>IF(OR(L103="",NOT(ISNUMBER(L103))),0,IF(VALUE(F103)&lt;VALUE(LEFT(TEXT(L103,"00000000"),6)),1,0))</f>
        <v/>
      </c>
      <c r="AE103" s="20">
        <f>IF(OR(M103="",NOT(ISNUMBER(M103))),0,IF(VALUE(F103)&lt;VALUE(LEFT(TEXT(M103,"00000000"),6)),1,0))</f>
        <v/>
      </c>
      <c r="AF103" s="20">
        <f>IF(AND(AD103=0,AE103=0),1,0)</f>
        <v/>
      </c>
      <c r="AG103" s="20">
        <f>IF(ISNUMBER(X103),X103,IFERROR(VALUE(LEFT(TEXT(J103,"00000000"),4)),""))</f>
        <v/>
      </c>
      <c r="AH103" s="20">
        <f>IFERROR(XLOOKUP(AG103,Vintage_Rates!$A$2:$A$1000,Vintage_Rates!$B$2:$B$1000,""),"")</f>
        <v/>
      </c>
      <c r="AI103" s="20">
        <f>IF(ISNUMBER(Y103),Y103,IFERROR((G103-AH103)*100,""))</f>
        <v/>
      </c>
      <c r="AJ103" s="20">
        <f>IF(ISNUMBER(V103),V103,IFERROR(XLOOKUP(VALUE(F103),PLC_Rates!$A$2:$A$1000,PLC_Rates!$B$2:$B$1000,""),""))</f>
        <v/>
      </c>
      <c r="AK103" s="20">
        <f>IF(ISNUMBER(Z103),Z103,IF(AE103=0,0,MAX(0,MIN(10,((VALUE(LEFT(TEXT(M103,"00000000"),4))-VALUE(LEFT(F103,4)))*12+(VALUE(MID(TEXT(M103,"00000000"),5,2))-VALUE(MID(F103,5,2))))/12))))</f>
        <v/>
      </c>
      <c r="AL103" s="20">
        <f>IFERROR(G103*100-AJ103,"")</f>
        <v/>
      </c>
      <c r="AM103" s="20">
        <f>IFERROR(G103*100-(AJ103+(1+AK103)*12.5),"")</f>
        <v/>
      </c>
      <c r="AN103" s="21">
        <f>IFERROR(MIN(H103/1000000,100),"")</f>
        <v/>
      </c>
      <c r="AO103" s="20">
        <f>IFERROR(INDEX(FHA_Lookup!$B$2:$B$11,MATCH(TRUE,ISNUMBER(SEARCH(FHA_Lookup!$A$2:$A$11,UPPER(SUBSTITUTE(O103," ","")))),0)),"OTHER")</f>
        <v/>
      </c>
      <c r="AP103" s="20">
        <f>IFERROR(INDEX(FHA_Lookup!$C$2:$C$11,MATCH(TRUE,ISNUMBER(SEARCH(FHA_Lookup!$A$2:$A$11,UPPER(SUBSTITUTE(O103," ","")))),0)),"OTHER")</f>
        <v/>
      </c>
      <c r="AQ103" s="20">
        <f>IF(AP103="NC",1,0)</f>
        <v/>
      </c>
      <c r="AR103" s="20">
        <f>IF(UPPER(TRIM(P103))="AFF",1,0)</f>
        <v/>
      </c>
      <c r="AS103" s="20">
        <f>IF(UPPER(TRIM(P103))="BAF",1,0)</f>
        <v/>
      </c>
      <c r="AT103" s="20">
        <f>IF(UPPER(TRIM(P103))="MKT",1,0)</f>
        <v/>
      </c>
      <c r="AU103" s="20">
        <f>IF(AO103="221d4",1,0)</f>
        <v/>
      </c>
      <c r="AV103" s="20">
        <f>IF(AO103="223a7",1,0)</f>
        <v/>
      </c>
      <c r="AW103" s="20">
        <f>IF(AO103="232",1,0)</f>
        <v/>
      </c>
      <c r="AX103" s="20">
        <f>IF(AO103="538",1,0)</f>
        <v/>
      </c>
      <c r="AY103" s="20">
        <f>IF(AO103="241",1,0)</f>
        <v/>
      </c>
      <c r="AZ103" s="20">
        <f>IF(AO103="220",1,0)</f>
        <v/>
      </c>
      <c r="BA103" s="20">
        <f>IF(AO103="OTHER",1,0)</f>
        <v/>
      </c>
      <c r="BB103" s="20">
        <f>IF(UPPER(TRIM(C103))="LM",1,0)</f>
        <v/>
      </c>
      <c r="BC103" s="20">
        <f>IF(UPPER(TRIM(C103))="PN",1,0)</f>
        <v/>
      </c>
      <c r="BD103" s="20">
        <f>IF(UPPER(TRIM(C103))="LS",1,0)</f>
        <v/>
      </c>
      <c r="BE103" s="20">
        <f>IF(UPPER(TRIM(C103))="RX",1,0)</f>
        <v/>
      </c>
      <c r="BF103" s="22">
        <f>IFERROR((Parameters!$C$6*AM103+Parameters!$C$7*MAX(AM103-(-150),0)+Parameters!$C$8*MAX(AM103-(-50),0)+Parameters!$C$9*MAX(AM103-(0),0)+Parameters!$C$10*MAX(AM103-(50),0)+Parameters!$C$11*MAX(AM103-(100),0)+Parameters!$C$12*MAX(AM103-(150),0)+Parameters!$C$13*MAX(AM103-(250),0)),0)</f>
        <v/>
      </c>
      <c r="BG103" s="22">
        <f>IFERROR((Parameters!$C$14*AA103+Parameters!$C$15*MAX(AA103-(12),0)+Parameters!$C$16*MAX(AA103-(36),0)+Parameters!$C$17*MAX(AA103-(60),0)+Parameters!$C$18*MAX(AA103-(84),0)+Parameters!$C$19*MAX(AA103-(120),0)+Parameters!$C$20*MAX(AA103-(180),0)),0)</f>
        <v/>
      </c>
      <c r="BH103" s="22">
        <f>IFERROR((Parameters!$C$21*AK103+Parameters!$C$22*MAX(AK103-(0),0)+Parameters!$C$23*MAX(AK103-(2),0)+Parameters!$C$24*MAX(AK103-(5),0)+Parameters!$C$25*MAX(AK103-(8),0)),0)</f>
        <v/>
      </c>
      <c r="BI103" s="22">
        <f>IFERROR((Parameters!$C$26*AI103+Parameters!$C$27*MAX(AI103-(-100),0)+Parameters!$C$28*MAX(AI103-(-25),0)+Parameters!$C$29*MAX(AI103-(25),0)+Parameters!$C$30*MAX(AI103-(100),0)),0)</f>
        <v/>
      </c>
      <c r="BJ103" s="22">
        <f>IFERROR((Parameters!$C$31*AN103+Parameters!$C$32*MAX(AN103-(2),0)+Parameters!$C$33*MAX(AN103-(10),0)+Parameters!$C$34*MAX(AN103-(25),0)),0)</f>
        <v/>
      </c>
      <c r="BK103" s="22">
        <f>IFERROR((Parameters!$C$35*AB103+Parameters!$C$36*MAX(AB103-(12),0)+Parameters!$C$37*MAX(AB103-(24),0)+Parameters!$C$38*MAX(AB103-(60),0)),0)</f>
        <v/>
      </c>
      <c r="BL103" s="22">
        <f>IFERROR((Parameters!$C$39*AC103+Parameters!$C$40*MAX(AC103-(6),0)+Parameters!$C$41*MAX(AC103-(12),0)+Parameters!$C$42*MAX(AC103-(24),0)),0)</f>
        <v/>
      </c>
      <c r="BM103" s="22">
        <f>IFERROR(Parameters!$C$43*(MAX(AM103,0)*MIN(MAX(AK103,0),10))/100,0)</f>
        <v/>
      </c>
      <c r="BN103" s="22">
        <f>Parameters!$C$44*AE103</f>
        <v/>
      </c>
      <c r="BO103" s="22">
        <f>Parameters!$C$45*AU103 + Parameters!$C$46*AV103 + Parameters!$C$47*AW103 + Parameters!$C$48*AX103 + Parameters!$C$49*AY103 + Parameters!$C$50*AZ103 + Parameters!$C$51*BA103</f>
        <v/>
      </c>
      <c r="BP103" s="22">
        <f>Parameters!$C$52*AQ103</f>
        <v/>
      </c>
      <c r="BQ103" s="22">
        <f>Parameters!$C$53*AR103+Parameters!$C$54*AS103+Parameters!$C$55*AT103</f>
        <v/>
      </c>
      <c r="BR103" s="22">
        <f>Parameters!$C$56*BB103+Parameters!$C$57*BC103+Parameters!$C$58*BD103+Parameters!$C$59*BE103</f>
        <v/>
      </c>
      <c r="BS103" s="23">
        <f>Parameters!$B$2</f>
        <v/>
      </c>
      <c r="BT103" s="23">
        <f>BS103+BF103 + BG103 + BH103 + BI103 + BJ103 + BK103 + BL103 + BM103 + BN103 + BO103 + BP103 + BQ103 + BR103</f>
        <v/>
      </c>
      <c r="BU103" s="24">
        <f>IF(AD103=1,0,1/(1+EXP(-BT103))*Parameters!$B$3)</f>
        <v/>
      </c>
      <c r="BV103" s="25">
        <f>(1-(1-BU103)^12)*100</f>
        <v/>
      </c>
      <c r="BW103" s="25">
        <f>IF(AD103=1,0,(1-(1-1/(1+EXP(-Parameters!$B$2)))^12)*100)</f>
        <v/>
      </c>
      <c r="BX103" s="25">
        <f>IF(AD103=1,0,BV103-(1-(1-(1/(1+EXP(-(BT103-BF103)))*Parameters!$B$3))^12)*100)</f>
        <v/>
      </c>
      <c r="BY103" s="25">
        <f>IF(AD103=1,0,BV103-(1-(1-(1/(1+EXP(-(BT103-BG103)))*Parameters!$B$3))^12)*100)</f>
        <v/>
      </c>
      <c r="BZ103" s="25">
        <f>IF(AD103=1,0,BV103-(1-(1-(1/(1+EXP(-(BT103-BH103)))*Parameters!$B$3))^12)*100)</f>
        <v/>
      </c>
      <c r="CA103" s="25">
        <f>IF(AD103=1,0,BV103-(1-(1-(1/(1+EXP(-(BT103-BI103)))*Parameters!$B$3))^12)*100)</f>
        <v/>
      </c>
      <c r="CB103" s="25">
        <f>IF(AD103=1,0,BV103-(1-(1-(1/(1+EXP(-(BT103-BJ103)))*Parameters!$B$3))^12)*100)</f>
        <v/>
      </c>
      <c r="CC103" s="25">
        <f>IF(AD103=1,0,BV103-(1-(1-(1/(1+EXP(-(BT103-BK103)))*Parameters!$B$3))^12)*100)</f>
        <v/>
      </c>
      <c r="CD103" s="25">
        <f>IF(AD103=1,0,BV103-(1-(1-(1/(1+EXP(-(BT103-BL103)))*Parameters!$B$3))^12)*100)</f>
        <v/>
      </c>
      <c r="CE103" s="25">
        <f>IF(AD103=1,0,BV103-(1-(1-(1/(1+EXP(-(BT103-BM103)))*Parameters!$B$3))^12)*100)</f>
        <v/>
      </c>
      <c r="CF103" s="25">
        <f>IF(AD103=1,0,BV103-(1-(1-(1/(1+EXP(-(BT103-BN103)))*Parameters!$B$3))^12)*100)</f>
        <v/>
      </c>
      <c r="CG103" s="25">
        <f>IF(AD103=1,0,BV103-(1-(1-(1/(1+EXP(-(BT103-BO103)))*Parameters!$B$3))^12)*100)</f>
        <v/>
      </c>
      <c r="CH103" s="25">
        <f>IF(AD103=1,0,BV103-(1-(1-(1/(1+EXP(-(BT103-BP103)))*Parameters!$B$3))^12)*100)</f>
        <v/>
      </c>
      <c r="CI103" s="25">
        <f>IF(AD103=1,0,BV103-(1-(1-(1/(1+EXP(-(BT103-BQ103)))*Parameters!$B$3))^12)*100)</f>
        <v/>
      </c>
      <c r="CJ103" s="25">
        <f>IF(AD103=1,0,BV103-(1-(1-(1/(1+EXP(-(BT103-BR103)))*Parameters!$B$3))^12)*100)</f>
        <v/>
      </c>
    </row>
    <row r="104">
      <c r="A104" s="17" t="inlineStr">
        <is>
          <t>GNR_HC_2020</t>
        </is>
      </c>
      <c r="B104" s="17" t="inlineStr">
        <is>
          <t>3617ULW79</t>
        </is>
      </c>
      <c r="C104" s="17" t="inlineStr">
        <is>
          <t>PN</t>
        </is>
      </c>
      <c r="D104" s="17" t="inlineStr">
        <is>
          <t>NEWPOINT REAL ESTATE CAPITAL LLC</t>
        </is>
      </c>
      <c r="E104" s="17" t="inlineStr">
        <is>
          <t>3617ULW79_000000007122437</t>
        </is>
      </c>
      <c r="F104" s="17" t="n">
        <v>202603</v>
      </c>
      <c r="G104" s="18" t="n">
        <v>2.25</v>
      </c>
      <c r="H104" s="19" t="n">
        <v>21528117.21</v>
      </c>
      <c r="I104" s="17" t="n">
        <v>345</v>
      </c>
      <c r="J104" s="17" t="n">
        <v>20210225</v>
      </c>
      <c r="K104" s="17" t="n">
        <v>20510301</v>
      </c>
      <c r="L104" s="17" t="n"/>
      <c r="M104" s="17" t="n">
        <v>20310331</v>
      </c>
      <c r="N104" s="17" t="n">
        <v>10</v>
      </c>
      <c r="O104" s="17" t="inlineStr">
        <is>
          <t>232/223(F)</t>
        </is>
      </c>
      <c r="P104" s="17" t="inlineStr">
        <is>
          <t>MKT</t>
        </is>
      </c>
      <c r="Q104" s="17" t="n"/>
      <c r="R104" s="17" t="n"/>
      <c r="S104" s="17" t="n"/>
      <c r="T104" s="17" t="inlineStr">
        <is>
          <t>IL</t>
        </is>
      </c>
      <c r="U104" s="17" t="n">
        <v>288</v>
      </c>
      <c r="V104" s="17" t="n">
        <v>490.5</v>
      </c>
      <c r="W104" s="17" t="n">
        <v>61</v>
      </c>
      <c r="X104" s="17" t="n">
        <v>2021</v>
      </c>
      <c r="Y104" s="17" t="n">
        <v>-33</v>
      </c>
      <c r="Z104" s="17" t="n">
        <v>5</v>
      </c>
      <c r="AA104" s="20">
        <f>IF(ISNUMBER(W104),W104,IFERROR(MAX(0,(VALUE(LEFT(F104,4))-VALUE(LEFT(TEXT(J104,"00000000"),4)))*12+(VALUE(MID(F104,5,2))-VALUE(MID(TEXT(J104,"00000000"),5,2)))),""))</f>
        <v/>
      </c>
      <c r="AB104" s="20">
        <f>IFERROR((VALUE(LEFT(TEXT(K104,"00000000"),4))-VALUE(LEFT(F104,4)))*12+(VALUE(MID(TEXT(K104,"00000000"),5,2))-VALUE(MID(F104,5,2))),"")</f>
        <v/>
      </c>
      <c r="AC104" s="20">
        <f>IF(OR(L104="",NOT(ISNUMBER(L104))),0,MAX(0,MIN(60,(VALUE(LEFT(F104,4))-VALUE(LEFT(TEXT(L104,"00000000"),4)))*12+(VALUE(MID(F104,5,2))-VALUE(MID(TEXT(L104,"00000000"),5,2))))))</f>
        <v/>
      </c>
      <c r="AD104" s="20">
        <f>IF(OR(L104="",NOT(ISNUMBER(L104))),0,IF(VALUE(F104)&lt;VALUE(LEFT(TEXT(L104,"00000000"),6)),1,0))</f>
        <v/>
      </c>
      <c r="AE104" s="20">
        <f>IF(OR(M104="",NOT(ISNUMBER(M104))),0,IF(VALUE(F104)&lt;VALUE(LEFT(TEXT(M104,"00000000"),6)),1,0))</f>
        <v/>
      </c>
      <c r="AF104" s="20">
        <f>IF(AND(AD104=0,AE104=0),1,0)</f>
        <v/>
      </c>
      <c r="AG104" s="20">
        <f>IF(ISNUMBER(X104),X104,IFERROR(VALUE(LEFT(TEXT(J104,"00000000"),4)),""))</f>
        <v/>
      </c>
      <c r="AH104" s="20">
        <f>IFERROR(XLOOKUP(AG104,Vintage_Rates!$A$2:$A$1000,Vintage_Rates!$B$2:$B$1000,""),"")</f>
        <v/>
      </c>
      <c r="AI104" s="20">
        <f>IF(ISNUMBER(Y104),Y104,IFERROR((G104-AH104)*100,""))</f>
        <v/>
      </c>
      <c r="AJ104" s="20">
        <f>IF(ISNUMBER(V104),V104,IFERROR(XLOOKUP(VALUE(F104),PLC_Rates!$A$2:$A$1000,PLC_Rates!$B$2:$B$1000,""),""))</f>
        <v/>
      </c>
      <c r="AK104" s="20">
        <f>IF(ISNUMBER(Z104),Z104,IF(AE104=0,0,MAX(0,MIN(10,((VALUE(LEFT(TEXT(M104,"00000000"),4))-VALUE(LEFT(F104,4)))*12+(VALUE(MID(TEXT(M104,"00000000"),5,2))-VALUE(MID(F104,5,2))))/12))))</f>
        <v/>
      </c>
      <c r="AL104" s="20">
        <f>IFERROR(G104*100-AJ104,"")</f>
        <v/>
      </c>
      <c r="AM104" s="20">
        <f>IFERROR(G104*100-(AJ104+(1+AK104)*12.5),"")</f>
        <v/>
      </c>
      <c r="AN104" s="21">
        <f>IFERROR(MIN(H104/1000000,100),"")</f>
        <v/>
      </c>
      <c r="AO104" s="20">
        <f>IFERROR(INDEX(FHA_Lookup!$B$2:$B$11,MATCH(TRUE,ISNUMBER(SEARCH(FHA_Lookup!$A$2:$A$11,UPPER(SUBSTITUTE(O104," ","")))),0)),"OTHER")</f>
        <v/>
      </c>
      <c r="AP104" s="20">
        <f>IFERROR(INDEX(FHA_Lookup!$C$2:$C$11,MATCH(TRUE,ISNUMBER(SEARCH(FHA_Lookup!$A$2:$A$11,UPPER(SUBSTITUTE(O104," ","")))),0)),"OTHER")</f>
        <v/>
      </c>
      <c r="AQ104" s="20">
        <f>IF(AP104="NC",1,0)</f>
        <v/>
      </c>
      <c r="AR104" s="20">
        <f>IF(UPPER(TRIM(P104))="AFF",1,0)</f>
        <v/>
      </c>
      <c r="AS104" s="20">
        <f>IF(UPPER(TRIM(P104))="BAF",1,0)</f>
        <v/>
      </c>
      <c r="AT104" s="20">
        <f>IF(UPPER(TRIM(P104))="MKT",1,0)</f>
        <v/>
      </c>
      <c r="AU104" s="20">
        <f>IF(AO104="221d4",1,0)</f>
        <v/>
      </c>
      <c r="AV104" s="20">
        <f>IF(AO104="223a7",1,0)</f>
        <v/>
      </c>
      <c r="AW104" s="20">
        <f>IF(AO104="232",1,0)</f>
        <v/>
      </c>
      <c r="AX104" s="20">
        <f>IF(AO104="538",1,0)</f>
        <v/>
      </c>
      <c r="AY104" s="20">
        <f>IF(AO104="241",1,0)</f>
        <v/>
      </c>
      <c r="AZ104" s="20">
        <f>IF(AO104="220",1,0)</f>
        <v/>
      </c>
      <c r="BA104" s="20">
        <f>IF(AO104="OTHER",1,0)</f>
        <v/>
      </c>
      <c r="BB104" s="20">
        <f>IF(UPPER(TRIM(C104))="LM",1,0)</f>
        <v/>
      </c>
      <c r="BC104" s="20">
        <f>IF(UPPER(TRIM(C104))="PN",1,0)</f>
        <v/>
      </c>
      <c r="BD104" s="20">
        <f>IF(UPPER(TRIM(C104))="LS",1,0)</f>
        <v/>
      </c>
      <c r="BE104" s="20">
        <f>IF(UPPER(TRIM(C104))="RX",1,0)</f>
        <v/>
      </c>
      <c r="BF104" s="22">
        <f>IFERROR((Parameters!$C$6*AM104+Parameters!$C$7*MAX(AM104-(-150),0)+Parameters!$C$8*MAX(AM104-(-50),0)+Parameters!$C$9*MAX(AM104-(0),0)+Parameters!$C$10*MAX(AM104-(50),0)+Parameters!$C$11*MAX(AM104-(100),0)+Parameters!$C$12*MAX(AM104-(150),0)+Parameters!$C$13*MAX(AM104-(250),0)),0)</f>
        <v/>
      </c>
      <c r="BG104" s="22">
        <f>IFERROR((Parameters!$C$14*AA104+Parameters!$C$15*MAX(AA104-(12),0)+Parameters!$C$16*MAX(AA104-(36),0)+Parameters!$C$17*MAX(AA104-(60),0)+Parameters!$C$18*MAX(AA104-(84),0)+Parameters!$C$19*MAX(AA104-(120),0)+Parameters!$C$20*MAX(AA104-(180),0)),0)</f>
        <v/>
      </c>
      <c r="BH104" s="22">
        <f>IFERROR((Parameters!$C$21*AK104+Parameters!$C$22*MAX(AK104-(0),0)+Parameters!$C$23*MAX(AK104-(2),0)+Parameters!$C$24*MAX(AK104-(5),0)+Parameters!$C$25*MAX(AK104-(8),0)),0)</f>
        <v/>
      </c>
      <c r="BI104" s="22">
        <f>IFERROR((Parameters!$C$26*AI104+Parameters!$C$27*MAX(AI104-(-100),0)+Parameters!$C$28*MAX(AI104-(-25),0)+Parameters!$C$29*MAX(AI104-(25),0)+Parameters!$C$30*MAX(AI104-(100),0)),0)</f>
        <v/>
      </c>
      <c r="BJ104" s="22">
        <f>IFERROR((Parameters!$C$31*AN104+Parameters!$C$32*MAX(AN104-(2),0)+Parameters!$C$33*MAX(AN104-(10),0)+Parameters!$C$34*MAX(AN104-(25),0)),0)</f>
        <v/>
      </c>
      <c r="BK104" s="22">
        <f>IFERROR((Parameters!$C$35*AB104+Parameters!$C$36*MAX(AB104-(12),0)+Parameters!$C$37*MAX(AB104-(24),0)+Parameters!$C$38*MAX(AB104-(60),0)),0)</f>
        <v/>
      </c>
      <c r="BL104" s="22">
        <f>IFERROR((Parameters!$C$39*AC104+Parameters!$C$40*MAX(AC104-(6),0)+Parameters!$C$41*MAX(AC104-(12),0)+Parameters!$C$42*MAX(AC104-(24),0)),0)</f>
        <v/>
      </c>
      <c r="BM104" s="22">
        <f>IFERROR(Parameters!$C$43*(MAX(AM104,0)*MIN(MAX(AK104,0),10))/100,0)</f>
        <v/>
      </c>
      <c r="BN104" s="22">
        <f>Parameters!$C$44*AE104</f>
        <v/>
      </c>
      <c r="BO104" s="22">
        <f>Parameters!$C$45*AU104 + Parameters!$C$46*AV104 + Parameters!$C$47*AW104 + Parameters!$C$48*AX104 + Parameters!$C$49*AY104 + Parameters!$C$50*AZ104 + Parameters!$C$51*BA104</f>
        <v/>
      </c>
      <c r="BP104" s="22">
        <f>Parameters!$C$52*AQ104</f>
        <v/>
      </c>
      <c r="BQ104" s="22">
        <f>Parameters!$C$53*AR104+Parameters!$C$54*AS104+Parameters!$C$55*AT104</f>
        <v/>
      </c>
      <c r="BR104" s="22">
        <f>Parameters!$C$56*BB104+Parameters!$C$57*BC104+Parameters!$C$58*BD104+Parameters!$C$59*BE104</f>
        <v/>
      </c>
      <c r="BS104" s="23">
        <f>Parameters!$B$2</f>
        <v/>
      </c>
      <c r="BT104" s="23">
        <f>BS104+BF104 + BG104 + BH104 + BI104 + BJ104 + BK104 + BL104 + BM104 + BN104 + BO104 + BP104 + BQ104 + BR104</f>
        <v/>
      </c>
      <c r="BU104" s="24">
        <f>IF(AD104=1,0,1/(1+EXP(-BT104))*Parameters!$B$3)</f>
        <v/>
      </c>
      <c r="BV104" s="25">
        <f>(1-(1-BU104)^12)*100</f>
        <v/>
      </c>
      <c r="BW104" s="25">
        <f>IF(AD104=1,0,(1-(1-1/(1+EXP(-Parameters!$B$2)))^12)*100)</f>
        <v/>
      </c>
      <c r="BX104" s="25">
        <f>IF(AD104=1,0,BV104-(1-(1-(1/(1+EXP(-(BT104-BF104)))*Parameters!$B$3))^12)*100)</f>
        <v/>
      </c>
      <c r="BY104" s="25">
        <f>IF(AD104=1,0,BV104-(1-(1-(1/(1+EXP(-(BT104-BG104)))*Parameters!$B$3))^12)*100)</f>
        <v/>
      </c>
      <c r="BZ104" s="25">
        <f>IF(AD104=1,0,BV104-(1-(1-(1/(1+EXP(-(BT104-BH104)))*Parameters!$B$3))^12)*100)</f>
        <v/>
      </c>
      <c r="CA104" s="25">
        <f>IF(AD104=1,0,BV104-(1-(1-(1/(1+EXP(-(BT104-BI104)))*Parameters!$B$3))^12)*100)</f>
        <v/>
      </c>
      <c r="CB104" s="25">
        <f>IF(AD104=1,0,BV104-(1-(1-(1/(1+EXP(-(BT104-BJ104)))*Parameters!$B$3))^12)*100)</f>
        <v/>
      </c>
      <c r="CC104" s="25">
        <f>IF(AD104=1,0,BV104-(1-(1-(1/(1+EXP(-(BT104-BK104)))*Parameters!$B$3))^12)*100)</f>
        <v/>
      </c>
      <c r="CD104" s="25">
        <f>IF(AD104=1,0,BV104-(1-(1-(1/(1+EXP(-(BT104-BL104)))*Parameters!$B$3))^12)*100)</f>
        <v/>
      </c>
      <c r="CE104" s="25">
        <f>IF(AD104=1,0,BV104-(1-(1-(1/(1+EXP(-(BT104-BM104)))*Parameters!$B$3))^12)*100)</f>
        <v/>
      </c>
      <c r="CF104" s="25">
        <f>IF(AD104=1,0,BV104-(1-(1-(1/(1+EXP(-(BT104-BN104)))*Parameters!$B$3))^12)*100)</f>
        <v/>
      </c>
      <c r="CG104" s="25">
        <f>IF(AD104=1,0,BV104-(1-(1-(1/(1+EXP(-(BT104-BO104)))*Parameters!$B$3))^12)*100)</f>
        <v/>
      </c>
      <c r="CH104" s="25">
        <f>IF(AD104=1,0,BV104-(1-(1-(1/(1+EXP(-(BT104-BP104)))*Parameters!$B$3))^12)*100)</f>
        <v/>
      </c>
      <c r="CI104" s="25">
        <f>IF(AD104=1,0,BV104-(1-(1-(1/(1+EXP(-(BT104-BQ104)))*Parameters!$B$3))^12)*100)</f>
        <v/>
      </c>
      <c r="CJ104" s="25">
        <f>IF(AD104=1,0,BV104-(1-(1-(1/(1+EXP(-(BT104-BR104)))*Parameters!$B$3))^12)*100)</f>
        <v/>
      </c>
    </row>
    <row r="105">
      <c r="A105" s="17" t="inlineStr">
        <is>
          <t>GNR_HC_2020</t>
        </is>
      </c>
      <c r="B105" s="17" t="inlineStr">
        <is>
          <t>3617HAGR2</t>
        </is>
      </c>
      <c r="C105" s="17" t="inlineStr">
        <is>
          <t>PN</t>
        </is>
      </c>
      <c r="D105" s="17" t="inlineStr">
        <is>
          <t>M&amp;T REALTY CAPITAL CORPORATION</t>
        </is>
      </c>
      <c r="E105" s="17" t="inlineStr">
        <is>
          <t>3617HAGR2_000000003122124</t>
        </is>
      </c>
      <c r="F105" s="17" t="n">
        <v>202603</v>
      </c>
      <c r="G105" s="18" t="n">
        <v>3.26</v>
      </c>
      <c r="H105" s="19" t="n">
        <v>10740326.68</v>
      </c>
      <c r="I105" s="17" t="n">
        <v>420</v>
      </c>
      <c r="J105" s="17" t="n">
        <v>20190828</v>
      </c>
      <c r="K105" s="17" t="n">
        <v>20540901</v>
      </c>
      <c r="L105" s="17" t="n"/>
      <c r="M105" s="17" t="n">
        <v>20290930</v>
      </c>
      <c r="N105" s="17" t="n">
        <v>10</v>
      </c>
      <c r="O105" s="17" t="inlineStr">
        <is>
          <t>232/223(F)</t>
        </is>
      </c>
      <c r="P105" s="17" t="inlineStr">
        <is>
          <t>MKT</t>
        </is>
      </c>
      <c r="Q105" s="17" t="n"/>
      <c r="R105" s="17" t="n"/>
      <c r="S105" s="17" t="n"/>
      <c r="T105" s="17" t="inlineStr">
        <is>
          <t>NJ</t>
        </is>
      </c>
      <c r="U105" s="17" t="n">
        <v>164</v>
      </c>
      <c r="V105" s="17" t="n">
        <v>490.5</v>
      </c>
      <c r="W105" s="17" t="n">
        <v>79</v>
      </c>
      <c r="X105" s="17" t="n">
        <v>2019</v>
      </c>
      <c r="Y105" s="17" t="n">
        <v>-41</v>
      </c>
      <c r="Z105" s="17" t="n">
        <v>1</v>
      </c>
      <c r="AA105" s="20">
        <f>IF(ISNUMBER(W105),W105,IFERROR(MAX(0,(VALUE(LEFT(F105,4))-VALUE(LEFT(TEXT(J105,"00000000"),4)))*12+(VALUE(MID(F105,5,2))-VALUE(MID(TEXT(J105,"00000000"),5,2)))),""))</f>
        <v/>
      </c>
      <c r="AB105" s="20">
        <f>IFERROR((VALUE(LEFT(TEXT(K105,"00000000"),4))-VALUE(LEFT(F105,4)))*12+(VALUE(MID(TEXT(K105,"00000000"),5,2))-VALUE(MID(F105,5,2))),"")</f>
        <v/>
      </c>
      <c r="AC105" s="20">
        <f>IF(OR(L105="",NOT(ISNUMBER(L105))),0,MAX(0,MIN(60,(VALUE(LEFT(F105,4))-VALUE(LEFT(TEXT(L105,"00000000"),4)))*12+(VALUE(MID(F105,5,2))-VALUE(MID(TEXT(L105,"00000000"),5,2))))))</f>
        <v/>
      </c>
      <c r="AD105" s="20">
        <f>IF(OR(L105="",NOT(ISNUMBER(L105))),0,IF(VALUE(F105)&lt;VALUE(LEFT(TEXT(L105,"00000000"),6)),1,0))</f>
        <v/>
      </c>
      <c r="AE105" s="20">
        <f>IF(OR(M105="",NOT(ISNUMBER(M105))),0,IF(VALUE(F105)&lt;VALUE(LEFT(TEXT(M105,"00000000"),6)),1,0))</f>
        <v/>
      </c>
      <c r="AF105" s="20">
        <f>IF(AND(AD105=0,AE105=0),1,0)</f>
        <v/>
      </c>
      <c r="AG105" s="20">
        <f>IF(ISNUMBER(X105),X105,IFERROR(VALUE(LEFT(TEXT(J105,"00000000"),4)),""))</f>
        <v/>
      </c>
      <c r="AH105" s="20">
        <f>IFERROR(XLOOKUP(AG105,Vintage_Rates!$A$2:$A$1000,Vintage_Rates!$B$2:$B$1000,""),"")</f>
        <v/>
      </c>
      <c r="AI105" s="20">
        <f>IF(ISNUMBER(Y105),Y105,IFERROR((G105-AH105)*100,""))</f>
        <v/>
      </c>
      <c r="AJ105" s="20">
        <f>IF(ISNUMBER(V105),V105,IFERROR(XLOOKUP(VALUE(F105),PLC_Rates!$A$2:$A$1000,PLC_Rates!$B$2:$B$1000,""),""))</f>
        <v/>
      </c>
      <c r="AK105" s="20">
        <f>IF(ISNUMBER(Z105),Z105,IF(AE105=0,0,MAX(0,MIN(10,((VALUE(LEFT(TEXT(M105,"00000000"),4))-VALUE(LEFT(F105,4)))*12+(VALUE(MID(TEXT(M105,"00000000"),5,2))-VALUE(MID(F105,5,2))))/12))))</f>
        <v/>
      </c>
      <c r="AL105" s="20">
        <f>IFERROR(G105*100-AJ105,"")</f>
        <v/>
      </c>
      <c r="AM105" s="20">
        <f>IFERROR(G105*100-(AJ105+(1+AK105)*12.5),"")</f>
        <v/>
      </c>
      <c r="AN105" s="21">
        <f>IFERROR(MIN(H105/1000000,100),"")</f>
        <v/>
      </c>
      <c r="AO105" s="20">
        <f>IFERROR(INDEX(FHA_Lookup!$B$2:$B$11,MATCH(TRUE,ISNUMBER(SEARCH(FHA_Lookup!$A$2:$A$11,UPPER(SUBSTITUTE(O105," ","")))),0)),"OTHER")</f>
        <v/>
      </c>
      <c r="AP105" s="20">
        <f>IFERROR(INDEX(FHA_Lookup!$C$2:$C$11,MATCH(TRUE,ISNUMBER(SEARCH(FHA_Lookup!$A$2:$A$11,UPPER(SUBSTITUTE(O105," ","")))),0)),"OTHER")</f>
        <v/>
      </c>
      <c r="AQ105" s="20">
        <f>IF(AP105="NC",1,0)</f>
        <v/>
      </c>
      <c r="AR105" s="20">
        <f>IF(UPPER(TRIM(P105))="AFF",1,0)</f>
        <v/>
      </c>
      <c r="AS105" s="20">
        <f>IF(UPPER(TRIM(P105))="BAF",1,0)</f>
        <v/>
      </c>
      <c r="AT105" s="20">
        <f>IF(UPPER(TRIM(P105))="MKT",1,0)</f>
        <v/>
      </c>
      <c r="AU105" s="20">
        <f>IF(AO105="221d4",1,0)</f>
        <v/>
      </c>
      <c r="AV105" s="20">
        <f>IF(AO105="223a7",1,0)</f>
        <v/>
      </c>
      <c r="AW105" s="20">
        <f>IF(AO105="232",1,0)</f>
        <v/>
      </c>
      <c r="AX105" s="20">
        <f>IF(AO105="538",1,0)</f>
        <v/>
      </c>
      <c r="AY105" s="20">
        <f>IF(AO105="241",1,0)</f>
        <v/>
      </c>
      <c r="AZ105" s="20">
        <f>IF(AO105="220",1,0)</f>
        <v/>
      </c>
      <c r="BA105" s="20">
        <f>IF(AO105="OTHER",1,0)</f>
        <v/>
      </c>
      <c r="BB105" s="20">
        <f>IF(UPPER(TRIM(C105))="LM",1,0)</f>
        <v/>
      </c>
      <c r="BC105" s="20">
        <f>IF(UPPER(TRIM(C105))="PN",1,0)</f>
        <v/>
      </c>
      <c r="BD105" s="20">
        <f>IF(UPPER(TRIM(C105))="LS",1,0)</f>
        <v/>
      </c>
      <c r="BE105" s="20">
        <f>IF(UPPER(TRIM(C105))="RX",1,0)</f>
        <v/>
      </c>
      <c r="BF105" s="22">
        <f>IFERROR((Parameters!$C$6*AM105+Parameters!$C$7*MAX(AM105-(-150),0)+Parameters!$C$8*MAX(AM105-(-50),0)+Parameters!$C$9*MAX(AM105-(0),0)+Parameters!$C$10*MAX(AM105-(50),0)+Parameters!$C$11*MAX(AM105-(100),0)+Parameters!$C$12*MAX(AM105-(150),0)+Parameters!$C$13*MAX(AM105-(250),0)),0)</f>
        <v/>
      </c>
      <c r="BG105" s="22">
        <f>IFERROR((Parameters!$C$14*AA105+Parameters!$C$15*MAX(AA105-(12),0)+Parameters!$C$16*MAX(AA105-(36),0)+Parameters!$C$17*MAX(AA105-(60),0)+Parameters!$C$18*MAX(AA105-(84),0)+Parameters!$C$19*MAX(AA105-(120),0)+Parameters!$C$20*MAX(AA105-(180),0)),0)</f>
        <v/>
      </c>
      <c r="BH105" s="22">
        <f>IFERROR((Parameters!$C$21*AK105+Parameters!$C$22*MAX(AK105-(0),0)+Parameters!$C$23*MAX(AK105-(2),0)+Parameters!$C$24*MAX(AK105-(5),0)+Parameters!$C$25*MAX(AK105-(8),0)),0)</f>
        <v/>
      </c>
      <c r="BI105" s="22">
        <f>IFERROR((Parameters!$C$26*AI105+Parameters!$C$27*MAX(AI105-(-100),0)+Parameters!$C$28*MAX(AI105-(-25),0)+Parameters!$C$29*MAX(AI105-(25),0)+Parameters!$C$30*MAX(AI105-(100),0)),0)</f>
        <v/>
      </c>
      <c r="BJ105" s="22">
        <f>IFERROR((Parameters!$C$31*AN105+Parameters!$C$32*MAX(AN105-(2),0)+Parameters!$C$33*MAX(AN105-(10),0)+Parameters!$C$34*MAX(AN105-(25),0)),0)</f>
        <v/>
      </c>
      <c r="BK105" s="22">
        <f>IFERROR((Parameters!$C$35*AB105+Parameters!$C$36*MAX(AB105-(12),0)+Parameters!$C$37*MAX(AB105-(24),0)+Parameters!$C$38*MAX(AB105-(60),0)),0)</f>
        <v/>
      </c>
      <c r="BL105" s="22">
        <f>IFERROR((Parameters!$C$39*AC105+Parameters!$C$40*MAX(AC105-(6),0)+Parameters!$C$41*MAX(AC105-(12),0)+Parameters!$C$42*MAX(AC105-(24),0)),0)</f>
        <v/>
      </c>
      <c r="BM105" s="22">
        <f>IFERROR(Parameters!$C$43*(MAX(AM105,0)*MIN(MAX(AK105,0),10))/100,0)</f>
        <v/>
      </c>
      <c r="BN105" s="22">
        <f>Parameters!$C$44*AE105</f>
        <v/>
      </c>
      <c r="BO105" s="22">
        <f>Parameters!$C$45*AU105 + Parameters!$C$46*AV105 + Parameters!$C$47*AW105 + Parameters!$C$48*AX105 + Parameters!$C$49*AY105 + Parameters!$C$50*AZ105 + Parameters!$C$51*BA105</f>
        <v/>
      </c>
      <c r="BP105" s="22">
        <f>Parameters!$C$52*AQ105</f>
        <v/>
      </c>
      <c r="BQ105" s="22">
        <f>Parameters!$C$53*AR105+Parameters!$C$54*AS105+Parameters!$C$55*AT105</f>
        <v/>
      </c>
      <c r="BR105" s="22">
        <f>Parameters!$C$56*BB105+Parameters!$C$57*BC105+Parameters!$C$58*BD105+Parameters!$C$59*BE105</f>
        <v/>
      </c>
      <c r="BS105" s="23">
        <f>Parameters!$B$2</f>
        <v/>
      </c>
      <c r="BT105" s="23">
        <f>BS105+BF105 + BG105 + BH105 + BI105 + BJ105 + BK105 + BL105 + BM105 + BN105 + BO105 + BP105 + BQ105 + BR105</f>
        <v/>
      </c>
      <c r="BU105" s="24">
        <f>IF(AD105=1,0,1/(1+EXP(-BT105))*Parameters!$B$3)</f>
        <v/>
      </c>
      <c r="BV105" s="25">
        <f>(1-(1-BU105)^12)*100</f>
        <v/>
      </c>
      <c r="BW105" s="25">
        <f>IF(AD105=1,0,(1-(1-1/(1+EXP(-Parameters!$B$2)))^12)*100)</f>
        <v/>
      </c>
      <c r="BX105" s="25">
        <f>IF(AD105=1,0,BV105-(1-(1-(1/(1+EXP(-(BT105-BF105)))*Parameters!$B$3))^12)*100)</f>
        <v/>
      </c>
      <c r="BY105" s="25">
        <f>IF(AD105=1,0,BV105-(1-(1-(1/(1+EXP(-(BT105-BG105)))*Parameters!$B$3))^12)*100)</f>
        <v/>
      </c>
      <c r="BZ105" s="25">
        <f>IF(AD105=1,0,BV105-(1-(1-(1/(1+EXP(-(BT105-BH105)))*Parameters!$B$3))^12)*100)</f>
        <v/>
      </c>
      <c r="CA105" s="25">
        <f>IF(AD105=1,0,BV105-(1-(1-(1/(1+EXP(-(BT105-BI105)))*Parameters!$B$3))^12)*100)</f>
        <v/>
      </c>
      <c r="CB105" s="25">
        <f>IF(AD105=1,0,BV105-(1-(1-(1/(1+EXP(-(BT105-BJ105)))*Parameters!$B$3))^12)*100)</f>
        <v/>
      </c>
      <c r="CC105" s="25">
        <f>IF(AD105=1,0,BV105-(1-(1-(1/(1+EXP(-(BT105-BK105)))*Parameters!$B$3))^12)*100)</f>
        <v/>
      </c>
      <c r="CD105" s="25">
        <f>IF(AD105=1,0,BV105-(1-(1-(1/(1+EXP(-(BT105-BL105)))*Parameters!$B$3))^12)*100)</f>
        <v/>
      </c>
      <c r="CE105" s="25">
        <f>IF(AD105=1,0,BV105-(1-(1-(1/(1+EXP(-(BT105-BM105)))*Parameters!$B$3))^12)*100)</f>
        <v/>
      </c>
      <c r="CF105" s="25">
        <f>IF(AD105=1,0,BV105-(1-(1-(1/(1+EXP(-(BT105-BN105)))*Parameters!$B$3))^12)*100)</f>
        <v/>
      </c>
      <c r="CG105" s="25">
        <f>IF(AD105=1,0,BV105-(1-(1-(1/(1+EXP(-(BT105-BO105)))*Parameters!$B$3))^12)*100)</f>
        <v/>
      </c>
      <c r="CH105" s="25">
        <f>IF(AD105=1,0,BV105-(1-(1-(1/(1+EXP(-(BT105-BP105)))*Parameters!$B$3))^12)*100)</f>
        <v/>
      </c>
      <c r="CI105" s="25">
        <f>IF(AD105=1,0,BV105-(1-(1-(1/(1+EXP(-(BT105-BQ105)))*Parameters!$B$3))^12)*100)</f>
        <v/>
      </c>
      <c r="CJ105" s="25">
        <f>IF(AD105=1,0,BV105-(1-(1-(1/(1+EXP(-(BT105-BR105)))*Parameters!$B$3))^12)*100)</f>
        <v/>
      </c>
    </row>
    <row r="106">
      <c r="A106" s="17" t="inlineStr">
        <is>
          <t>GNR_HC_2020</t>
        </is>
      </c>
      <c r="B106" s="17" t="inlineStr">
        <is>
          <t>3617YHEZ2</t>
        </is>
      </c>
      <c r="C106" s="17" t="inlineStr">
        <is>
          <t>PN</t>
        </is>
      </c>
      <c r="D106" s="17" t="inlineStr">
        <is>
          <t>NEWPOINT REAL ESTATE CAPITAL LLC</t>
        </is>
      </c>
      <c r="E106" s="17" t="inlineStr">
        <is>
          <t>3617YHEZ2_000000001222430</t>
        </is>
      </c>
      <c r="F106" s="17" t="n">
        <v>202603</v>
      </c>
      <c r="G106" s="18" t="n">
        <v>3.15</v>
      </c>
      <c r="H106" s="19" t="n">
        <v>23270612.74</v>
      </c>
      <c r="I106" s="17" t="n">
        <v>168</v>
      </c>
      <c r="J106" s="17" t="n">
        <v>20220329</v>
      </c>
      <c r="K106" s="17" t="n">
        <v>20360401</v>
      </c>
      <c r="L106" s="17" t="n"/>
      <c r="M106" s="17" t="n">
        <v>20320430</v>
      </c>
      <c r="N106" s="17" t="n">
        <v>10</v>
      </c>
      <c r="O106" s="17" t="inlineStr">
        <is>
          <t>232/223(F)</t>
        </is>
      </c>
      <c r="P106" s="17" t="inlineStr">
        <is>
          <t>MKT</t>
        </is>
      </c>
      <c r="Q106" s="17" t="n"/>
      <c r="R106" s="17" t="n"/>
      <c r="S106" s="17" t="n"/>
      <c r="T106" s="17" t="inlineStr">
        <is>
          <t>NY</t>
        </is>
      </c>
      <c r="U106" s="17" t="n">
        <v>156</v>
      </c>
      <c r="V106" s="17" t="n">
        <v>490.5</v>
      </c>
      <c r="W106" s="17" t="n">
        <v>48</v>
      </c>
      <c r="X106" s="17" t="n">
        <v>2022</v>
      </c>
      <c r="Y106" s="17" t="n">
        <v>-60</v>
      </c>
      <c r="Z106" s="17" t="n">
        <v>8</v>
      </c>
      <c r="AA106" s="20">
        <f>IF(ISNUMBER(W106),W106,IFERROR(MAX(0,(VALUE(LEFT(F106,4))-VALUE(LEFT(TEXT(J106,"00000000"),4)))*12+(VALUE(MID(F106,5,2))-VALUE(MID(TEXT(J106,"00000000"),5,2)))),""))</f>
        <v/>
      </c>
      <c r="AB106" s="20">
        <f>IFERROR((VALUE(LEFT(TEXT(K106,"00000000"),4))-VALUE(LEFT(F106,4)))*12+(VALUE(MID(TEXT(K106,"00000000"),5,2))-VALUE(MID(F106,5,2))),"")</f>
        <v/>
      </c>
      <c r="AC106" s="20">
        <f>IF(OR(L106="",NOT(ISNUMBER(L106))),0,MAX(0,MIN(60,(VALUE(LEFT(F106,4))-VALUE(LEFT(TEXT(L106,"00000000"),4)))*12+(VALUE(MID(F106,5,2))-VALUE(MID(TEXT(L106,"00000000"),5,2))))))</f>
        <v/>
      </c>
      <c r="AD106" s="20">
        <f>IF(OR(L106="",NOT(ISNUMBER(L106))),0,IF(VALUE(F106)&lt;VALUE(LEFT(TEXT(L106,"00000000"),6)),1,0))</f>
        <v/>
      </c>
      <c r="AE106" s="20">
        <f>IF(OR(M106="",NOT(ISNUMBER(M106))),0,IF(VALUE(F106)&lt;VALUE(LEFT(TEXT(M106,"00000000"),6)),1,0))</f>
        <v/>
      </c>
      <c r="AF106" s="20">
        <f>IF(AND(AD106=0,AE106=0),1,0)</f>
        <v/>
      </c>
      <c r="AG106" s="20">
        <f>IF(ISNUMBER(X106),X106,IFERROR(VALUE(LEFT(TEXT(J106,"00000000"),4)),""))</f>
        <v/>
      </c>
      <c r="AH106" s="20">
        <f>IFERROR(XLOOKUP(AG106,Vintage_Rates!$A$2:$A$1000,Vintage_Rates!$B$2:$B$1000,""),"")</f>
        <v/>
      </c>
      <c r="AI106" s="20">
        <f>IF(ISNUMBER(Y106),Y106,IFERROR((G106-AH106)*100,""))</f>
        <v/>
      </c>
      <c r="AJ106" s="20">
        <f>IF(ISNUMBER(V106),V106,IFERROR(XLOOKUP(VALUE(F106),PLC_Rates!$A$2:$A$1000,PLC_Rates!$B$2:$B$1000,""),""))</f>
        <v/>
      </c>
      <c r="AK106" s="20">
        <f>IF(ISNUMBER(Z106),Z106,IF(AE106=0,0,MAX(0,MIN(10,((VALUE(LEFT(TEXT(M106,"00000000"),4))-VALUE(LEFT(F106,4)))*12+(VALUE(MID(TEXT(M106,"00000000"),5,2))-VALUE(MID(F106,5,2))))/12))))</f>
        <v/>
      </c>
      <c r="AL106" s="20">
        <f>IFERROR(G106*100-AJ106,"")</f>
        <v/>
      </c>
      <c r="AM106" s="20">
        <f>IFERROR(G106*100-(AJ106+(1+AK106)*12.5),"")</f>
        <v/>
      </c>
      <c r="AN106" s="21">
        <f>IFERROR(MIN(H106/1000000,100),"")</f>
        <v/>
      </c>
      <c r="AO106" s="20">
        <f>IFERROR(INDEX(FHA_Lookup!$B$2:$B$11,MATCH(TRUE,ISNUMBER(SEARCH(FHA_Lookup!$A$2:$A$11,UPPER(SUBSTITUTE(O106," ","")))),0)),"OTHER")</f>
        <v/>
      </c>
      <c r="AP106" s="20">
        <f>IFERROR(INDEX(FHA_Lookup!$C$2:$C$11,MATCH(TRUE,ISNUMBER(SEARCH(FHA_Lookup!$A$2:$A$11,UPPER(SUBSTITUTE(O106," ","")))),0)),"OTHER")</f>
        <v/>
      </c>
      <c r="AQ106" s="20">
        <f>IF(AP106="NC",1,0)</f>
        <v/>
      </c>
      <c r="AR106" s="20">
        <f>IF(UPPER(TRIM(P106))="AFF",1,0)</f>
        <v/>
      </c>
      <c r="AS106" s="20">
        <f>IF(UPPER(TRIM(P106))="BAF",1,0)</f>
        <v/>
      </c>
      <c r="AT106" s="20">
        <f>IF(UPPER(TRIM(P106))="MKT",1,0)</f>
        <v/>
      </c>
      <c r="AU106" s="20">
        <f>IF(AO106="221d4",1,0)</f>
        <v/>
      </c>
      <c r="AV106" s="20">
        <f>IF(AO106="223a7",1,0)</f>
        <v/>
      </c>
      <c r="AW106" s="20">
        <f>IF(AO106="232",1,0)</f>
        <v/>
      </c>
      <c r="AX106" s="20">
        <f>IF(AO106="538",1,0)</f>
        <v/>
      </c>
      <c r="AY106" s="20">
        <f>IF(AO106="241",1,0)</f>
        <v/>
      </c>
      <c r="AZ106" s="20">
        <f>IF(AO106="220",1,0)</f>
        <v/>
      </c>
      <c r="BA106" s="20">
        <f>IF(AO106="OTHER",1,0)</f>
        <v/>
      </c>
      <c r="BB106" s="20">
        <f>IF(UPPER(TRIM(C106))="LM",1,0)</f>
        <v/>
      </c>
      <c r="BC106" s="20">
        <f>IF(UPPER(TRIM(C106))="PN",1,0)</f>
        <v/>
      </c>
      <c r="BD106" s="20">
        <f>IF(UPPER(TRIM(C106))="LS",1,0)</f>
        <v/>
      </c>
      <c r="BE106" s="20">
        <f>IF(UPPER(TRIM(C106))="RX",1,0)</f>
        <v/>
      </c>
      <c r="BF106" s="22">
        <f>IFERROR((Parameters!$C$6*AM106+Parameters!$C$7*MAX(AM106-(-150),0)+Parameters!$C$8*MAX(AM106-(-50),0)+Parameters!$C$9*MAX(AM106-(0),0)+Parameters!$C$10*MAX(AM106-(50),0)+Parameters!$C$11*MAX(AM106-(100),0)+Parameters!$C$12*MAX(AM106-(150),0)+Parameters!$C$13*MAX(AM106-(250),0)),0)</f>
        <v/>
      </c>
      <c r="BG106" s="22">
        <f>IFERROR((Parameters!$C$14*AA106+Parameters!$C$15*MAX(AA106-(12),0)+Parameters!$C$16*MAX(AA106-(36),0)+Parameters!$C$17*MAX(AA106-(60),0)+Parameters!$C$18*MAX(AA106-(84),0)+Parameters!$C$19*MAX(AA106-(120),0)+Parameters!$C$20*MAX(AA106-(180),0)),0)</f>
        <v/>
      </c>
      <c r="BH106" s="22">
        <f>IFERROR((Parameters!$C$21*AK106+Parameters!$C$22*MAX(AK106-(0),0)+Parameters!$C$23*MAX(AK106-(2),0)+Parameters!$C$24*MAX(AK106-(5),0)+Parameters!$C$25*MAX(AK106-(8),0)),0)</f>
        <v/>
      </c>
      <c r="BI106" s="22">
        <f>IFERROR((Parameters!$C$26*AI106+Parameters!$C$27*MAX(AI106-(-100),0)+Parameters!$C$28*MAX(AI106-(-25),0)+Parameters!$C$29*MAX(AI106-(25),0)+Parameters!$C$30*MAX(AI106-(100),0)),0)</f>
        <v/>
      </c>
      <c r="BJ106" s="22">
        <f>IFERROR((Parameters!$C$31*AN106+Parameters!$C$32*MAX(AN106-(2),0)+Parameters!$C$33*MAX(AN106-(10),0)+Parameters!$C$34*MAX(AN106-(25),0)),0)</f>
        <v/>
      </c>
      <c r="BK106" s="22">
        <f>IFERROR((Parameters!$C$35*AB106+Parameters!$C$36*MAX(AB106-(12),0)+Parameters!$C$37*MAX(AB106-(24),0)+Parameters!$C$38*MAX(AB106-(60),0)),0)</f>
        <v/>
      </c>
      <c r="BL106" s="22">
        <f>IFERROR((Parameters!$C$39*AC106+Parameters!$C$40*MAX(AC106-(6),0)+Parameters!$C$41*MAX(AC106-(12),0)+Parameters!$C$42*MAX(AC106-(24),0)),0)</f>
        <v/>
      </c>
      <c r="BM106" s="22">
        <f>IFERROR(Parameters!$C$43*(MAX(AM106,0)*MIN(MAX(AK106,0),10))/100,0)</f>
        <v/>
      </c>
      <c r="BN106" s="22">
        <f>Parameters!$C$44*AE106</f>
        <v/>
      </c>
      <c r="BO106" s="22">
        <f>Parameters!$C$45*AU106 + Parameters!$C$46*AV106 + Parameters!$C$47*AW106 + Parameters!$C$48*AX106 + Parameters!$C$49*AY106 + Parameters!$C$50*AZ106 + Parameters!$C$51*BA106</f>
        <v/>
      </c>
      <c r="BP106" s="22">
        <f>Parameters!$C$52*AQ106</f>
        <v/>
      </c>
      <c r="BQ106" s="22">
        <f>Parameters!$C$53*AR106+Parameters!$C$54*AS106+Parameters!$C$55*AT106</f>
        <v/>
      </c>
      <c r="BR106" s="22">
        <f>Parameters!$C$56*BB106+Parameters!$C$57*BC106+Parameters!$C$58*BD106+Parameters!$C$59*BE106</f>
        <v/>
      </c>
      <c r="BS106" s="23">
        <f>Parameters!$B$2</f>
        <v/>
      </c>
      <c r="BT106" s="23">
        <f>BS106+BF106 + BG106 + BH106 + BI106 + BJ106 + BK106 + BL106 + BM106 + BN106 + BO106 + BP106 + BQ106 + BR106</f>
        <v/>
      </c>
      <c r="BU106" s="24">
        <f>IF(AD106=1,0,1/(1+EXP(-BT106))*Parameters!$B$3)</f>
        <v/>
      </c>
      <c r="BV106" s="25">
        <f>(1-(1-BU106)^12)*100</f>
        <v/>
      </c>
      <c r="BW106" s="25">
        <f>IF(AD106=1,0,(1-(1-1/(1+EXP(-Parameters!$B$2)))^12)*100)</f>
        <v/>
      </c>
      <c r="BX106" s="25">
        <f>IF(AD106=1,0,BV106-(1-(1-(1/(1+EXP(-(BT106-BF106)))*Parameters!$B$3))^12)*100)</f>
        <v/>
      </c>
      <c r="BY106" s="25">
        <f>IF(AD106=1,0,BV106-(1-(1-(1/(1+EXP(-(BT106-BG106)))*Parameters!$B$3))^12)*100)</f>
        <v/>
      </c>
      <c r="BZ106" s="25">
        <f>IF(AD106=1,0,BV106-(1-(1-(1/(1+EXP(-(BT106-BH106)))*Parameters!$B$3))^12)*100)</f>
        <v/>
      </c>
      <c r="CA106" s="25">
        <f>IF(AD106=1,0,BV106-(1-(1-(1/(1+EXP(-(BT106-BI106)))*Parameters!$B$3))^12)*100)</f>
        <v/>
      </c>
      <c r="CB106" s="25">
        <f>IF(AD106=1,0,BV106-(1-(1-(1/(1+EXP(-(BT106-BJ106)))*Parameters!$B$3))^12)*100)</f>
        <v/>
      </c>
      <c r="CC106" s="25">
        <f>IF(AD106=1,0,BV106-(1-(1-(1/(1+EXP(-(BT106-BK106)))*Parameters!$B$3))^12)*100)</f>
        <v/>
      </c>
      <c r="CD106" s="25">
        <f>IF(AD106=1,0,BV106-(1-(1-(1/(1+EXP(-(BT106-BL106)))*Parameters!$B$3))^12)*100)</f>
        <v/>
      </c>
      <c r="CE106" s="25">
        <f>IF(AD106=1,0,BV106-(1-(1-(1/(1+EXP(-(BT106-BM106)))*Parameters!$B$3))^12)*100)</f>
        <v/>
      </c>
      <c r="CF106" s="25">
        <f>IF(AD106=1,0,BV106-(1-(1-(1/(1+EXP(-(BT106-BN106)))*Parameters!$B$3))^12)*100)</f>
        <v/>
      </c>
      <c r="CG106" s="25">
        <f>IF(AD106=1,0,BV106-(1-(1-(1/(1+EXP(-(BT106-BO106)))*Parameters!$B$3))^12)*100)</f>
        <v/>
      </c>
      <c r="CH106" s="25">
        <f>IF(AD106=1,0,BV106-(1-(1-(1/(1+EXP(-(BT106-BP106)))*Parameters!$B$3))^12)*100)</f>
        <v/>
      </c>
      <c r="CI106" s="25">
        <f>IF(AD106=1,0,BV106-(1-(1-(1/(1+EXP(-(BT106-BQ106)))*Parameters!$B$3))^12)*100)</f>
        <v/>
      </c>
      <c r="CJ106" s="25">
        <f>IF(AD106=1,0,BV106-(1-(1-(1/(1+EXP(-(BT106-BR106)))*Parameters!$B$3))^12)*100)</f>
        <v/>
      </c>
    </row>
    <row r="107">
      <c r="A107" s="17" t="inlineStr">
        <is>
          <t>GNR_HC_2020</t>
        </is>
      </c>
      <c r="B107" s="17" t="inlineStr">
        <is>
          <t>3617JUB42</t>
        </is>
      </c>
      <c r="C107" s="17" t="inlineStr">
        <is>
          <t>LM</t>
        </is>
      </c>
      <c r="D107" s="17" t="inlineStr">
        <is>
          <t>NORTHMARQ FINANCE, LLC</t>
        </is>
      </c>
      <c r="E107" s="17" t="inlineStr">
        <is>
          <t>3617JUB42_000000007422053</t>
        </is>
      </c>
      <c r="F107" s="17" t="n">
        <v>202603</v>
      </c>
      <c r="G107" s="18" t="n">
        <v>3.37</v>
      </c>
      <c r="H107" s="19" t="n">
        <v>5863187.68</v>
      </c>
      <c r="I107" s="17" t="n">
        <v>420</v>
      </c>
      <c r="J107" s="17" t="n">
        <v>20200310</v>
      </c>
      <c r="K107" s="17" t="n">
        <v>20490901</v>
      </c>
      <c r="L107" s="17" t="n">
        <v>20210801</v>
      </c>
      <c r="M107" s="17" t="n">
        <v>20300801</v>
      </c>
      <c r="N107" s="17" t="n">
        <v>9</v>
      </c>
      <c r="O107" s="17" t="inlineStr">
        <is>
          <t>232/223(f)</t>
        </is>
      </c>
      <c r="P107" s="17" t="inlineStr">
        <is>
          <t>MKT</t>
        </is>
      </c>
      <c r="Q107" s="17" t="inlineStr">
        <is>
          <t>M</t>
        </is>
      </c>
      <c r="R107" s="17" t="n"/>
      <c r="S107" s="17" t="n">
        <v>1</v>
      </c>
      <c r="T107" s="17" t="inlineStr">
        <is>
          <t>IA</t>
        </is>
      </c>
      <c r="U107" s="17" t="n">
        <v>70</v>
      </c>
      <c r="V107" s="17" t="n">
        <v>490.5</v>
      </c>
      <c r="W107" s="17" t="n">
        <v>72</v>
      </c>
      <c r="X107" s="17" t="n">
        <v>2020</v>
      </c>
      <c r="Y107" s="17" t="n">
        <v>52</v>
      </c>
      <c r="Z107" s="17" t="n">
        <v>6</v>
      </c>
      <c r="AA107" s="20">
        <f>IF(ISNUMBER(W107),W107,IFERROR(MAX(0,(VALUE(LEFT(F107,4))-VALUE(LEFT(TEXT(J107,"00000000"),4)))*12+(VALUE(MID(F107,5,2))-VALUE(MID(TEXT(J107,"00000000"),5,2)))),""))</f>
        <v/>
      </c>
      <c r="AB107" s="20">
        <f>IFERROR((VALUE(LEFT(TEXT(K107,"00000000"),4))-VALUE(LEFT(F107,4)))*12+(VALUE(MID(TEXT(K107,"00000000"),5,2))-VALUE(MID(F107,5,2))),"")</f>
        <v/>
      </c>
      <c r="AC107" s="20">
        <f>IF(OR(L107="",NOT(ISNUMBER(L107))),0,MAX(0,MIN(60,(VALUE(LEFT(F107,4))-VALUE(LEFT(TEXT(L107,"00000000"),4)))*12+(VALUE(MID(F107,5,2))-VALUE(MID(TEXT(L107,"00000000"),5,2))))))</f>
        <v/>
      </c>
      <c r="AD107" s="20">
        <f>IF(OR(L107="",NOT(ISNUMBER(L107))),0,IF(VALUE(F107)&lt;VALUE(LEFT(TEXT(L107,"00000000"),6)),1,0))</f>
        <v/>
      </c>
      <c r="AE107" s="20">
        <f>IF(OR(M107="",NOT(ISNUMBER(M107))),0,IF(VALUE(F107)&lt;VALUE(LEFT(TEXT(M107,"00000000"),6)),1,0))</f>
        <v/>
      </c>
      <c r="AF107" s="20">
        <f>IF(AND(AD107=0,AE107=0),1,0)</f>
        <v/>
      </c>
      <c r="AG107" s="20">
        <f>IF(ISNUMBER(X107),X107,IFERROR(VALUE(LEFT(TEXT(J107,"00000000"),4)),""))</f>
        <v/>
      </c>
      <c r="AH107" s="20">
        <f>IFERROR(XLOOKUP(AG107,Vintage_Rates!$A$2:$A$1000,Vintage_Rates!$B$2:$B$1000,""),"")</f>
        <v/>
      </c>
      <c r="AI107" s="20">
        <f>IF(ISNUMBER(Y107),Y107,IFERROR((G107-AH107)*100,""))</f>
        <v/>
      </c>
      <c r="AJ107" s="20">
        <f>IF(ISNUMBER(V107),V107,IFERROR(XLOOKUP(VALUE(F107),PLC_Rates!$A$2:$A$1000,PLC_Rates!$B$2:$B$1000,""),""))</f>
        <v/>
      </c>
      <c r="AK107" s="20">
        <f>IF(ISNUMBER(Z107),Z107,IF(AE107=0,0,MAX(0,MIN(10,((VALUE(LEFT(TEXT(M107,"00000000"),4))-VALUE(LEFT(F107,4)))*12+(VALUE(MID(TEXT(M107,"00000000"),5,2))-VALUE(MID(F107,5,2))))/12))))</f>
        <v/>
      </c>
      <c r="AL107" s="20">
        <f>IFERROR(G107*100-AJ107,"")</f>
        <v/>
      </c>
      <c r="AM107" s="20">
        <f>IFERROR(G107*100-(AJ107+(1+AK107)*12.5),"")</f>
        <v/>
      </c>
      <c r="AN107" s="21">
        <f>IFERROR(MIN(H107/1000000,100),"")</f>
        <v/>
      </c>
      <c r="AO107" s="20">
        <f>IFERROR(INDEX(FHA_Lookup!$B$2:$B$11,MATCH(TRUE,ISNUMBER(SEARCH(FHA_Lookup!$A$2:$A$11,UPPER(SUBSTITUTE(O107," ","")))),0)),"OTHER")</f>
        <v/>
      </c>
      <c r="AP107" s="20">
        <f>IFERROR(INDEX(FHA_Lookup!$C$2:$C$11,MATCH(TRUE,ISNUMBER(SEARCH(FHA_Lookup!$A$2:$A$11,UPPER(SUBSTITUTE(O107," ","")))),0)),"OTHER")</f>
        <v/>
      </c>
      <c r="AQ107" s="20">
        <f>IF(AP107="NC",1,0)</f>
        <v/>
      </c>
      <c r="AR107" s="20">
        <f>IF(UPPER(TRIM(P107))="AFF",1,0)</f>
        <v/>
      </c>
      <c r="AS107" s="20">
        <f>IF(UPPER(TRIM(P107))="BAF",1,0)</f>
        <v/>
      </c>
      <c r="AT107" s="20">
        <f>IF(UPPER(TRIM(P107))="MKT",1,0)</f>
        <v/>
      </c>
      <c r="AU107" s="20">
        <f>IF(AO107="221d4",1,0)</f>
        <v/>
      </c>
      <c r="AV107" s="20">
        <f>IF(AO107="223a7",1,0)</f>
        <v/>
      </c>
      <c r="AW107" s="20">
        <f>IF(AO107="232",1,0)</f>
        <v/>
      </c>
      <c r="AX107" s="20">
        <f>IF(AO107="538",1,0)</f>
        <v/>
      </c>
      <c r="AY107" s="20">
        <f>IF(AO107="241",1,0)</f>
        <v/>
      </c>
      <c r="AZ107" s="20">
        <f>IF(AO107="220",1,0)</f>
        <v/>
      </c>
      <c r="BA107" s="20">
        <f>IF(AO107="OTHER",1,0)</f>
        <v/>
      </c>
      <c r="BB107" s="20">
        <f>IF(UPPER(TRIM(C107))="LM",1,0)</f>
        <v/>
      </c>
      <c r="BC107" s="20">
        <f>IF(UPPER(TRIM(C107))="PN",1,0)</f>
        <v/>
      </c>
      <c r="BD107" s="20">
        <f>IF(UPPER(TRIM(C107))="LS",1,0)</f>
        <v/>
      </c>
      <c r="BE107" s="20">
        <f>IF(UPPER(TRIM(C107))="RX",1,0)</f>
        <v/>
      </c>
      <c r="BF107" s="22">
        <f>IFERROR((Parameters!$C$6*AM107+Parameters!$C$7*MAX(AM107-(-150),0)+Parameters!$C$8*MAX(AM107-(-50),0)+Parameters!$C$9*MAX(AM107-(0),0)+Parameters!$C$10*MAX(AM107-(50),0)+Parameters!$C$11*MAX(AM107-(100),0)+Parameters!$C$12*MAX(AM107-(150),0)+Parameters!$C$13*MAX(AM107-(250),0)),0)</f>
        <v/>
      </c>
      <c r="BG107" s="22">
        <f>IFERROR((Parameters!$C$14*AA107+Parameters!$C$15*MAX(AA107-(12),0)+Parameters!$C$16*MAX(AA107-(36),0)+Parameters!$C$17*MAX(AA107-(60),0)+Parameters!$C$18*MAX(AA107-(84),0)+Parameters!$C$19*MAX(AA107-(120),0)+Parameters!$C$20*MAX(AA107-(180),0)),0)</f>
        <v/>
      </c>
      <c r="BH107" s="22">
        <f>IFERROR((Parameters!$C$21*AK107+Parameters!$C$22*MAX(AK107-(0),0)+Parameters!$C$23*MAX(AK107-(2),0)+Parameters!$C$24*MAX(AK107-(5),0)+Parameters!$C$25*MAX(AK107-(8),0)),0)</f>
        <v/>
      </c>
      <c r="BI107" s="22">
        <f>IFERROR((Parameters!$C$26*AI107+Parameters!$C$27*MAX(AI107-(-100),0)+Parameters!$C$28*MAX(AI107-(-25),0)+Parameters!$C$29*MAX(AI107-(25),0)+Parameters!$C$30*MAX(AI107-(100),0)),0)</f>
        <v/>
      </c>
      <c r="BJ107" s="22">
        <f>IFERROR((Parameters!$C$31*AN107+Parameters!$C$32*MAX(AN107-(2),0)+Parameters!$C$33*MAX(AN107-(10),0)+Parameters!$C$34*MAX(AN107-(25),0)),0)</f>
        <v/>
      </c>
      <c r="BK107" s="22">
        <f>IFERROR((Parameters!$C$35*AB107+Parameters!$C$36*MAX(AB107-(12),0)+Parameters!$C$37*MAX(AB107-(24),0)+Parameters!$C$38*MAX(AB107-(60),0)),0)</f>
        <v/>
      </c>
      <c r="BL107" s="22">
        <f>IFERROR((Parameters!$C$39*AC107+Parameters!$C$40*MAX(AC107-(6),0)+Parameters!$C$41*MAX(AC107-(12),0)+Parameters!$C$42*MAX(AC107-(24),0)),0)</f>
        <v/>
      </c>
      <c r="BM107" s="22">
        <f>IFERROR(Parameters!$C$43*(MAX(AM107,0)*MIN(MAX(AK107,0),10))/100,0)</f>
        <v/>
      </c>
      <c r="BN107" s="22">
        <f>Parameters!$C$44*AE107</f>
        <v/>
      </c>
      <c r="BO107" s="22">
        <f>Parameters!$C$45*AU107 + Parameters!$C$46*AV107 + Parameters!$C$47*AW107 + Parameters!$C$48*AX107 + Parameters!$C$49*AY107 + Parameters!$C$50*AZ107 + Parameters!$C$51*BA107</f>
        <v/>
      </c>
      <c r="BP107" s="22">
        <f>Parameters!$C$52*AQ107</f>
        <v/>
      </c>
      <c r="BQ107" s="22">
        <f>Parameters!$C$53*AR107+Parameters!$C$54*AS107+Parameters!$C$55*AT107</f>
        <v/>
      </c>
      <c r="BR107" s="22">
        <f>Parameters!$C$56*BB107+Parameters!$C$57*BC107+Parameters!$C$58*BD107+Parameters!$C$59*BE107</f>
        <v/>
      </c>
      <c r="BS107" s="23">
        <f>Parameters!$B$2</f>
        <v/>
      </c>
      <c r="BT107" s="23">
        <f>BS107+BF107 + BG107 + BH107 + BI107 + BJ107 + BK107 + BL107 + BM107 + BN107 + BO107 + BP107 + BQ107 + BR107</f>
        <v/>
      </c>
      <c r="BU107" s="24">
        <f>IF(AD107=1,0,1/(1+EXP(-BT107))*Parameters!$B$3)</f>
        <v/>
      </c>
      <c r="BV107" s="25">
        <f>(1-(1-BU107)^12)*100</f>
        <v/>
      </c>
      <c r="BW107" s="25">
        <f>IF(AD107=1,0,(1-(1-1/(1+EXP(-Parameters!$B$2)))^12)*100)</f>
        <v/>
      </c>
      <c r="BX107" s="25">
        <f>IF(AD107=1,0,BV107-(1-(1-(1/(1+EXP(-(BT107-BF107)))*Parameters!$B$3))^12)*100)</f>
        <v/>
      </c>
      <c r="BY107" s="25">
        <f>IF(AD107=1,0,BV107-(1-(1-(1/(1+EXP(-(BT107-BG107)))*Parameters!$B$3))^12)*100)</f>
        <v/>
      </c>
      <c r="BZ107" s="25">
        <f>IF(AD107=1,0,BV107-(1-(1-(1/(1+EXP(-(BT107-BH107)))*Parameters!$B$3))^12)*100)</f>
        <v/>
      </c>
      <c r="CA107" s="25">
        <f>IF(AD107=1,0,BV107-(1-(1-(1/(1+EXP(-(BT107-BI107)))*Parameters!$B$3))^12)*100)</f>
        <v/>
      </c>
      <c r="CB107" s="25">
        <f>IF(AD107=1,0,BV107-(1-(1-(1/(1+EXP(-(BT107-BJ107)))*Parameters!$B$3))^12)*100)</f>
        <v/>
      </c>
      <c r="CC107" s="25">
        <f>IF(AD107=1,0,BV107-(1-(1-(1/(1+EXP(-(BT107-BK107)))*Parameters!$B$3))^12)*100)</f>
        <v/>
      </c>
      <c r="CD107" s="25">
        <f>IF(AD107=1,0,BV107-(1-(1-(1/(1+EXP(-(BT107-BL107)))*Parameters!$B$3))^12)*100)</f>
        <v/>
      </c>
      <c r="CE107" s="25">
        <f>IF(AD107=1,0,BV107-(1-(1-(1/(1+EXP(-(BT107-BM107)))*Parameters!$B$3))^12)*100)</f>
        <v/>
      </c>
      <c r="CF107" s="25">
        <f>IF(AD107=1,0,BV107-(1-(1-(1/(1+EXP(-(BT107-BN107)))*Parameters!$B$3))^12)*100)</f>
        <v/>
      </c>
      <c r="CG107" s="25">
        <f>IF(AD107=1,0,BV107-(1-(1-(1/(1+EXP(-(BT107-BO107)))*Parameters!$B$3))^12)*100)</f>
        <v/>
      </c>
      <c r="CH107" s="25">
        <f>IF(AD107=1,0,BV107-(1-(1-(1/(1+EXP(-(BT107-BP107)))*Parameters!$B$3))^12)*100)</f>
        <v/>
      </c>
      <c r="CI107" s="25">
        <f>IF(AD107=1,0,BV107-(1-(1-(1/(1+EXP(-(BT107-BQ107)))*Parameters!$B$3))^12)*100)</f>
        <v/>
      </c>
      <c r="CJ107" s="25">
        <f>IF(AD107=1,0,BV107-(1-(1-(1/(1+EXP(-(BT107-BR107)))*Parameters!$B$3))^12)*100)</f>
        <v/>
      </c>
    </row>
    <row r="108">
      <c r="A108" s="17" t="inlineStr">
        <is>
          <t>GNR_HC_2020</t>
        </is>
      </c>
      <c r="B108" s="17" t="inlineStr">
        <is>
          <t>3617M7DV7</t>
        </is>
      </c>
      <c r="C108" s="17" t="inlineStr">
        <is>
          <t>PN</t>
        </is>
      </c>
      <c r="D108" s="17" t="inlineStr">
        <is>
          <t>CAPITAL FUNDING,LLC.</t>
        </is>
      </c>
      <c r="E108" s="17" t="inlineStr">
        <is>
          <t>3617M7DV7_000000004522061</t>
        </is>
      </c>
      <c r="F108" s="17" t="n">
        <v>202603</v>
      </c>
      <c r="G108" s="18" t="n">
        <v>3.2</v>
      </c>
      <c r="H108" s="19" t="n">
        <v>12981826.33</v>
      </c>
      <c r="I108" s="17" t="n">
        <v>360</v>
      </c>
      <c r="J108" s="17" t="n">
        <v>20200415</v>
      </c>
      <c r="K108" s="17" t="n">
        <v>20500501</v>
      </c>
      <c r="L108" s="17" t="n"/>
      <c r="M108" s="17" t="n">
        <v>20300601</v>
      </c>
      <c r="N108" s="17" t="n">
        <v>10</v>
      </c>
      <c r="O108" s="17" t="inlineStr">
        <is>
          <t>232/223(F)</t>
        </is>
      </c>
      <c r="P108" s="17" t="inlineStr">
        <is>
          <t>MKT</t>
        </is>
      </c>
      <c r="Q108" s="17" t="n"/>
      <c r="R108" s="17" t="n"/>
      <c r="S108" s="17" t="n"/>
      <c r="T108" s="17" t="inlineStr">
        <is>
          <t>WV</t>
        </is>
      </c>
      <c r="U108" s="17" t="n">
        <v>120</v>
      </c>
      <c r="V108" s="17" t="n">
        <v>490.5</v>
      </c>
      <c r="W108" s="17" t="n">
        <v>71</v>
      </c>
      <c r="X108" s="17" t="n">
        <v>2020</v>
      </c>
      <c r="Y108" s="17" t="n">
        <v>35</v>
      </c>
      <c r="Z108" s="17" t="n">
        <v>5</v>
      </c>
      <c r="AA108" s="20">
        <f>IF(ISNUMBER(W108),W108,IFERROR(MAX(0,(VALUE(LEFT(F108,4))-VALUE(LEFT(TEXT(J108,"00000000"),4)))*12+(VALUE(MID(F108,5,2))-VALUE(MID(TEXT(J108,"00000000"),5,2)))),""))</f>
        <v/>
      </c>
      <c r="AB108" s="20">
        <f>IFERROR((VALUE(LEFT(TEXT(K108,"00000000"),4))-VALUE(LEFT(F108,4)))*12+(VALUE(MID(TEXT(K108,"00000000"),5,2))-VALUE(MID(F108,5,2))),"")</f>
        <v/>
      </c>
      <c r="AC108" s="20">
        <f>IF(OR(L108="",NOT(ISNUMBER(L108))),0,MAX(0,MIN(60,(VALUE(LEFT(F108,4))-VALUE(LEFT(TEXT(L108,"00000000"),4)))*12+(VALUE(MID(F108,5,2))-VALUE(MID(TEXT(L108,"00000000"),5,2))))))</f>
        <v/>
      </c>
      <c r="AD108" s="20">
        <f>IF(OR(L108="",NOT(ISNUMBER(L108))),0,IF(VALUE(F108)&lt;VALUE(LEFT(TEXT(L108,"00000000"),6)),1,0))</f>
        <v/>
      </c>
      <c r="AE108" s="20">
        <f>IF(OR(M108="",NOT(ISNUMBER(M108))),0,IF(VALUE(F108)&lt;VALUE(LEFT(TEXT(M108,"00000000"),6)),1,0))</f>
        <v/>
      </c>
      <c r="AF108" s="20">
        <f>IF(AND(AD108=0,AE108=0),1,0)</f>
        <v/>
      </c>
      <c r="AG108" s="20">
        <f>IF(ISNUMBER(X108),X108,IFERROR(VALUE(LEFT(TEXT(J108,"00000000"),4)),""))</f>
        <v/>
      </c>
      <c r="AH108" s="20">
        <f>IFERROR(XLOOKUP(AG108,Vintage_Rates!$A$2:$A$1000,Vintage_Rates!$B$2:$B$1000,""),"")</f>
        <v/>
      </c>
      <c r="AI108" s="20">
        <f>IF(ISNUMBER(Y108),Y108,IFERROR((G108-AH108)*100,""))</f>
        <v/>
      </c>
      <c r="AJ108" s="20">
        <f>IF(ISNUMBER(V108),V108,IFERROR(XLOOKUP(VALUE(F108),PLC_Rates!$A$2:$A$1000,PLC_Rates!$B$2:$B$1000,""),""))</f>
        <v/>
      </c>
      <c r="AK108" s="20">
        <f>IF(ISNUMBER(Z108),Z108,IF(AE108=0,0,MAX(0,MIN(10,((VALUE(LEFT(TEXT(M108,"00000000"),4))-VALUE(LEFT(F108,4)))*12+(VALUE(MID(TEXT(M108,"00000000"),5,2))-VALUE(MID(F108,5,2))))/12))))</f>
        <v/>
      </c>
      <c r="AL108" s="20">
        <f>IFERROR(G108*100-AJ108,"")</f>
        <v/>
      </c>
      <c r="AM108" s="20">
        <f>IFERROR(G108*100-(AJ108+(1+AK108)*12.5),"")</f>
        <v/>
      </c>
      <c r="AN108" s="21">
        <f>IFERROR(MIN(H108/1000000,100),"")</f>
        <v/>
      </c>
      <c r="AO108" s="20">
        <f>IFERROR(INDEX(FHA_Lookup!$B$2:$B$11,MATCH(TRUE,ISNUMBER(SEARCH(FHA_Lookup!$A$2:$A$11,UPPER(SUBSTITUTE(O108," ","")))),0)),"OTHER")</f>
        <v/>
      </c>
      <c r="AP108" s="20">
        <f>IFERROR(INDEX(FHA_Lookup!$C$2:$C$11,MATCH(TRUE,ISNUMBER(SEARCH(FHA_Lookup!$A$2:$A$11,UPPER(SUBSTITUTE(O108," ","")))),0)),"OTHER")</f>
        <v/>
      </c>
      <c r="AQ108" s="20">
        <f>IF(AP108="NC",1,0)</f>
        <v/>
      </c>
      <c r="AR108" s="20">
        <f>IF(UPPER(TRIM(P108))="AFF",1,0)</f>
        <v/>
      </c>
      <c r="AS108" s="20">
        <f>IF(UPPER(TRIM(P108))="BAF",1,0)</f>
        <v/>
      </c>
      <c r="AT108" s="20">
        <f>IF(UPPER(TRIM(P108))="MKT",1,0)</f>
        <v/>
      </c>
      <c r="AU108" s="20">
        <f>IF(AO108="221d4",1,0)</f>
        <v/>
      </c>
      <c r="AV108" s="20">
        <f>IF(AO108="223a7",1,0)</f>
        <v/>
      </c>
      <c r="AW108" s="20">
        <f>IF(AO108="232",1,0)</f>
        <v/>
      </c>
      <c r="AX108" s="20">
        <f>IF(AO108="538",1,0)</f>
        <v/>
      </c>
      <c r="AY108" s="20">
        <f>IF(AO108="241",1,0)</f>
        <v/>
      </c>
      <c r="AZ108" s="20">
        <f>IF(AO108="220",1,0)</f>
        <v/>
      </c>
      <c r="BA108" s="20">
        <f>IF(AO108="OTHER",1,0)</f>
        <v/>
      </c>
      <c r="BB108" s="20">
        <f>IF(UPPER(TRIM(C108))="LM",1,0)</f>
        <v/>
      </c>
      <c r="BC108" s="20">
        <f>IF(UPPER(TRIM(C108))="PN",1,0)</f>
        <v/>
      </c>
      <c r="BD108" s="20">
        <f>IF(UPPER(TRIM(C108))="LS",1,0)</f>
        <v/>
      </c>
      <c r="BE108" s="20">
        <f>IF(UPPER(TRIM(C108))="RX",1,0)</f>
        <v/>
      </c>
      <c r="BF108" s="22">
        <f>IFERROR((Parameters!$C$6*AM108+Parameters!$C$7*MAX(AM108-(-150),0)+Parameters!$C$8*MAX(AM108-(-50),0)+Parameters!$C$9*MAX(AM108-(0),0)+Parameters!$C$10*MAX(AM108-(50),0)+Parameters!$C$11*MAX(AM108-(100),0)+Parameters!$C$12*MAX(AM108-(150),0)+Parameters!$C$13*MAX(AM108-(250),0)),0)</f>
        <v/>
      </c>
      <c r="BG108" s="22">
        <f>IFERROR((Parameters!$C$14*AA108+Parameters!$C$15*MAX(AA108-(12),0)+Parameters!$C$16*MAX(AA108-(36),0)+Parameters!$C$17*MAX(AA108-(60),0)+Parameters!$C$18*MAX(AA108-(84),0)+Parameters!$C$19*MAX(AA108-(120),0)+Parameters!$C$20*MAX(AA108-(180),0)),0)</f>
        <v/>
      </c>
      <c r="BH108" s="22">
        <f>IFERROR((Parameters!$C$21*AK108+Parameters!$C$22*MAX(AK108-(0),0)+Parameters!$C$23*MAX(AK108-(2),0)+Parameters!$C$24*MAX(AK108-(5),0)+Parameters!$C$25*MAX(AK108-(8),0)),0)</f>
        <v/>
      </c>
      <c r="BI108" s="22">
        <f>IFERROR((Parameters!$C$26*AI108+Parameters!$C$27*MAX(AI108-(-100),0)+Parameters!$C$28*MAX(AI108-(-25),0)+Parameters!$C$29*MAX(AI108-(25),0)+Parameters!$C$30*MAX(AI108-(100),0)),0)</f>
        <v/>
      </c>
      <c r="BJ108" s="22">
        <f>IFERROR((Parameters!$C$31*AN108+Parameters!$C$32*MAX(AN108-(2),0)+Parameters!$C$33*MAX(AN108-(10),0)+Parameters!$C$34*MAX(AN108-(25),0)),0)</f>
        <v/>
      </c>
      <c r="BK108" s="22">
        <f>IFERROR((Parameters!$C$35*AB108+Parameters!$C$36*MAX(AB108-(12),0)+Parameters!$C$37*MAX(AB108-(24),0)+Parameters!$C$38*MAX(AB108-(60),0)),0)</f>
        <v/>
      </c>
      <c r="BL108" s="22">
        <f>IFERROR((Parameters!$C$39*AC108+Parameters!$C$40*MAX(AC108-(6),0)+Parameters!$C$41*MAX(AC108-(12),0)+Parameters!$C$42*MAX(AC108-(24),0)),0)</f>
        <v/>
      </c>
      <c r="BM108" s="22">
        <f>IFERROR(Parameters!$C$43*(MAX(AM108,0)*MIN(MAX(AK108,0),10))/100,0)</f>
        <v/>
      </c>
      <c r="BN108" s="22">
        <f>Parameters!$C$44*AE108</f>
        <v/>
      </c>
      <c r="BO108" s="22">
        <f>Parameters!$C$45*AU108 + Parameters!$C$46*AV108 + Parameters!$C$47*AW108 + Parameters!$C$48*AX108 + Parameters!$C$49*AY108 + Parameters!$C$50*AZ108 + Parameters!$C$51*BA108</f>
        <v/>
      </c>
      <c r="BP108" s="22">
        <f>Parameters!$C$52*AQ108</f>
        <v/>
      </c>
      <c r="BQ108" s="22">
        <f>Parameters!$C$53*AR108+Parameters!$C$54*AS108+Parameters!$C$55*AT108</f>
        <v/>
      </c>
      <c r="BR108" s="22">
        <f>Parameters!$C$56*BB108+Parameters!$C$57*BC108+Parameters!$C$58*BD108+Parameters!$C$59*BE108</f>
        <v/>
      </c>
      <c r="BS108" s="23">
        <f>Parameters!$B$2</f>
        <v/>
      </c>
      <c r="BT108" s="23">
        <f>BS108+BF108 + BG108 + BH108 + BI108 + BJ108 + BK108 + BL108 + BM108 + BN108 + BO108 + BP108 + BQ108 + BR108</f>
        <v/>
      </c>
      <c r="BU108" s="24">
        <f>IF(AD108=1,0,1/(1+EXP(-BT108))*Parameters!$B$3)</f>
        <v/>
      </c>
      <c r="BV108" s="25">
        <f>(1-(1-BU108)^12)*100</f>
        <v/>
      </c>
      <c r="BW108" s="25">
        <f>IF(AD108=1,0,(1-(1-1/(1+EXP(-Parameters!$B$2)))^12)*100)</f>
        <v/>
      </c>
      <c r="BX108" s="25">
        <f>IF(AD108=1,0,BV108-(1-(1-(1/(1+EXP(-(BT108-BF108)))*Parameters!$B$3))^12)*100)</f>
        <v/>
      </c>
      <c r="BY108" s="25">
        <f>IF(AD108=1,0,BV108-(1-(1-(1/(1+EXP(-(BT108-BG108)))*Parameters!$B$3))^12)*100)</f>
        <v/>
      </c>
      <c r="BZ108" s="25">
        <f>IF(AD108=1,0,BV108-(1-(1-(1/(1+EXP(-(BT108-BH108)))*Parameters!$B$3))^12)*100)</f>
        <v/>
      </c>
      <c r="CA108" s="25">
        <f>IF(AD108=1,0,BV108-(1-(1-(1/(1+EXP(-(BT108-BI108)))*Parameters!$B$3))^12)*100)</f>
        <v/>
      </c>
      <c r="CB108" s="25">
        <f>IF(AD108=1,0,BV108-(1-(1-(1/(1+EXP(-(BT108-BJ108)))*Parameters!$B$3))^12)*100)</f>
        <v/>
      </c>
      <c r="CC108" s="25">
        <f>IF(AD108=1,0,BV108-(1-(1-(1/(1+EXP(-(BT108-BK108)))*Parameters!$B$3))^12)*100)</f>
        <v/>
      </c>
      <c r="CD108" s="25">
        <f>IF(AD108=1,0,BV108-(1-(1-(1/(1+EXP(-(BT108-BL108)))*Parameters!$B$3))^12)*100)</f>
        <v/>
      </c>
      <c r="CE108" s="25">
        <f>IF(AD108=1,0,BV108-(1-(1-(1/(1+EXP(-(BT108-BM108)))*Parameters!$B$3))^12)*100)</f>
        <v/>
      </c>
      <c r="CF108" s="25">
        <f>IF(AD108=1,0,BV108-(1-(1-(1/(1+EXP(-(BT108-BN108)))*Parameters!$B$3))^12)*100)</f>
        <v/>
      </c>
      <c r="CG108" s="25">
        <f>IF(AD108=1,0,BV108-(1-(1-(1/(1+EXP(-(BT108-BO108)))*Parameters!$B$3))^12)*100)</f>
        <v/>
      </c>
      <c r="CH108" s="25">
        <f>IF(AD108=1,0,BV108-(1-(1-(1/(1+EXP(-(BT108-BP108)))*Parameters!$B$3))^12)*100)</f>
        <v/>
      </c>
      <c r="CI108" s="25">
        <f>IF(AD108=1,0,BV108-(1-(1-(1/(1+EXP(-(BT108-BQ108)))*Parameters!$B$3))^12)*100)</f>
        <v/>
      </c>
      <c r="CJ108" s="25">
        <f>IF(AD108=1,0,BV108-(1-(1-(1/(1+EXP(-(BT108-BR108)))*Parameters!$B$3))^12)*100)</f>
        <v/>
      </c>
    </row>
    <row r="109">
      <c r="A109" s="17" t="inlineStr">
        <is>
          <t>GNR_HC_2020</t>
        </is>
      </c>
      <c r="B109" s="17" t="inlineStr">
        <is>
          <t>3617NMSV7</t>
        </is>
      </c>
      <c r="C109" s="17" t="inlineStr">
        <is>
          <t>PN</t>
        </is>
      </c>
      <c r="D109" s="17" t="inlineStr">
        <is>
          <t>GREYSTONE FUNDING COMPANY LLC</t>
        </is>
      </c>
      <c r="E109" s="17" t="inlineStr">
        <is>
          <t>3617NMSV7_000000002322211</t>
        </is>
      </c>
      <c r="F109" s="17" t="n">
        <v>202603</v>
      </c>
      <c r="G109" s="18" t="n">
        <v>2.8</v>
      </c>
      <c r="H109" s="19" t="n">
        <v>9743148.140000001</v>
      </c>
      <c r="I109" s="17" t="n">
        <v>420</v>
      </c>
      <c r="J109" s="17" t="n">
        <v>20200601</v>
      </c>
      <c r="K109" s="17" t="n">
        <v>20550701</v>
      </c>
      <c r="L109" s="17" t="n"/>
      <c r="M109" s="17" t="n">
        <v>20300801</v>
      </c>
      <c r="N109" s="17" t="n">
        <v>10</v>
      </c>
      <c r="O109" s="17" t="inlineStr">
        <is>
          <t>223(A)(7)/232/223(F)</t>
        </is>
      </c>
      <c r="P109" s="17" t="inlineStr">
        <is>
          <t>MKT</t>
        </is>
      </c>
      <c r="Q109" s="17" t="n"/>
      <c r="R109" s="17" t="n"/>
      <c r="S109" s="17" t="n"/>
      <c r="T109" s="17" t="inlineStr">
        <is>
          <t>MA</t>
        </is>
      </c>
      <c r="U109" s="17" t="n">
        <v>257</v>
      </c>
      <c r="V109" s="17" t="n">
        <v>490.5</v>
      </c>
      <c r="W109" s="17" t="n">
        <v>69</v>
      </c>
      <c r="X109" s="17" t="n">
        <v>2020</v>
      </c>
      <c r="Y109" s="17" t="n">
        <v>-5</v>
      </c>
      <c r="Z109" s="17" t="n">
        <v>5</v>
      </c>
      <c r="AA109" s="20">
        <f>IF(ISNUMBER(W109),W109,IFERROR(MAX(0,(VALUE(LEFT(F109,4))-VALUE(LEFT(TEXT(J109,"00000000"),4)))*12+(VALUE(MID(F109,5,2))-VALUE(MID(TEXT(J109,"00000000"),5,2)))),""))</f>
        <v/>
      </c>
      <c r="AB109" s="20">
        <f>IFERROR((VALUE(LEFT(TEXT(K109,"00000000"),4))-VALUE(LEFT(F109,4)))*12+(VALUE(MID(TEXT(K109,"00000000"),5,2))-VALUE(MID(F109,5,2))),"")</f>
        <v/>
      </c>
      <c r="AC109" s="20">
        <f>IF(OR(L109="",NOT(ISNUMBER(L109))),0,MAX(0,MIN(60,(VALUE(LEFT(F109,4))-VALUE(LEFT(TEXT(L109,"00000000"),4)))*12+(VALUE(MID(F109,5,2))-VALUE(MID(TEXT(L109,"00000000"),5,2))))))</f>
        <v/>
      </c>
      <c r="AD109" s="20">
        <f>IF(OR(L109="",NOT(ISNUMBER(L109))),0,IF(VALUE(F109)&lt;VALUE(LEFT(TEXT(L109,"00000000"),6)),1,0))</f>
        <v/>
      </c>
      <c r="AE109" s="20">
        <f>IF(OR(M109="",NOT(ISNUMBER(M109))),0,IF(VALUE(F109)&lt;VALUE(LEFT(TEXT(M109,"00000000"),6)),1,0))</f>
        <v/>
      </c>
      <c r="AF109" s="20">
        <f>IF(AND(AD109=0,AE109=0),1,0)</f>
        <v/>
      </c>
      <c r="AG109" s="20">
        <f>IF(ISNUMBER(X109),X109,IFERROR(VALUE(LEFT(TEXT(J109,"00000000"),4)),""))</f>
        <v/>
      </c>
      <c r="AH109" s="20">
        <f>IFERROR(XLOOKUP(AG109,Vintage_Rates!$A$2:$A$1000,Vintage_Rates!$B$2:$B$1000,""),"")</f>
        <v/>
      </c>
      <c r="AI109" s="20">
        <f>IF(ISNUMBER(Y109),Y109,IFERROR((G109-AH109)*100,""))</f>
        <v/>
      </c>
      <c r="AJ109" s="20">
        <f>IF(ISNUMBER(V109),V109,IFERROR(XLOOKUP(VALUE(F109),PLC_Rates!$A$2:$A$1000,PLC_Rates!$B$2:$B$1000,""),""))</f>
        <v/>
      </c>
      <c r="AK109" s="20">
        <f>IF(ISNUMBER(Z109),Z109,IF(AE109=0,0,MAX(0,MIN(10,((VALUE(LEFT(TEXT(M109,"00000000"),4))-VALUE(LEFT(F109,4)))*12+(VALUE(MID(TEXT(M109,"00000000"),5,2))-VALUE(MID(F109,5,2))))/12))))</f>
        <v/>
      </c>
      <c r="AL109" s="20">
        <f>IFERROR(G109*100-AJ109,"")</f>
        <v/>
      </c>
      <c r="AM109" s="20">
        <f>IFERROR(G109*100-(AJ109+(1+AK109)*12.5),"")</f>
        <v/>
      </c>
      <c r="AN109" s="21">
        <f>IFERROR(MIN(H109/1000000,100),"")</f>
        <v/>
      </c>
      <c r="AO109" s="20">
        <f>IFERROR(INDEX(FHA_Lookup!$B$2:$B$11,MATCH(TRUE,ISNUMBER(SEARCH(FHA_Lookup!$A$2:$A$11,UPPER(SUBSTITUTE(O109," ","")))),0)),"OTHER")</f>
        <v/>
      </c>
      <c r="AP109" s="20">
        <f>IFERROR(INDEX(FHA_Lookup!$C$2:$C$11,MATCH(TRUE,ISNUMBER(SEARCH(FHA_Lookup!$A$2:$A$11,UPPER(SUBSTITUTE(O109," ","")))),0)),"OTHER")</f>
        <v/>
      </c>
      <c r="AQ109" s="20">
        <f>IF(AP109="NC",1,0)</f>
        <v/>
      </c>
      <c r="AR109" s="20">
        <f>IF(UPPER(TRIM(P109))="AFF",1,0)</f>
        <v/>
      </c>
      <c r="AS109" s="20">
        <f>IF(UPPER(TRIM(P109))="BAF",1,0)</f>
        <v/>
      </c>
      <c r="AT109" s="20">
        <f>IF(UPPER(TRIM(P109))="MKT",1,0)</f>
        <v/>
      </c>
      <c r="AU109" s="20">
        <f>IF(AO109="221d4",1,0)</f>
        <v/>
      </c>
      <c r="AV109" s="20">
        <f>IF(AO109="223a7",1,0)</f>
        <v/>
      </c>
      <c r="AW109" s="20">
        <f>IF(AO109="232",1,0)</f>
        <v/>
      </c>
      <c r="AX109" s="20">
        <f>IF(AO109="538",1,0)</f>
        <v/>
      </c>
      <c r="AY109" s="20">
        <f>IF(AO109="241",1,0)</f>
        <v/>
      </c>
      <c r="AZ109" s="20">
        <f>IF(AO109="220",1,0)</f>
        <v/>
      </c>
      <c r="BA109" s="20">
        <f>IF(AO109="OTHER",1,0)</f>
        <v/>
      </c>
      <c r="BB109" s="20">
        <f>IF(UPPER(TRIM(C109))="LM",1,0)</f>
        <v/>
      </c>
      <c r="BC109" s="20">
        <f>IF(UPPER(TRIM(C109))="PN",1,0)</f>
        <v/>
      </c>
      <c r="BD109" s="20">
        <f>IF(UPPER(TRIM(C109))="LS",1,0)</f>
        <v/>
      </c>
      <c r="BE109" s="20">
        <f>IF(UPPER(TRIM(C109))="RX",1,0)</f>
        <v/>
      </c>
      <c r="BF109" s="22">
        <f>IFERROR((Parameters!$C$6*AM109+Parameters!$C$7*MAX(AM109-(-150),0)+Parameters!$C$8*MAX(AM109-(-50),0)+Parameters!$C$9*MAX(AM109-(0),0)+Parameters!$C$10*MAX(AM109-(50),0)+Parameters!$C$11*MAX(AM109-(100),0)+Parameters!$C$12*MAX(AM109-(150),0)+Parameters!$C$13*MAX(AM109-(250),0)),0)</f>
        <v/>
      </c>
      <c r="BG109" s="22">
        <f>IFERROR((Parameters!$C$14*AA109+Parameters!$C$15*MAX(AA109-(12),0)+Parameters!$C$16*MAX(AA109-(36),0)+Parameters!$C$17*MAX(AA109-(60),0)+Parameters!$C$18*MAX(AA109-(84),0)+Parameters!$C$19*MAX(AA109-(120),0)+Parameters!$C$20*MAX(AA109-(180),0)),0)</f>
        <v/>
      </c>
      <c r="BH109" s="22">
        <f>IFERROR((Parameters!$C$21*AK109+Parameters!$C$22*MAX(AK109-(0),0)+Parameters!$C$23*MAX(AK109-(2),0)+Parameters!$C$24*MAX(AK109-(5),0)+Parameters!$C$25*MAX(AK109-(8),0)),0)</f>
        <v/>
      </c>
      <c r="BI109" s="22">
        <f>IFERROR((Parameters!$C$26*AI109+Parameters!$C$27*MAX(AI109-(-100),0)+Parameters!$C$28*MAX(AI109-(-25),0)+Parameters!$C$29*MAX(AI109-(25),0)+Parameters!$C$30*MAX(AI109-(100),0)),0)</f>
        <v/>
      </c>
      <c r="BJ109" s="22">
        <f>IFERROR((Parameters!$C$31*AN109+Parameters!$C$32*MAX(AN109-(2),0)+Parameters!$C$33*MAX(AN109-(10),0)+Parameters!$C$34*MAX(AN109-(25),0)),0)</f>
        <v/>
      </c>
      <c r="BK109" s="22">
        <f>IFERROR((Parameters!$C$35*AB109+Parameters!$C$36*MAX(AB109-(12),0)+Parameters!$C$37*MAX(AB109-(24),0)+Parameters!$C$38*MAX(AB109-(60),0)),0)</f>
        <v/>
      </c>
      <c r="BL109" s="22">
        <f>IFERROR((Parameters!$C$39*AC109+Parameters!$C$40*MAX(AC109-(6),0)+Parameters!$C$41*MAX(AC109-(12),0)+Parameters!$C$42*MAX(AC109-(24),0)),0)</f>
        <v/>
      </c>
      <c r="BM109" s="22">
        <f>IFERROR(Parameters!$C$43*(MAX(AM109,0)*MIN(MAX(AK109,0),10))/100,0)</f>
        <v/>
      </c>
      <c r="BN109" s="22">
        <f>Parameters!$C$44*AE109</f>
        <v/>
      </c>
      <c r="BO109" s="22">
        <f>Parameters!$C$45*AU109 + Parameters!$C$46*AV109 + Parameters!$C$47*AW109 + Parameters!$C$48*AX109 + Parameters!$C$49*AY109 + Parameters!$C$50*AZ109 + Parameters!$C$51*BA109</f>
        <v/>
      </c>
      <c r="BP109" s="22">
        <f>Parameters!$C$52*AQ109</f>
        <v/>
      </c>
      <c r="BQ109" s="22">
        <f>Parameters!$C$53*AR109+Parameters!$C$54*AS109+Parameters!$C$55*AT109</f>
        <v/>
      </c>
      <c r="BR109" s="22">
        <f>Parameters!$C$56*BB109+Parameters!$C$57*BC109+Parameters!$C$58*BD109+Parameters!$C$59*BE109</f>
        <v/>
      </c>
      <c r="BS109" s="23">
        <f>Parameters!$B$2</f>
        <v/>
      </c>
      <c r="BT109" s="23">
        <f>BS109+BF109 + BG109 + BH109 + BI109 + BJ109 + BK109 + BL109 + BM109 + BN109 + BO109 + BP109 + BQ109 + BR109</f>
        <v/>
      </c>
      <c r="BU109" s="24">
        <f>IF(AD109=1,0,1/(1+EXP(-BT109))*Parameters!$B$3)</f>
        <v/>
      </c>
      <c r="BV109" s="25">
        <f>(1-(1-BU109)^12)*100</f>
        <v/>
      </c>
      <c r="BW109" s="25">
        <f>IF(AD109=1,0,(1-(1-1/(1+EXP(-Parameters!$B$2)))^12)*100)</f>
        <v/>
      </c>
      <c r="BX109" s="25">
        <f>IF(AD109=1,0,BV109-(1-(1-(1/(1+EXP(-(BT109-BF109)))*Parameters!$B$3))^12)*100)</f>
        <v/>
      </c>
      <c r="BY109" s="25">
        <f>IF(AD109=1,0,BV109-(1-(1-(1/(1+EXP(-(BT109-BG109)))*Parameters!$B$3))^12)*100)</f>
        <v/>
      </c>
      <c r="BZ109" s="25">
        <f>IF(AD109=1,0,BV109-(1-(1-(1/(1+EXP(-(BT109-BH109)))*Parameters!$B$3))^12)*100)</f>
        <v/>
      </c>
      <c r="CA109" s="25">
        <f>IF(AD109=1,0,BV109-(1-(1-(1/(1+EXP(-(BT109-BI109)))*Parameters!$B$3))^12)*100)</f>
        <v/>
      </c>
      <c r="CB109" s="25">
        <f>IF(AD109=1,0,BV109-(1-(1-(1/(1+EXP(-(BT109-BJ109)))*Parameters!$B$3))^12)*100)</f>
        <v/>
      </c>
      <c r="CC109" s="25">
        <f>IF(AD109=1,0,BV109-(1-(1-(1/(1+EXP(-(BT109-BK109)))*Parameters!$B$3))^12)*100)</f>
        <v/>
      </c>
      <c r="CD109" s="25">
        <f>IF(AD109=1,0,BV109-(1-(1-(1/(1+EXP(-(BT109-BL109)))*Parameters!$B$3))^12)*100)</f>
        <v/>
      </c>
      <c r="CE109" s="25">
        <f>IF(AD109=1,0,BV109-(1-(1-(1/(1+EXP(-(BT109-BM109)))*Parameters!$B$3))^12)*100)</f>
        <v/>
      </c>
      <c r="CF109" s="25">
        <f>IF(AD109=1,0,BV109-(1-(1-(1/(1+EXP(-(BT109-BN109)))*Parameters!$B$3))^12)*100)</f>
        <v/>
      </c>
      <c r="CG109" s="25">
        <f>IF(AD109=1,0,BV109-(1-(1-(1/(1+EXP(-(BT109-BO109)))*Parameters!$B$3))^12)*100)</f>
        <v/>
      </c>
      <c r="CH109" s="25">
        <f>IF(AD109=1,0,BV109-(1-(1-(1/(1+EXP(-(BT109-BP109)))*Parameters!$B$3))^12)*100)</f>
        <v/>
      </c>
      <c r="CI109" s="25">
        <f>IF(AD109=1,0,BV109-(1-(1-(1/(1+EXP(-(BT109-BQ109)))*Parameters!$B$3))^12)*100)</f>
        <v/>
      </c>
      <c r="CJ109" s="25">
        <f>IF(AD109=1,0,BV109-(1-(1-(1/(1+EXP(-(BT109-BR109)))*Parameters!$B$3))^12)*100)</f>
        <v/>
      </c>
    </row>
    <row r="110">
      <c r="A110" s="17" t="inlineStr">
        <is>
          <t>GNR_HC_2020</t>
        </is>
      </c>
      <c r="B110" s="17" t="inlineStr">
        <is>
          <t>3617V2WX3</t>
        </is>
      </c>
      <c r="C110" s="17" t="inlineStr">
        <is>
          <t>LM</t>
        </is>
      </c>
      <c r="D110" s="17" t="inlineStr">
        <is>
          <t>GREYSTONE FUNDING COMPANY LLC</t>
        </is>
      </c>
      <c r="E110" s="17" t="inlineStr">
        <is>
          <t>3617V2WX3_000000001222344</t>
        </is>
      </c>
      <c r="F110" s="17" t="n">
        <v>202603</v>
      </c>
      <c r="G110" s="18" t="n">
        <v>2.95</v>
      </c>
      <c r="H110" s="19" t="n">
        <v>14554030.6</v>
      </c>
      <c r="I110" s="17" t="n">
        <v>322</v>
      </c>
      <c r="J110" s="17" t="n">
        <v>20180124</v>
      </c>
      <c r="K110" s="17" t="n">
        <v>20480201</v>
      </c>
      <c r="L110" s="17" t="n"/>
      <c r="M110" s="17" t="n">
        <v>20310501</v>
      </c>
      <c r="N110" s="17" t="n">
        <v>10</v>
      </c>
      <c r="O110" s="17" t="inlineStr">
        <is>
          <t>232/223(F)</t>
        </is>
      </c>
      <c r="P110" s="17" t="inlineStr">
        <is>
          <t>MKT</t>
        </is>
      </c>
      <c r="Q110" s="17" t="inlineStr">
        <is>
          <t>M</t>
        </is>
      </c>
      <c r="R110" s="17" t="n"/>
      <c r="S110" s="17" t="n">
        <v>1</v>
      </c>
      <c r="T110" s="17" t="inlineStr">
        <is>
          <t>NY</t>
        </is>
      </c>
      <c r="U110" s="17" t="n">
        <v>120</v>
      </c>
      <c r="V110" s="17" t="n">
        <v>490.5</v>
      </c>
      <c r="W110" s="17" t="n">
        <v>98</v>
      </c>
      <c r="X110" s="17" t="n">
        <v>2018</v>
      </c>
      <c r="Y110" s="17" t="n">
        <v>-107</v>
      </c>
      <c r="Z110" s="17" t="n">
        <v>6</v>
      </c>
      <c r="AA110" s="20">
        <f>IF(ISNUMBER(W110),W110,IFERROR(MAX(0,(VALUE(LEFT(F110,4))-VALUE(LEFT(TEXT(J110,"00000000"),4)))*12+(VALUE(MID(F110,5,2))-VALUE(MID(TEXT(J110,"00000000"),5,2)))),""))</f>
        <v/>
      </c>
      <c r="AB110" s="20">
        <f>IFERROR((VALUE(LEFT(TEXT(K110,"00000000"),4))-VALUE(LEFT(F110,4)))*12+(VALUE(MID(TEXT(K110,"00000000"),5,2))-VALUE(MID(F110,5,2))),"")</f>
        <v/>
      </c>
      <c r="AC110" s="20">
        <f>IF(OR(L110="",NOT(ISNUMBER(L110))),0,MAX(0,MIN(60,(VALUE(LEFT(F110,4))-VALUE(LEFT(TEXT(L110,"00000000"),4)))*12+(VALUE(MID(F110,5,2))-VALUE(MID(TEXT(L110,"00000000"),5,2))))))</f>
        <v/>
      </c>
      <c r="AD110" s="20">
        <f>IF(OR(L110="",NOT(ISNUMBER(L110))),0,IF(VALUE(F110)&lt;VALUE(LEFT(TEXT(L110,"00000000"),6)),1,0))</f>
        <v/>
      </c>
      <c r="AE110" s="20">
        <f>IF(OR(M110="",NOT(ISNUMBER(M110))),0,IF(VALUE(F110)&lt;VALUE(LEFT(TEXT(M110,"00000000"),6)),1,0))</f>
        <v/>
      </c>
      <c r="AF110" s="20">
        <f>IF(AND(AD110=0,AE110=0),1,0)</f>
        <v/>
      </c>
      <c r="AG110" s="20">
        <f>IF(ISNUMBER(X110),X110,IFERROR(VALUE(LEFT(TEXT(J110,"00000000"),4)),""))</f>
        <v/>
      </c>
      <c r="AH110" s="20">
        <f>IFERROR(XLOOKUP(AG110,Vintage_Rates!$A$2:$A$1000,Vintage_Rates!$B$2:$B$1000,""),"")</f>
        <v/>
      </c>
      <c r="AI110" s="20">
        <f>IF(ISNUMBER(Y110),Y110,IFERROR((G110-AH110)*100,""))</f>
        <v/>
      </c>
      <c r="AJ110" s="20">
        <f>IF(ISNUMBER(V110),V110,IFERROR(XLOOKUP(VALUE(F110),PLC_Rates!$A$2:$A$1000,PLC_Rates!$B$2:$B$1000,""),""))</f>
        <v/>
      </c>
      <c r="AK110" s="20">
        <f>IF(ISNUMBER(Z110),Z110,IF(AE110=0,0,MAX(0,MIN(10,((VALUE(LEFT(TEXT(M110,"00000000"),4))-VALUE(LEFT(F110,4)))*12+(VALUE(MID(TEXT(M110,"00000000"),5,2))-VALUE(MID(F110,5,2))))/12))))</f>
        <v/>
      </c>
      <c r="AL110" s="20">
        <f>IFERROR(G110*100-AJ110,"")</f>
        <v/>
      </c>
      <c r="AM110" s="20">
        <f>IFERROR(G110*100-(AJ110+(1+AK110)*12.5),"")</f>
        <v/>
      </c>
      <c r="AN110" s="21">
        <f>IFERROR(MIN(H110/1000000,100),"")</f>
        <v/>
      </c>
      <c r="AO110" s="20">
        <f>IFERROR(INDEX(FHA_Lookup!$B$2:$B$11,MATCH(TRUE,ISNUMBER(SEARCH(FHA_Lookup!$A$2:$A$11,UPPER(SUBSTITUTE(O110," ","")))),0)),"OTHER")</f>
        <v/>
      </c>
      <c r="AP110" s="20">
        <f>IFERROR(INDEX(FHA_Lookup!$C$2:$C$11,MATCH(TRUE,ISNUMBER(SEARCH(FHA_Lookup!$A$2:$A$11,UPPER(SUBSTITUTE(O110," ","")))),0)),"OTHER")</f>
        <v/>
      </c>
      <c r="AQ110" s="20">
        <f>IF(AP110="NC",1,0)</f>
        <v/>
      </c>
      <c r="AR110" s="20">
        <f>IF(UPPER(TRIM(P110))="AFF",1,0)</f>
        <v/>
      </c>
      <c r="AS110" s="20">
        <f>IF(UPPER(TRIM(P110))="BAF",1,0)</f>
        <v/>
      </c>
      <c r="AT110" s="20">
        <f>IF(UPPER(TRIM(P110))="MKT",1,0)</f>
        <v/>
      </c>
      <c r="AU110" s="20">
        <f>IF(AO110="221d4",1,0)</f>
        <v/>
      </c>
      <c r="AV110" s="20">
        <f>IF(AO110="223a7",1,0)</f>
        <v/>
      </c>
      <c r="AW110" s="20">
        <f>IF(AO110="232",1,0)</f>
        <v/>
      </c>
      <c r="AX110" s="20">
        <f>IF(AO110="538",1,0)</f>
        <v/>
      </c>
      <c r="AY110" s="20">
        <f>IF(AO110="241",1,0)</f>
        <v/>
      </c>
      <c r="AZ110" s="20">
        <f>IF(AO110="220",1,0)</f>
        <v/>
      </c>
      <c r="BA110" s="20">
        <f>IF(AO110="OTHER",1,0)</f>
        <v/>
      </c>
      <c r="BB110" s="20">
        <f>IF(UPPER(TRIM(C110))="LM",1,0)</f>
        <v/>
      </c>
      <c r="BC110" s="20">
        <f>IF(UPPER(TRIM(C110))="PN",1,0)</f>
        <v/>
      </c>
      <c r="BD110" s="20">
        <f>IF(UPPER(TRIM(C110))="LS",1,0)</f>
        <v/>
      </c>
      <c r="BE110" s="20">
        <f>IF(UPPER(TRIM(C110))="RX",1,0)</f>
        <v/>
      </c>
      <c r="BF110" s="22">
        <f>IFERROR((Parameters!$C$6*AM110+Parameters!$C$7*MAX(AM110-(-150),0)+Parameters!$C$8*MAX(AM110-(-50),0)+Parameters!$C$9*MAX(AM110-(0),0)+Parameters!$C$10*MAX(AM110-(50),0)+Parameters!$C$11*MAX(AM110-(100),0)+Parameters!$C$12*MAX(AM110-(150),0)+Parameters!$C$13*MAX(AM110-(250),0)),0)</f>
        <v/>
      </c>
      <c r="BG110" s="22">
        <f>IFERROR((Parameters!$C$14*AA110+Parameters!$C$15*MAX(AA110-(12),0)+Parameters!$C$16*MAX(AA110-(36),0)+Parameters!$C$17*MAX(AA110-(60),0)+Parameters!$C$18*MAX(AA110-(84),0)+Parameters!$C$19*MAX(AA110-(120),0)+Parameters!$C$20*MAX(AA110-(180),0)),0)</f>
        <v/>
      </c>
      <c r="BH110" s="22">
        <f>IFERROR((Parameters!$C$21*AK110+Parameters!$C$22*MAX(AK110-(0),0)+Parameters!$C$23*MAX(AK110-(2),0)+Parameters!$C$24*MAX(AK110-(5),0)+Parameters!$C$25*MAX(AK110-(8),0)),0)</f>
        <v/>
      </c>
      <c r="BI110" s="22">
        <f>IFERROR((Parameters!$C$26*AI110+Parameters!$C$27*MAX(AI110-(-100),0)+Parameters!$C$28*MAX(AI110-(-25),0)+Parameters!$C$29*MAX(AI110-(25),0)+Parameters!$C$30*MAX(AI110-(100),0)),0)</f>
        <v/>
      </c>
      <c r="BJ110" s="22">
        <f>IFERROR((Parameters!$C$31*AN110+Parameters!$C$32*MAX(AN110-(2),0)+Parameters!$C$33*MAX(AN110-(10),0)+Parameters!$C$34*MAX(AN110-(25),0)),0)</f>
        <v/>
      </c>
      <c r="BK110" s="22">
        <f>IFERROR((Parameters!$C$35*AB110+Parameters!$C$36*MAX(AB110-(12),0)+Parameters!$C$37*MAX(AB110-(24),0)+Parameters!$C$38*MAX(AB110-(60),0)),0)</f>
        <v/>
      </c>
      <c r="BL110" s="22">
        <f>IFERROR((Parameters!$C$39*AC110+Parameters!$C$40*MAX(AC110-(6),0)+Parameters!$C$41*MAX(AC110-(12),0)+Parameters!$C$42*MAX(AC110-(24),0)),0)</f>
        <v/>
      </c>
      <c r="BM110" s="22">
        <f>IFERROR(Parameters!$C$43*(MAX(AM110,0)*MIN(MAX(AK110,0),10))/100,0)</f>
        <v/>
      </c>
      <c r="BN110" s="22">
        <f>Parameters!$C$44*AE110</f>
        <v/>
      </c>
      <c r="BO110" s="22">
        <f>Parameters!$C$45*AU110 + Parameters!$C$46*AV110 + Parameters!$C$47*AW110 + Parameters!$C$48*AX110 + Parameters!$C$49*AY110 + Parameters!$C$50*AZ110 + Parameters!$C$51*BA110</f>
        <v/>
      </c>
      <c r="BP110" s="22">
        <f>Parameters!$C$52*AQ110</f>
        <v/>
      </c>
      <c r="BQ110" s="22">
        <f>Parameters!$C$53*AR110+Parameters!$C$54*AS110+Parameters!$C$55*AT110</f>
        <v/>
      </c>
      <c r="BR110" s="22">
        <f>Parameters!$C$56*BB110+Parameters!$C$57*BC110+Parameters!$C$58*BD110+Parameters!$C$59*BE110</f>
        <v/>
      </c>
      <c r="BS110" s="23">
        <f>Parameters!$B$2</f>
        <v/>
      </c>
      <c r="BT110" s="23">
        <f>BS110+BF110 + BG110 + BH110 + BI110 + BJ110 + BK110 + BL110 + BM110 + BN110 + BO110 + BP110 + BQ110 + BR110</f>
        <v/>
      </c>
      <c r="BU110" s="24">
        <f>IF(AD110=1,0,1/(1+EXP(-BT110))*Parameters!$B$3)</f>
        <v/>
      </c>
      <c r="BV110" s="25">
        <f>(1-(1-BU110)^12)*100</f>
        <v/>
      </c>
      <c r="BW110" s="25">
        <f>IF(AD110=1,0,(1-(1-1/(1+EXP(-Parameters!$B$2)))^12)*100)</f>
        <v/>
      </c>
      <c r="BX110" s="25">
        <f>IF(AD110=1,0,BV110-(1-(1-(1/(1+EXP(-(BT110-BF110)))*Parameters!$B$3))^12)*100)</f>
        <v/>
      </c>
      <c r="BY110" s="25">
        <f>IF(AD110=1,0,BV110-(1-(1-(1/(1+EXP(-(BT110-BG110)))*Parameters!$B$3))^12)*100)</f>
        <v/>
      </c>
      <c r="BZ110" s="25">
        <f>IF(AD110=1,0,BV110-(1-(1-(1/(1+EXP(-(BT110-BH110)))*Parameters!$B$3))^12)*100)</f>
        <v/>
      </c>
      <c r="CA110" s="25">
        <f>IF(AD110=1,0,BV110-(1-(1-(1/(1+EXP(-(BT110-BI110)))*Parameters!$B$3))^12)*100)</f>
        <v/>
      </c>
      <c r="CB110" s="25">
        <f>IF(AD110=1,0,BV110-(1-(1-(1/(1+EXP(-(BT110-BJ110)))*Parameters!$B$3))^12)*100)</f>
        <v/>
      </c>
      <c r="CC110" s="25">
        <f>IF(AD110=1,0,BV110-(1-(1-(1/(1+EXP(-(BT110-BK110)))*Parameters!$B$3))^12)*100)</f>
        <v/>
      </c>
      <c r="CD110" s="25">
        <f>IF(AD110=1,0,BV110-(1-(1-(1/(1+EXP(-(BT110-BL110)))*Parameters!$B$3))^12)*100)</f>
        <v/>
      </c>
      <c r="CE110" s="25">
        <f>IF(AD110=1,0,BV110-(1-(1-(1/(1+EXP(-(BT110-BM110)))*Parameters!$B$3))^12)*100)</f>
        <v/>
      </c>
      <c r="CF110" s="25">
        <f>IF(AD110=1,0,BV110-(1-(1-(1/(1+EXP(-(BT110-BN110)))*Parameters!$B$3))^12)*100)</f>
        <v/>
      </c>
      <c r="CG110" s="25">
        <f>IF(AD110=1,0,BV110-(1-(1-(1/(1+EXP(-(BT110-BO110)))*Parameters!$B$3))^12)*100)</f>
        <v/>
      </c>
      <c r="CH110" s="25">
        <f>IF(AD110=1,0,BV110-(1-(1-(1/(1+EXP(-(BT110-BP110)))*Parameters!$B$3))^12)*100)</f>
        <v/>
      </c>
      <c r="CI110" s="25">
        <f>IF(AD110=1,0,BV110-(1-(1-(1/(1+EXP(-(BT110-BQ110)))*Parameters!$B$3))^12)*100)</f>
        <v/>
      </c>
      <c r="CJ110" s="25">
        <f>IF(AD110=1,0,BV110-(1-(1-(1/(1+EXP(-(BT110-BR110)))*Parameters!$B$3))^12)*100)</f>
        <v/>
      </c>
    </row>
    <row r="111">
      <c r="A111" s="17" t="inlineStr">
        <is>
          <t>GNR_HC_2020</t>
        </is>
      </c>
      <c r="B111" s="17" t="inlineStr">
        <is>
          <t>3617QNLD9</t>
        </is>
      </c>
      <c r="C111" s="17" t="inlineStr">
        <is>
          <t>PN</t>
        </is>
      </c>
      <c r="D111" s="17" t="inlineStr">
        <is>
          <t>JLL REAL ESTATE CAPITAL, LLC</t>
        </is>
      </c>
      <c r="E111" s="17" t="inlineStr">
        <is>
          <t>3617QNLD9_000000009222182</t>
        </is>
      </c>
      <c r="F111" s="17" t="n">
        <v>202603</v>
      </c>
      <c r="G111" s="18" t="n">
        <v>3.47</v>
      </c>
      <c r="H111" s="19" t="n">
        <v>7751825.89</v>
      </c>
      <c r="I111" s="17" t="n">
        <v>420</v>
      </c>
      <c r="J111" s="17" t="n">
        <v>20210429</v>
      </c>
      <c r="K111" s="17" t="n">
        <v>20560501</v>
      </c>
      <c r="L111" s="17" t="n"/>
      <c r="M111" s="17" t="n">
        <v>20310601</v>
      </c>
      <c r="N111" s="17" t="n">
        <v>10</v>
      </c>
      <c r="O111" s="17" t="inlineStr">
        <is>
          <t>223(A)(7)/232/223(F)</t>
        </is>
      </c>
      <c r="P111" s="17" t="inlineStr">
        <is>
          <t>MKT</t>
        </is>
      </c>
      <c r="Q111" s="17" t="n"/>
      <c r="R111" s="17" t="n"/>
      <c r="S111" s="17" t="n"/>
      <c r="T111" s="17" t="inlineStr">
        <is>
          <t>MN</t>
        </is>
      </c>
      <c r="U111" s="17" t="n">
        <v>132</v>
      </c>
      <c r="V111" s="17" t="n">
        <v>490.5</v>
      </c>
      <c r="W111" s="17" t="n">
        <v>59</v>
      </c>
      <c r="X111" s="17" t="n">
        <v>2021</v>
      </c>
      <c r="Y111" s="17" t="n">
        <v>89</v>
      </c>
      <c r="Z111" s="17" t="n">
        <v>4</v>
      </c>
      <c r="AA111" s="20">
        <f>IF(ISNUMBER(W111),W111,IFERROR(MAX(0,(VALUE(LEFT(F111,4))-VALUE(LEFT(TEXT(J111,"00000000"),4)))*12+(VALUE(MID(F111,5,2))-VALUE(MID(TEXT(J111,"00000000"),5,2)))),""))</f>
        <v/>
      </c>
      <c r="AB111" s="20">
        <f>IFERROR((VALUE(LEFT(TEXT(K111,"00000000"),4))-VALUE(LEFT(F111,4)))*12+(VALUE(MID(TEXT(K111,"00000000"),5,2))-VALUE(MID(F111,5,2))),"")</f>
        <v/>
      </c>
      <c r="AC111" s="20">
        <f>IF(OR(L111="",NOT(ISNUMBER(L111))),0,MAX(0,MIN(60,(VALUE(LEFT(F111,4))-VALUE(LEFT(TEXT(L111,"00000000"),4)))*12+(VALUE(MID(F111,5,2))-VALUE(MID(TEXT(L111,"00000000"),5,2))))))</f>
        <v/>
      </c>
      <c r="AD111" s="20">
        <f>IF(OR(L111="",NOT(ISNUMBER(L111))),0,IF(VALUE(F111)&lt;VALUE(LEFT(TEXT(L111,"00000000"),6)),1,0))</f>
        <v/>
      </c>
      <c r="AE111" s="20">
        <f>IF(OR(M111="",NOT(ISNUMBER(M111))),0,IF(VALUE(F111)&lt;VALUE(LEFT(TEXT(M111,"00000000"),6)),1,0))</f>
        <v/>
      </c>
      <c r="AF111" s="20">
        <f>IF(AND(AD111=0,AE111=0),1,0)</f>
        <v/>
      </c>
      <c r="AG111" s="20">
        <f>IF(ISNUMBER(X111),X111,IFERROR(VALUE(LEFT(TEXT(J111,"00000000"),4)),""))</f>
        <v/>
      </c>
      <c r="AH111" s="20">
        <f>IFERROR(XLOOKUP(AG111,Vintage_Rates!$A$2:$A$1000,Vintage_Rates!$B$2:$B$1000,""),"")</f>
        <v/>
      </c>
      <c r="AI111" s="20">
        <f>IF(ISNUMBER(Y111),Y111,IFERROR((G111-AH111)*100,""))</f>
        <v/>
      </c>
      <c r="AJ111" s="20">
        <f>IF(ISNUMBER(V111),V111,IFERROR(XLOOKUP(VALUE(F111),PLC_Rates!$A$2:$A$1000,PLC_Rates!$B$2:$B$1000,""),""))</f>
        <v/>
      </c>
      <c r="AK111" s="20">
        <f>IF(ISNUMBER(Z111),Z111,IF(AE111=0,0,MAX(0,MIN(10,((VALUE(LEFT(TEXT(M111,"00000000"),4))-VALUE(LEFT(F111,4)))*12+(VALUE(MID(TEXT(M111,"00000000"),5,2))-VALUE(MID(F111,5,2))))/12))))</f>
        <v/>
      </c>
      <c r="AL111" s="20">
        <f>IFERROR(G111*100-AJ111,"")</f>
        <v/>
      </c>
      <c r="AM111" s="20">
        <f>IFERROR(G111*100-(AJ111+(1+AK111)*12.5),"")</f>
        <v/>
      </c>
      <c r="AN111" s="21">
        <f>IFERROR(MIN(H111/1000000,100),"")</f>
        <v/>
      </c>
      <c r="AO111" s="20">
        <f>IFERROR(INDEX(FHA_Lookup!$B$2:$B$11,MATCH(TRUE,ISNUMBER(SEARCH(FHA_Lookup!$A$2:$A$11,UPPER(SUBSTITUTE(O111," ","")))),0)),"OTHER")</f>
        <v/>
      </c>
      <c r="AP111" s="20">
        <f>IFERROR(INDEX(FHA_Lookup!$C$2:$C$11,MATCH(TRUE,ISNUMBER(SEARCH(FHA_Lookup!$A$2:$A$11,UPPER(SUBSTITUTE(O111," ","")))),0)),"OTHER")</f>
        <v/>
      </c>
      <c r="AQ111" s="20">
        <f>IF(AP111="NC",1,0)</f>
        <v/>
      </c>
      <c r="AR111" s="20">
        <f>IF(UPPER(TRIM(P111))="AFF",1,0)</f>
        <v/>
      </c>
      <c r="AS111" s="20">
        <f>IF(UPPER(TRIM(P111))="BAF",1,0)</f>
        <v/>
      </c>
      <c r="AT111" s="20">
        <f>IF(UPPER(TRIM(P111))="MKT",1,0)</f>
        <v/>
      </c>
      <c r="AU111" s="20">
        <f>IF(AO111="221d4",1,0)</f>
        <v/>
      </c>
      <c r="AV111" s="20">
        <f>IF(AO111="223a7",1,0)</f>
        <v/>
      </c>
      <c r="AW111" s="20">
        <f>IF(AO111="232",1,0)</f>
        <v/>
      </c>
      <c r="AX111" s="20">
        <f>IF(AO111="538",1,0)</f>
        <v/>
      </c>
      <c r="AY111" s="20">
        <f>IF(AO111="241",1,0)</f>
        <v/>
      </c>
      <c r="AZ111" s="20">
        <f>IF(AO111="220",1,0)</f>
        <v/>
      </c>
      <c r="BA111" s="20">
        <f>IF(AO111="OTHER",1,0)</f>
        <v/>
      </c>
      <c r="BB111" s="20">
        <f>IF(UPPER(TRIM(C111))="LM",1,0)</f>
        <v/>
      </c>
      <c r="BC111" s="20">
        <f>IF(UPPER(TRIM(C111))="PN",1,0)</f>
        <v/>
      </c>
      <c r="BD111" s="20">
        <f>IF(UPPER(TRIM(C111))="LS",1,0)</f>
        <v/>
      </c>
      <c r="BE111" s="20">
        <f>IF(UPPER(TRIM(C111))="RX",1,0)</f>
        <v/>
      </c>
      <c r="BF111" s="22">
        <f>IFERROR((Parameters!$C$6*AM111+Parameters!$C$7*MAX(AM111-(-150),0)+Parameters!$C$8*MAX(AM111-(-50),0)+Parameters!$C$9*MAX(AM111-(0),0)+Parameters!$C$10*MAX(AM111-(50),0)+Parameters!$C$11*MAX(AM111-(100),0)+Parameters!$C$12*MAX(AM111-(150),0)+Parameters!$C$13*MAX(AM111-(250),0)),0)</f>
        <v/>
      </c>
      <c r="BG111" s="22">
        <f>IFERROR((Parameters!$C$14*AA111+Parameters!$C$15*MAX(AA111-(12),0)+Parameters!$C$16*MAX(AA111-(36),0)+Parameters!$C$17*MAX(AA111-(60),0)+Parameters!$C$18*MAX(AA111-(84),0)+Parameters!$C$19*MAX(AA111-(120),0)+Parameters!$C$20*MAX(AA111-(180),0)),0)</f>
        <v/>
      </c>
      <c r="BH111" s="22">
        <f>IFERROR((Parameters!$C$21*AK111+Parameters!$C$22*MAX(AK111-(0),0)+Parameters!$C$23*MAX(AK111-(2),0)+Parameters!$C$24*MAX(AK111-(5),0)+Parameters!$C$25*MAX(AK111-(8),0)),0)</f>
        <v/>
      </c>
      <c r="BI111" s="22">
        <f>IFERROR((Parameters!$C$26*AI111+Parameters!$C$27*MAX(AI111-(-100),0)+Parameters!$C$28*MAX(AI111-(-25),0)+Parameters!$C$29*MAX(AI111-(25),0)+Parameters!$C$30*MAX(AI111-(100),0)),0)</f>
        <v/>
      </c>
      <c r="BJ111" s="22">
        <f>IFERROR((Parameters!$C$31*AN111+Parameters!$C$32*MAX(AN111-(2),0)+Parameters!$C$33*MAX(AN111-(10),0)+Parameters!$C$34*MAX(AN111-(25),0)),0)</f>
        <v/>
      </c>
      <c r="BK111" s="22">
        <f>IFERROR((Parameters!$C$35*AB111+Parameters!$C$36*MAX(AB111-(12),0)+Parameters!$C$37*MAX(AB111-(24),0)+Parameters!$C$38*MAX(AB111-(60),0)),0)</f>
        <v/>
      </c>
      <c r="BL111" s="22">
        <f>IFERROR((Parameters!$C$39*AC111+Parameters!$C$40*MAX(AC111-(6),0)+Parameters!$C$41*MAX(AC111-(12),0)+Parameters!$C$42*MAX(AC111-(24),0)),0)</f>
        <v/>
      </c>
      <c r="BM111" s="22">
        <f>IFERROR(Parameters!$C$43*(MAX(AM111,0)*MIN(MAX(AK111,0),10))/100,0)</f>
        <v/>
      </c>
      <c r="BN111" s="22">
        <f>Parameters!$C$44*AE111</f>
        <v/>
      </c>
      <c r="BO111" s="22">
        <f>Parameters!$C$45*AU111 + Parameters!$C$46*AV111 + Parameters!$C$47*AW111 + Parameters!$C$48*AX111 + Parameters!$C$49*AY111 + Parameters!$C$50*AZ111 + Parameters!$C$51*BA111</f>
        <v/>
      </c>
      <c r="BP111" s="22">
        <f>Parameters!$C$52*AQ111</f>
        <v/>
      </c>
      <c r="BQ111" s="22">
        <f>Parameters!$C$53*AR111+Parameters!$C$54*AS111+Parameters!$C$55*AT111</f>
        <v/>
      </c>
      <c r="BR111" s="22">
        <f>Parameters!$C$56*BB111+Parameters!$C$57*BC111+Parameters!$C$58*BD111+Parameters!$C$59*BE111</f>
        <v/>
      </c>
      <c r="BS111" s="23">
        <f>Parameters!$B$2</f>
        <v/>
      </c>
      <c r="BT111" s="23">
        <f>BS111+BF111 + BG111 + BH111 + BI111 + BJ111 + BK111 + BL111 + BM111 + BN111 + BO111 + BP111 + BQ111 + BR111</f>
        <v/>
      </c>
      <c r="BU111" s="24">
        <f>IF(AD111=1,0,1/(1+EXP(-BT111))*Parameters!$B$3)</f>
        <v/>
      </c>
      <c r="BV111" s="25">
        <f>(1-(1-BU111)^12)*100</f>
        <v/>
      </c>
      <c r="BW111" s="25">
        <f>IF(AD111=1,0,(1-(1-1/(1+EXP(-Parameters!$B$2)))^12)*100)</f>
        <v/>
      </c>
      <c r="BX111" s="25">
        <f>IF(AD111=1,0,BV111-(1-(1-(1/(1+EXP(-(BT111-BF111)))*Parameters!$B$3))^12)*100)</f>
        <v/>
      </c>
      <c r="BY111" s="25">
        <f>IF(AD111=1,0,BV111-(1-(1-(1/(1+EXP(-(BT111-BG111)))*Parameters!$B$3))^12)*100)</f>
        <v/>
      </c>
      <c r="BZ111" s="25">
        <f>IF(AD111=1,0,BV111-(1-(1-(1/(1+EXP(-(BT111-BH111)))*Parameters!$B$3))^12)*100)</f>
        <v/>
      </c>
      <c r="CA111" s="25">
        <f>IF(AD111=1,0,BV111-(1-(1-(1/(1+EXP(-(BT111-BI111)))*Parameters!$B$3))^12)*100)</f>
        <v/>
      </c>
      <c r="CB111" s="25">
        <f>IF(AD111=1,0,BV111-(1-(1-(1/(1+EXP(-(BT111-BJ111)))*Parameters!$B$3))^12)*100)</f>
        <v/>
      </c>
      <c r="CC111" s="25">
        <f>IF(AD111=1,0,BV111-(1-(1-(1/(1+EXP(-(BT111-BK111)))*Parameters!$B$3))^12)*100)</f>
        <v/>
      </c>
      <c r="CD111" s="25">
        <f>IF(AD111=1,0,BV111-(1-(1-(1/(1+EXP(-(BT111-BL111)))*Parameters!$B$3))^12)*100)</f>
        <v/>
      </c>
      <c r="CE111" s="25">
        <f>IF(AD111=1,0,BV111-(1-(1-(1/(1+EXP(-(BT111-BM111)))*Parameters!$B$3))^12)*100)</f>
        <v/>
      </c>
      <c r="CF111" s="25">
        <f>IF(AD111=1,0,BV111-(1-(1-(1/(1+EXP(-(BT111-BN111)))*Parameters!$B$3))^12)*100)</f>
        <v/>
      </c>
      <c r="CG111" s="25">
        <f>IF(AD111=1,0,BV111-(1-(1-(1/(1+EXP(-(BT111-BO111)))*Parameters!$B$3))^12)*100)</f>
        <v/>
      </c>
      <c r="CH111" s="25">
        <f>IF(AD111=1,0,BV111-(1-(1-(1/(1+EXP(-(BT111-BP111)))*Parameters!$B$3))^12)*100)</f>
        <v/>
      </c>
      <c r="CI111" s="25">
        <f>IF(AD111=1,0,BV111-(1-(1-(1/(1+EXP(-(BT111-BQ111)))*Parameters!$B$3))^12)*100)</f>
        <v/>
      </c>
      <c r="CJ111" s="25">
        <f>IF(AD111=1,0,BV111-(1-(1-(1/(1+EXP(-(BT111-BR111)))*Parameters!$B$3))^12)*100)</f>
        <v/>
      </c>
    </row>
    <row r="112">
      <c r="A112" s="17" t="inlineStr">
        <is>
          <t>GNR_HC_2020</t>
        </is>
      </c>
      <c r="B112" s="17" t="inlineStr">
        <is>
          <t>3617MPCM8</t>
        </is>
      </c>
      <c r="C112" s="17" t="inlineStr">
        <is>
          <t>LM</t>
        </is>
      </c>
      <c r="D112" s="17" t="inlineStr">
        <is>
          <t>GERSHMAN INVESTMENT CORP.</t>
        </is>
      </c>
      <c r="E112" s="17" t="inlineStr">
        <is>
          <t>3617MPCM8_000000013622044</t>
        </is>
      </c>
      <c r="F112" s="17" t="n">
        <v>202603</v>
      </c>
      <c r="G112" s="18" t="n">
        <v>2.83</v>
      </c>
      <c r="H112" s="19" t="n">
        <v>1414296.11</v>
      </c>
      <c r="I112" s="17" t="n">
        <v>263</v>
      </c>
      <c r="J112" s="17" t="n">
        <v>20200501</v>
      </c>
      <c r="K112" s="17" t="n">
        <v>20420501</v>
      </c>
      <c r="L112" s="17" t="n"/>
      <c r="M112" s="17" t="n">
        <v>20300701</v>
      </c>
      <c r="N112" s="17" t="n">
        <v>10</v>
      </c>
      <c r="O112" s="17" t="inlineStr">
        <is>
          <t>232 223(A)(7)</t>
        </is>
      </c>
      <c r="P112" s="17" t="inlineStr">
        <is>
          <t>MKT</t>
        </is>
      </c>
      <c r="Q112" s="17" t="inlineStr">
        <is>
          <t>M</t>
        </is>
      </c>
      <c r="R112" s="17" t="n"/>
      <c r="S112" s="17" t="n">
        <v>1</v>
      </c>
      <c r="T112" s="17" t="inlineStr">
        <is>
          <t>CA</t>
        </is>
      </c>
      <c r="U112" s="17" t="n">
        <v>41</v>
      </c>
      <c r="V112" s="17" t="n">
        <v>490.5</v>
      </c>
      <c r="W112" s="17" t="n">
        <v>70</v>
      </c>
      <c r="X112" s="17" t="n">
        <v>2020</v>
      </c>
      <c r="Y112" s="17" t="n">
        <v>-2</v>
      </c>
      <c r="Z112" s="17" t="n">
        <v>10</v>
      </c>
      <c r="AA112" s="20">
        <f>IF(ISNUMBER(W112),W112,IFERROR(MAX(0,(VALUE(LEFT(F112,4))-VALUE(LEFT(TEXT(J112,"00000000"),4)))*12+(VALUE(MID(F112,5,2))-VALUE(MID(TEXT(J112,"00000000"),5,2)))),""))</f>
        <v/>
      </c>
      <c r="AB112" s="20">
        <f>IFERROR((VALUE(LEFT(TEXT(K112,"00000000"),4))-VALUE(LEFT(F112,4)))*12+(VALUE(MID(TEXT(K112,"00000000"),5,2))-VALUE(MID(F112,5,2))),"")</f>
        <v/>
      </c>
      <c r="AC112" s="20">
        <f>IF(OR(L112="",NOT(ISNUMBER(L112))),0,MAX(0,MIN(60,(VALUE(LEFT(F112,4))-VALUE(LEFT(TEXT(L112,"00000000"),4)))*12+(VALUE(MID(F112,5,2))-VALUE(MID(TEXT(L112,"00000000"),5,2))))))</f>
        <v/>
      </c>
      <c r="AD112" s="20">
        <f>IF(OR(L112="",NOT(ISNUMBER(L112))),0,IF(VALUE(F112)&lt;VALUE(LEFT(TEXT(L112,"00000000"),6)),1,0))</f>
        <v/>
      </c>
      <c r="AE112" s="20">
        <f>IF(OR(M112="",NOT(ISNUMBER(M112))),0,IF(VALUE(F112)&lt;VALUE(LEFT(TEXT(M112,"00000000"),6)),1,0))</f>
        <v/>
      </c>
      <c r="AF112" s="20">
        <f>IF(AND(AD112=0,AE112=0),1,0)</f>
        <v/>
      </c>
      <c r="AG112" s="20">
        <f>IF(ISNUMBER(X112),X112,IFERROR(VALUE(LEFT(TEXT(J112,"00000000"),4)),""))</f>
        <v/>
      </c>
      <c r="AH112" s="20">
        <f>IFERROR(XLOOKUP(AG112,Vintage_Rates!$A$2:$A$1000,Vintage_Rates!$B$2:$B$1000,""),"")</f>
        <v/>
      </c>
      <c r="AI112" s="20">
        <f>IF(ISNUMBER(Y112),Y112,IFERROR((G112-AH112)*100,""))</f>
        <v/>
      </c>
      <c r="AJ112" s="20">
        <f>IF(ISNUMBER(V112),V112,IFERROR(XLOOKUP(VALUE(F112),PLC_Rates!$A$2:$A$1000,PLC_Rates!$B$2:$B$1000,""),""))</f>
        <v/>
      </c>
      <c r="AK112" s="20">
        <f>IF(ISNUMBER(Z112),Z112,IF(AE112=0,0,MAX(0,MIN(10,((VALUE(LEFT(TEXT(M112,"00000000"),4))-VALUE(LEFT(F112,4)))*12+(VALUE(MID(TEXT(M112,"00000000"),5,2))-VALUE(MID(F112,5,2))))/12))))</f>
        <v/>
      </c>
      <c r="AL112" s="20">
        <f>IFERROR(G112*100-AJ112,"")</f>
        <v/>
      </c>
      <c r="AM112" s="20">
        <f>IFERROR(G112*100-(AJ112+(1+AK112)*12.5),"")</f>
        <v/>
      </c>
      <c r="AN112" s="21">
        <f>IFERROR(MIN(H112/1000000,100),"")</f>
        <v/>
      </c>
      <c r="AO112" s="20">
        <f>IFERROR(INDEX(FHA_Lookup!$B$2:$B$11,MATCH(TRUE,ISNUMBER(SEARCH(FHA_Lookup!$A$2:$A$11,UPPER(SUBSTITUTE(O112," ","")))),0)),"OTHER")</f>
        <v/>
      </c>
      <c r="AP112" s="20">
        <f>IFERROR(INDEX(FHA_Lookup!$C$2:$C$11,MATCH(TRUE,ISNUMBER(SEARCH(FHA_Lookup!$A$2:$A$11,UPPER(SUBSTITUTE(O112," ","")))),0)),"OTHER")</f>
        <v/>
      </c>
      <c r="AQ112" s="20">
        <f>IF(AP112="NC",1,0)</f>
        <v/>
      </c>
      <c r="AR112" s="20">
        <f>IF(UPPER(TRIM(P112))="AFF",1,0)</f>
        <v/>
      </c>
      <c r="AS112" s="20">
        <f>IF(UPPER(TRIM(P112))="BAF",1,0)</f>
        <v/>
      </c>
      <c r="AT112" s="20">
        <f>IF(UPPER(TRIM(P112))="MKT",1,0)</f>
        <v/>
      </c>
      <c r="AU112" s="20">
        <f>IF(AO112="221d4",1,0)</f>
        <v/>
      </c>
      <c r="AV112" s="20">
        <f>IF(AO112="223a7",1,0)</f>
        <v/>
      </c>
      <c r="AW112" s="20">
        <f>IF(AO112="232",1,0)</f>
        <v/>
      </c>
      <c r="AX112" s="20">
        <f>IF(AO112="538",1,0)</f>
        <v/>
      </c>
      <c r="AY112" s="20">
        <f>IF(AO112="241",1,0)</f>
        <v/>
      </c>
      <c r="AZ112" s="20">
        <f>IF(AO112="220",1,0)</f>
        <v/>
      </c>
      <c r="BA112" s="20">
        <f>IF(AO112="OTHER",1,0)</f>
        <v/>
      </c>
      <c r="BB112" s="20">
        <f>IF(UPPER(TRIM(C112))="LM",1,0)</f>
        <v/>
      </c>
      <c r="BC112" s="20">
        <f>IF(UPPER(TRIM(C112))="PN",1,0)</f>
        <v/>
      </c>
      <c r="BD112" s="20">
        <f>IF(UPPER(TRIM(C112))="LS",1,0)</f>
        <v/>
      </c>
      <c r="BE112" s="20">
        <f>IF(UPPER(TRIM(C112))="RX",1,0)</f>
        <v/>
      </c>
      <c r="BF112" s="22">
        <f>IFERROR((Parameters!$C$6*AM112+Parameters!$C$7*MAX(AM112-(-150),0)+Parameters!$C$8*MAX(AM112-(-50),0)+Parameters!$C$9*MAX(AM112-(0),0)+Parameters!$C$10*MAX(AM112-(50),0)+Parameters!$C$11*MAX(AM112-(100),0)+Parameters!$C$12*MAX(AM112-(150),0)+Parameters!$C$13*MAX(AM112-(250),0)),0)</f>
        <v/>
      </c>
      <c r="BG112" s="22">
        <f>IFERROR((Parameters!$C$14*AA112+Parameters!$C$15*MAX(AA112-(12),0)+Parameters!$C$16*MAX(AA112-(36),0)+Parameters!$C$17*MAX(AA112-(60),0)+Parameters!$C$18*MAX(AA112-(84),0)+Parameters!$C$19*MAX(AA112-(120),0)+Parameters!$C$20*MAX(AA112-(180),0)),0)</f>
        <v/>
      </c>
      <c r="BH112" s="22">
        <f>IFERROR((Parameters!$C$21*AK112+Parameters!$C$22*MAX(AK112-(0),0)+Parameters!$C$23*MAX(AK112-(2),0)+Parameters!$C$24*MAX(AK112-(5),0)+Parameters!$C$25*MAX(AK112-(8),0)),0)</f>
        <v/>
      </c>
      <c r="BI112" s="22">
        <f>IFERROR((Parameters!$C$26*AI112+Parameters!$C$27*MAX(AI112-(-100),0)+Parameters!$C$28*MAX(AI112-(-25),0)+Parameters!$C$29*MAX(AI112-(25),0)+Parameters!$C$30*MAX(AI112-(100),0)),0)</f>
        <v/>
      </c>
      <c r="BJ112" s="22">
        <f>IFERROR((Parameters!$C$31*AN112+Parameters!$C$32*MAX(AN112-(2),0)+Parameters!$C$33*MAX(AN112-(10),0)+Parameters!$C$34*MAX(AN112-(25),0)),0)</f>
        <v/>
      </c>
      <c r="BK112" s="22">
        <f>IFERROR((Parameters!$C$35*AB112+Parameters!$C$36*MAX(AB112-(12),0)+Parameters!$C$37*MAX(AB112-(24),0)+Parameters!$C$38*MAX(AB112-(60),0)),0)</f>
        <v/>
      </c>
      <c r="BL112" s="22">
        <f>IFERROR((Parameters!$C$39*AC112+Parameters!$C$40*MAX(AC112-(6),0)+Parameters!$C$41*MAX(AC112-(12),0)+Parameters!$C$42*MAX(AC112-(24),0)),0)</f>
        <v/>
      </c>
      <c r="BM112" s="22">
        <f>IFERROR(Parameters!$C$43*(MAX(AM112,0)*MIN(MAX(AK112,0),10))/100,0)</f>
        <v/>
      </c>
      <c r="BN112" s="22">
        <f>Parameters!$C$44*AE112</f>
        <v/>
      </c>
      <c r="BO112" s="22">
        <f>Parameters!$C$45*AU112 + Parameters!$C$46*AV112 + Parameters!$C$47*AW112 + Parameters!$C$48*AX112 + Parameters!$C$49*AY112 + Parameters!$C$50*AZ112 + Parameters!$C$51*BA112</f>
        <v/>
      </c>
      <c r="BP112" s="22">
        <f>Parameters!$C$52*AQ112</f>
        <v/>
      </c>
      <c r="BQ112" s="22">
        <f>Parameters!$C$53*AR112+Parameters!$C$54*AS112+Parameters!$C$55*AT112</f>
        <v/>
      </c>
      <c r="BR112" s="22">
        <f>Parameters!$C$56*BB112+Parameters!$C$57*BC112+Parameters!$C$58*BD112+Parameters!$C$59*BE112</f>
        <v/>
      </c>
      <c r="BS112" s="23">
        <f>Parameters!$B$2</f>
        <v/>
      </c>
      <c r="BT112" s="23">
        <f>BS112+BF112 + BG112 + BH112 + BI112 + BJ112 + BK112 + BL112 + BM112 + BN112 + BO112 + BP112 + BQ112 + BR112</f>
        <v/>
      </c>
      <c r="BU112" s="24">
        <f>IF(AD112=1,0,1/(1+EXP(-BT112))*Parameters!$B$3)</f>
        <v/>
      </c>
      <c r="BV112" s="25">
        <f>(1-(1-BU112)^12)*100</f>
        <v/>
      </c>
      <c r="BW112" s="25">
        <f>IF(AD112=1,0,(1-(1-1/(1+EXP(-Parameters!$B$2)))^12)*100)</f>
        <v/>
      </c>
      <c r="BX112" s="25">
        <f>IF(AD112=1,0,BV112-(1-(1-(1/(1+EXP(-(BT112-BF112)))*Parameters!$B$3))^12)*100)</f>
        <v/>
      </c>
      <c r="BY112" s="25">
        <f>IF(AD112=1,0,BV112-(1-(1-(1/(1+EXP(-(BT112-BG112)))*Parameters!$B$3))^12)*100)</f>
        <v/>
      </c>
      <c r="BZ112" s="25">
        <f>IF(AD112=1,0,BV112-(1-(1-(1/(1+EXP(-(BT112-BH112)))*Parameters!$B$3))^12)*100)</f>
        <v/>
      </c>
      <c r="CA112" s="25">
        <f>IF(AD112=1,0,BV112-(1-(1-(1/(1+EXP(-(BT112-BI112)))*Parameters!$B$3))^12)*100)</f>
        <v/>
      </c>
      <c r="CB112" s="25">
        <f>IF(AD112=1,0,BV112-(1-(1-(1/(1+EXP(-(BT112-BJ112)))*Parameters!$B$3))^12)*100)</f>
        <v/>
      </c>
      <c r="CC112" s="25">
        <f>IF(AD112=1,0,BV112-(1-(1-(1/(1+EXP(-(BT112-BK112)))*Parameters!$B$3))^12)*100)</f>
        <v/>
      </c>
      <c r="CD112" s="25">
        <f>IF(AD112=1,0,BV112-(1-(1-(1/(1+EXP(-(BT112-BL112)))*Parameters!$B$3))^12)*100)</f>
        <v/>
      </c>
      <c r="CE112" s="25">
        <f>IF(AD112=1,0,BV112-(1-(1-(1/(1+EXP(-(BT112-BM112)))*Parameters!$B$3))^12)*100)</f>
        <v/>
      </c>
      <c r="CF112" s="25">
        <f>IF(AD112=1,0,BV112-(1-(1-(1/(1+EXP(-(BT112-BN112)))*Parameters!$B$3))^12)*100)</f>
        <v/>
      </c>
      <c r="CG112" s="25">
        <f>IF(AD112=1,0,BV112-(1-(1-(1/(1+EXP(-(BT112-BO112)))*Parameters!$B$3))^12)*100)</f>
        <v/>
      </c>
      <c r="CH112" s="25">
        <f>IF(AD112=1,0,BV112-(1-(1-(1/(1+EXP(-(BT112-BP112)))*Parameters!$B$3))^12)*100)</f>
        <v/>
      </c>
      <c r="CI112" s="25">
        <f>IF(AD112=1,0,BV112-(1-(1-(1/(1+EXP(-(BT112-BQ112)))*Parameters!$B$3))^12)*100)</f>
        <v/>
      </c>
      <c r="CJ112" s="25">
        <f>IF(AD112=1,0,BV112-(1-(1-(1/(1+EXP(-(BT112-BR112)))*Parameters!$B$3))^12)*100)</f>
        <v/>
      </c>
    </row>
    <row r="113">
      <c r="A113" s="17" t="inlineStr">
        <is>
          <t>GNR_HC_2020</t>
        </is>
      </c>
      <c r="B113" s="17" t="inlineStr">
        <is>
          <t>3617M4T62</t>
        </is>
      </c>
      <c r="C113" s="17" t="inlineStr">
        <is>
          <t>PN</t>
        </is>
      </c>
      <c r="D113" s="17" t="inlineStr">
        <is>
          <t>GREYSTONE FUNDING COMPANY LLC</t>
        </is>
      </c>
      <c r="E113" s="17" t="inlineStr">
        <is>
          <t>3617M4T62_000000008422071</t>
        </is>
      </c>
      <c r="F113" s="17" t="n">
        <v>202603</v>
      </c>
      <c r="G113" s="18" t="n">
        <v>3.18</v>
      </c>
      <c r="H113" s="19" t="n">
        <v>14178430.29</v>
      </c>
      <c r="I113" s="17" t="n">
        <v>360</v>
      </c>
      <c r="J113" s="17" t="n">
        <v>20191101</v>
      </c>
      <c r="K113" s="17" t="n">
        <v>20491201</v>
      </c>
      <c r="L113" s="17" t="n"/>
      <c r="M113" s="17" t="n">
        <v>20300101</v>
      </c>
      <c r="N113" s="17" t="n">
        <v>10</v>
      </c>
      <c r="O113" s="17" t="inlineStr">
        <is>
          <t>232/223(F)</t>
        </is>
      </c>
      <c r="P113" s="17" t="inlineStr">
        <is>
          <t>MKT</t>
        </is>
      </c>
      <c r="Q113" s="17" t="n"/>
      <c r="R113" s="17" t="n"/>
      <c r="S113" s="17" t="n"/>
      <c r="T113" s="17" t="inlineStr">
        <is>
          <t>KS</t>
        </is>
      </c>
      <c r="U113" s="17" t="n">
        <v>202</v>
      </c>
      <c r="V113" s="17" t="n">
        <v>490.5</v>
      </c>
      <c r="W113" s="17" t="n">
        <v>76</v>
      </c>
      <c r="X113" s="17" t="n">
        <v>2019</v>
      </c>
      <c r="Y113" s="17" t="n">
        <v>-49</v>
      </c>
      <c r="Z113" s="17" t="n">
        <v>4</v>
      </c>
      <c r="AA113" s="20">
        <f>IF(ISNUMBER(W113),W113,IFERROR(MAX(0,(VALUE(LEFT(F113,4))-VALUE(LEFT(TEXT(J113,"00000000"),4)))*12+(VALUE(MID(F113,5,2))-VALUE(MID(TEXT(J113,"00000000"),5,2)))),""))</f>
        <v/>
      </c>
      <c r="AB113" s="20">
        <f>IFERROR((VALUE(LEFT(TEXT(K113,"00000000"),4))-VALUE(LEFT(F113,4)))*12+(VALUE(MID(TEXT(K113,"00000000"),5,2))-VALUE(MID(F113,5,2))),"")</f>
        <v/>
      </c>
      <c r="AC113" s="20">
        <f>IF(OR(L113="",NOT(ISNUMBER(L113))),0,MAX(0,MIN(60,(VALUE(LEFT(F113,4))-VALUE(LEFT(TEXT(L113,"00000000"),4)))*12+(VALUE(MID(F113,5,2))-VALUE(MID(TEXT(L113,"00000000"),5,2))))))</f>
        <v/>
      </c>
      <c r="AD113" s="20">
        <f>IF(OR(L113="",NOT(ISNUMBER(L113))),0,IF(VALUE(F113)&lt;VALUE(LEFT(TEXT(L113,"00000000"),6)),1,0))</f>
        <v/>
      </c>
      <c r="AE113" s="20">
        <f>IF(OR(M113="",NOT(ISNUMBER(M113))),0,IF(VALUE(F113)&lt;VALUE(LEFT(TEXT(M113,"00000000"),6)),1,0))</f>
        <v/>
      </c>
      <c r="AF113" s="20">
        <f>IF(AND(AD113=0,AE113=0),1,0)</f>
        <v/>
      </c>
      <c r="AG113" s="20">
        <f>IF(ISNUMBER(X113),X113,IFERROR(VALUE(LEFT(TEXT(J113,"00000000"),4)),""))</f>
        <v/>
      </c>
      <c r="AH113" s="20">
        <f>IFERROR(XLOOKUP(AG113,Vintage_Rates!$A$2:$A$1000,Vintage_Rates!$B$2:$B$1000,""),"")</f>
        <v/>
      </c>
      <c r="AI113" s="20">
        <f>IF(ISNUMBER(Y113),Y113,IFERROR((G113-AH113)*100,""))</f>
        <v/>
      </c>
      <c r="AJ113" s="20">
        <f>IF(ISNUMBER(V113),V113,IFERROR(XLOOKUP(VALUE(F113),PLC_Rates!$A$2:$A$1000,PLC_Rates!$B$2:$B$1000,""),""))</f>
        <v/>
      </c>
      <c r="AK113" s="20">
        <f>IF(ISNUMBER(Z113),Z113,IF(AE113=0,0,MAX(0,MIN(10,((VALUE(LEFT(TEXT(M113,"00000000"),4))-VALUE(LEFT(F113,4)))*12+(VALUE(MID(TEXT(M113,"00000000"),5,2))-VALUE(MID(F113,5,2))))/12))))</f>
        <v/>
      </c>
      <c r="AL113" s="20">
        <f>IFERROR(G113*100-AJ113,"")</f>
        <v/>
      </c>
      <c r="AM113" s="20">
        <f>IFERROR(G113*100-(AJ113+(1+AK113)*12.5),"")</f>
        <v/>
      </c>
      <c r="AN113" s="21">
        <f>IFERROR(MIN(H113/1000000,100),"")</f>
        <v/>
      </c>
      <c r="AO113" s="20">
        <f>IFERROR(INDEX(FHA_Lookup!$B$2:$B$11,MATCH(TRUE,ISNUMBER(SEARCH(FHA_Lookup!$A$2:$A$11,UPPER(SUBSTITUTE(O113," ","")))),0)),"OTHER")</f>
        <v/>
      </c>
      <c r="AP113" s="20">
        <f>IFERROR(INDEX(FHA_Lookup!$C$2:$C$11,MATCH(TRUE,ISNUMBER(SEARCH(FHA_Lookup!$A$2:$A$11,UPPER(SUBSTITUTE(O113," ","")))),0)),"OTHER")</f>
        <v/>
      </c>
      <c r="AQ113" s="20">
        <f>IF(AP113="NC",1,0)</f>
        <v/>
      </c>
      <c r="AR113" s="20">
        <f>IF(UPPER(TRIM(P113))="AFF",1,0)</f>
        <v/>
      </c>
      <c r="AS113" s="20">
        <f>IF(UPPER(TRIM(P113))="BAF",1,0)</f>
        <v/>
      </c>
      <c r="AT113" s="20">
        <f>IF(UPPER(TRIM(P113))="MKT",1,0)</f>
        <v/>
      </c>
      <c r="AU113" s="20">
        <f>IF(AO113="221d4",1,0)</f>
        <v/>
      </c>
      <c r="AV113" s="20">
        <f>IF(AO113="223a7",1,0)</f>
        <v/>
      </c>
      <c r="AW113" s="20">
        <f>IF(AO113="232",1,0)</f>
        <v/>
      </c>
      <c r="AX113" s="20">
        <f>IF(AO113="538",1,0)</f>
        <v/>
      </c>
      <c r="AY113" s="20">
        <f>IF(AO113="241",1,0)</f>
        <v/>
      </c>
      <c r="AZ113" s="20">
        <f>IF(AO113="220",1,0)</f>
        <v/>
      </c>
      <c r="BA113" s="20">
        <f>IF(AO113="OTHER",1,0)</f>
        <v/>
      </c>
      <c r="BB113" s="20">
        <f>IF(UPPER(TRIM(C113))="LM",1,0)</f>
        <v/>
      </c>
      <c r="BC113" s="20">
        <f>IF(UPPER(TRIM(C113))="PN",1,0)</f>
        <v/>
      </c>
      <c r="BD113" s="20">
        <f>IF(UPPER(TRIM(C113))="LS",1,0)</f>
        <v/>
      </c>
      <c r="BE113" s="20">
        <f>IF(UPPER(TRIM(C113))="RX",1,0)</f>
        <v/>
      </c>
      <c r="BF113" s="22">
        <f>IFERROR((Parameters!$C$6*AM113+Parameters!$C$7*MAX(AM113-(-150),0)+Parameters!$C$8*MAX(AM113-(-50),0)+Parameters!$C$9*MAX(AM113-(0),0)+Parameters!$C$10*MAX(AM113-(50),0)+Parameters!$C$11*MAX(AM113-(100),0)+Parameters!$C$12*MAX(AM113-(150),0)+Parameters!$C$13*MAX(AM113-(250),0)),0)</f>
        <v/>
      </c>
      <c r="BG113" s="22">
        <f>IFERROR((Parameters!$C$14*AA113+Parameters!$C$15*MAX(AA113-(12),0)+Parameters!$C$16*MAX(AA113-(36),0)+Parameters!$C$17*MAX(AA113-(60),0)+Parameters!$C$18*MAX(AA113-(84),0)+Parameters!$C$19*MAX(AA113-(120),0)+Parameters!$C$20*MAX(AA113-(180),0)),0)</f>
        <v/>
      </c>
      <c r="BH113" s="22">
        <f>IFERROR((Parameters!$C$21*AK113+Parameters!$C$22*MAX(AK113-(0),0)+Parameters!$C$23*MAX(AK113-(2),0)+Parameters!$C$24*MAX(AK113-(5),0)+Parameters!$C$25*MAX(AK113-(8),0)),0)</f>
        <v/>
      </c>
      <c r="BI113" s="22">
        <f>IFERROR((Parameters!$C$26*AI113+Parameters!$C$27*MAX(AI113-(-100),0)+Parameters!$C$28*MAX(AI113-(-25),0)+Parameters!$C$29*MAX(AI113-(25),0)+Parameters!$C$30*MAX(AI113-(100),0)),0)</f>
        <v/>
      </c>
      <c r="BJ113" s="22">
        <f>IFERROR((Parameters!$C$31*AN113+Parameters!$C$32*MAX(AN113-(2),0)+Parameters!$C$33*MAX(AN113-(10),0)+Parameters!$C$34*MAX(AN113-(25),0)),0)</f>
        <v/>
      </c>
      <c r="BK113" s="22">
        <f>IFERROR((Parameters!$C$35*AB113+Parameters!$C$36*MAX(AB113-(12),0)+Parameters!$C$37*MAX(AB113-(24),0)+Parameters!$C$38*MAX(AB113-(60),0)),0)</f>
        <v/>
      </c>
      <c r="BL113" s="22">
        <f>IFERROR((Parameters!$C$39*AC113+Parameters!$C$40*MAX(AC113-(6),0)+Parameters!$C$41*MAX(AC113-(12),0)+Parameters!$C$42*MAX(AC113-(24),0)),0)</f>
        <v/>
      </c>
      <c r="BM113" s="22">
        <f>IFERROR(Parameters!$C$43*(MAX(AM113,0)*MIN(MAX(AK113,0),10))/100,0)</f>
        <v/>
      </c>
      <c r="BN113" s="22">
        <f>Parameters!$C$44*AE113</f>
        <v/>
      </c>
      <c r="BO113" s="22">
        <f>Parameters!$C$45*AU113 + Parameters!$C$46*AV113 + Parameters!$C$47*AW113 + Parameters!$C$48*AX113 + Parameters!$C$49*AY113 + Parameters!$C$50*AZ113 + Parameters!$C$51*BA113</f>
        <v/>
      </c>
      <c r="BP113" s="22">
        <f>Parameters!$C$52*AQ113</f>
        <v/>
      </c>
      <c r="BQ113" s="22">
        <f>Parameters!$C$53*AR113+Parameters!$C$54*AS113+Parameters!$C$55*AT113</f>
        <v/>
      </c>
      <c r="BR113" s="22">
        <f>Parameters!$C$56*BB113+Parameters!$C$57*BC113+Parameters!$C$58*BD113+Parameters!$C$59*BE113</f>
        <v/>
      </c>
      <c r="BS113" s="23">
        <f>Parameters!$B$2</f>
        <v/>
      </c>
      <c r="BT113" s="23">
        <f>BS113+BF113 + BG113 + BH113 + BI113 + BJ113 + BK113 + BL113 + BM113 + BN113 + BO113 + BP113 + BQ113 + BR113</f>
        <v/>
      </c>
      <c r="BU113" s="24">
        <f>IF(AD113=1,0,1/(1+EXP(-BT113))*Parameters!$B$3)</f>
        <v/>
      </c>
      <c r="BV113" s="25">
        <f>(1-(1-BU113)^12)*100</f>
        <v/>
      </c>
      <c r="BW113" s="25">
        <f>IF(AD113=1,0,(1-(1-1/(1+EXP(-Parameters!$B$2)))^12)*100)</f>
        <v/>
      </c>
      <c r="BX113" s="25">
        <f>IF(AD113=1,0,BV113-(1-(1-(1/(1+EXP(-(BT113-BF113)))*Parameters!$B$3))^12)*100)</f>
        <v/>
      </c>
      <c r="BY113" s="25">
        <f>IF(AD113=1,0,BV113-(1-(1-(1/(1+EXP(-(BT113-BG113)))*Parameters!$B$3))^12)*100)</f>
        <v/>
      </c>
      <c r="BZ113" s="25">
        <f>IF(AD113=1,0,BV113-(1-(1-(1/(1+EXP(-(BT113-BH113)))*Parameters!$B$3))^12)*100)</f>
        <v/>
      </c>
      <c r="CA113" s="25">
        <f>IF(AD113=1,0,BV113-(1-(1-(1/(1+EXP(-(BT113-BI113)))*Parameters!$B$3))^12)*100)</f>
        <v/>
      </c>
      <c r="CB113" s="25">
        <f>IF(AD113=1,0,BV113-(1-(1-(1/(1+EXP(-(BT113-BJ113)))*Parameters!$B$3))^12)*100)</f>
        <v/>
      </c>
      <c r="CC113" s="25">
        <f>IF(AD113=1,0,BV113-(1-(1-(1/(1+EXP(-(BT113-BK113)))*Parameters!$B$3))^12)*100)</f>
        <v/>
      </c>
      <c r="CD113" s="25">
        <f>IF(AD113=1,0,BV113-(1-(1-(1/(1+EXP(-(BT113-BL113)))*Parameters!$B$3))^12)*100)</f>
        <v/>
      </c>
      <c r="CE113" s="25">
        <f>IF(AD113=1,0,BV113-(1-(1-(1/(1+EXP(-(BT113-BM113)))*Parameters!$B$3))^12)*100)</f>
        <v/>
      </c>
      <c r="CF113" s="25">
        <f>IF(AD113=1,0,BV113-(1-(1-(1/(1+EXP(-(BT113-BN113)))*Parameters!$B$3))^12)*100)</f>
        <v/>
      </c>
      <c r="CG113" s="25">
        <f>IF(AD113=1,0,BV113-(1-(1-(1/(1+EXP(-(BT113-BO113)))*Parameters!$B$3))^12)*100)</f>
        <v/>
      </c>
      <c r="CH113" s="25">
        <f>IF(AD113=1,0,BV113-(1-(1-(1/(1+EXP(-(BT113-BP113)))*Parameters!$B$3))^12)*100)</f>
        <v/>
      </c>
      <c r="CI113" s="25">
        <f>IF(AD113=1,0,BV113-(1-(1-(1/(1+EXP(-(BT113-BQ113)))*Parameters!$B$3))^12)*100)</f>
        <v/>
      </c>
      <c r="CJ113" s="25">
        <f>IF(AD113=1,0,BV113-(1-(1-(1/(1+EXP(-(BT113-BR113)))*Parameters!$B$3))^12)*100)</f>
        <v/>
      </c>
    </row>
    <row r="114">
      <c r="A114" s="17" t="inlineStr">
        <is>
          <t>GNR_HC_2020</t>
        </is>
      </c>
      <c r="B114" s="17" t="inlineStr">
        <is>
          <t>3617VPHK7</t>
        </is>
      </c>
      <c r="C114" s="17" t="inlineStr">
        <is>
          <t>PN</t>
        </is>
      </c>
      <c r="D114" s="17" t="inlineStr">
        <is>
          <t>COLLIERS MORTGAGE LLC</t>
        </is>
      </c>
      <c r="E114" s="17" t="inlineStr">
        <is>
          <t>3617VPHK7_000000005222137</t>
        </is>
      </c>
      <c r="F114" s="17" t="n">
        <v>202603</v>
      </c>
      <c r="G114" s="18" t="n">
        <v>2.65</v>
      </c>
      <c r="H114" s="19" t="n">
        <v>17843817.46</v>
      </c>
      <c r="I114" s="17" t="n">
        <v>420</v>
      </c>
      <c r="J114" s="17" t="n">
        <v>20210501</v>
      </c>
      <c r="K114" s="17" t="n">
        <v>20560601</v>
      </c>
      <c r="L114" s="17" t="n"/>
      <c r="M114" s="17" t="n">
        <v>20310701</v>
      </c>
      <c r="N114" s="17" t="n">
        <v>10</v>
      </c>
      <c r="O114" s="17" t="inlineStr">
        <is>
          <t>232/223(A)(7)</t>
        </is>
      </c>
      <c r="P114" s="17" t="inlineStr">
        <is>
          <t>MKT</t>
        </is>
      </c>
      <c r="Q114" s="17" t="n"/>
      <c r="R114" s="17" t="n"/>
      <c r="S114" s="17" t="n"/>
      <c r="T114" s="17" t="inlineStr">
        <is>
          <t>MD</t>
        </is>
      </c>
      <c r="U114" s="17" t="n">
        <v>87</v>
      </c>
      <c r="V114" s="17" t="n">
        <v>490.5</v>
      </c>
      <c r="W114" s="17" t="n">
        <v>58</v>
      </c>
      <c r="X114" s="17" t="n">
        <v>2021</v>
      </c>
      <c r="Y114" s="17" t="n">
        <v>7</v>
      </c>
      <c r="Z114" s="17" t="n">
        <v>7</v>
      </c>
      <c r="AA114" s="20">
        <f>IF(ISNUMBER(W114),W114,IFERROR(MAX(0,(VALUE(LEFT(F114,4))-VALUE(LEFT(TEXT(J114,"00000000"),4)))*12+(VALUE(MID(F114,5,2))-VALUE(MID(TEXT(J114,"00000000"),5,2)))),""))</f>
        <v/>
      </c>
      <c r="AB114" s="20">
        <f>IFERROR((VALUE(LEFT(TEXT(K114,"00000000"),4))-VALUE(LEFT(F114,4)))*12+(VALUE(MID(TEXT(K114,"00000000"),5,2))-VALUE(MID(F114,5,2))),"")</f>
        <v/>
      </c>
      <c r="AC114" s="20">
        <f>IF(OR(L114="",NOT(ISNUMBER(L114))),0,MAX(0,MIN(60,(VALUE(LEFT(F114,4))-VALUE(LEFT(TEXT(L114,"00000000"),4)))*12+(VALUE(MID(F114,5,2))-VALUE(MID(TEXT(L114,"00000000"),5,2))))))</f>
        <v/>
      </c>
      <c r="AD114" s="20">
        <f>IF(OR(L114="",NOT(ISNUMBER(L114))),0,IF(VALUE(F114)&lt;VALUE(LEFT(TEXT(L114,"00000000"),6)),1,0))</f>
        <v/>
      </c>
      <c r="AE114" s="20">
        <f>IF(OR(M114="",NOT(ISNUMBER(M114))),0,IF(VALUE(F114)&lt;VALUE(LEFT(TEXT(M114,"00000000"),6)),1,0))</f>
        <v/>
      </c>
      <c r="AF114" s="20">
        <f>IF(AND(AD114=0,AE114=0),1,0)</f>
        <v/>
      </c>
      <c r="AG114" s="20">
        <f>IF(ISNUMBER(X114),X114,IFERROR(VALUE(LEFT(TEXT(J114,"00000000"),4)),""))</f>
        <v/>
      </c>
      <c r="AH114" s="20">
        <f>IFERROR(XLOOKUP(AG114,Vintage_Rates!$A$2:$A$1000,Vintage_Rates!$B$2:$B$1000,""),"")</f>
        <v/>
      </c>
      <c r="AI114" s="20">
        <f>IF(ISNUMBER(Y114),Y114,IFERROR((G114-AH114)*100,""))</f>
        <v/>
      </c>
      <c r="AJ114" s="20">
        <f>IF(ISNUMBER(V114),V114,IFERROR(XLOOKUP(VALUE(F114),PLC_Rates!$A$2:$A$1000,PLC_Rates!$B$2:$B$1000,""),""))</f>
        <v/>
      </c>
      <c r="AK114" s="20">
        <f>IF(ISNUMBER(Z114),Z114,IF(AE114=0,0,MAX(0,MIN(10,((VALUE(LEFT(TEXT(M114,"00000000"),4))-VALUE(LEFT(F114,4)))*12+(VALUE(MID(TEXT(M114,"00000000"),5,2))-VALUE(MID(F114,5,2))))/12))))</f>
        <v/>
      </c>
      <c r="AL114" s="20">
        <f>IFERROR(G114*100-AJ114,"")</f>
        <v/>
      </c>
      <c r="AM114" s="20">
        <f>IFERROR(G114*100-(AJ114+(1+AK114)*12.5),"")</f>
        <v/>
      </c>
      <c r="AN114" s="21">
        <f>IFERROR(MIN(H114/1000000,100),"")</f>
        <v/>
      </c>
      <c r="AO114" s="20">
        <f>IFERROR(INDEX(FHA_Lookup!$B$2:$B$11,MATCH(TRUE,ISNUMBER(SEARCH(FHA_Lookup!$A$2:$A$11,UPPER(SUBSTITUTE(O114," ","")))),0)),"OTHER")</f>
        <v/>
      </c>
      <c r="AP114" s="20">
        <f>IFERROR(INDEX(FHA_Lookup!$C$2:$C$11,MATCH(TRUE,ISNUMBER(SEARCH(FHA_Lookup!$A$2:$A$11,UPPER(SUBSTITUTE(O114," ","")))),0)),"OTHER")</f>
        <v/>
      </c>
      <c r="AQ114" s="20">
        <f>IF(AP114="NC",1,0)</f>
        <v/>
      </c>
      <c r="AR114" s="20">
        <f>IF(UPPER(TRIM(P114))="AFF",1,0)</f>
        <v/>
      </c>
      <c r="AS114" s="20">
        <f>IF(UPPER(TRIM(P114))="BAF",1,0)</f>
        <v/>
      </c>
      <c r="AT114" s="20">
        <f>IF(UPPER(TRIM(P114))="MKT",1,0)</f>
        <v/>
      </c>
      <c r="AU114" s="20">
        <f>IF(AO114="221d4",1,0)</f>
        <v/>
      </c>
      <c r="AV114" s="20">
        <f>IF(AO114="223a7",1,0)</f>
        <v/>
      </c>
      <c r="AW114" s="20">
        <f>IF(AO114="232",1,0)</f>
        <v/>
      </c>
      <c r="AX114" s="20">
        <f>IF(AO114="538",1,0)</f>
        <v/>
      </c>
      <c r="AY114" s="20">
        <f>IF(AO114="241",1,0)</f>
        <v/>
      </c>
      <c r="AZ114" s="20">
        <f>IF(AO114="220",1,0)</f>
        <v/>
      </c>
      <c r="BA114" s="20">
        <f>IF(AO114="OTHER",1,0)</f>
        <v/>
      </c>
      <c r="BB114" s="20">
        <f>IF(UPPER(TRIM(C114))="LM",1,0)</f>
        <v/>
      </c>
      <c r="BC114" s="20">
        <f>IF(UPPER(TRIM(C114))="PN",1,0)</f>
        <v/>
      </c>
      <c r="BD114" s="20">
        <f>IF(UPPER(TRIM(C114))="LS",1,0)</f>
        <v/>
      </c>
      <c r="BE114" s="20">
        <f>IF(UPPER(TRIM(C114))="RX",1,0)</f>
        <v/>
      </c>
      <c r="BF114" s="22">
        <f>IFERROR((Parameters!$C$6*AM114+Parameters!$C$7*MAX(AM114-(-150),0)+Parameters!$C$8*MAX(AM114-(-50),0)+Parameters!$C$9*MAX(AM114-(0),0)+Parameters!$C$10*MAX(AM114-(50),0)+Parameters!$C$11*MAX(AM114-(100),0)+Parameters!$C$12*MAX(AM114-(150),0)+Parameters!$C$13*MAX(AM114-(250),0)),0)</f>
        <v/>
      </c>
      <c r="BG114" s="22">
        <f>IFERROR((Parameters!$C$14*AA114+Parameters!$C$15*MAX(AA114-(12),0)+Parameters!$C$16*MAX(AA114-(36),0)+Parameters!$C$17*MAX(AA114-(60),0)+Parameters!$C$18*MAX(AA114-(84),0)+Parameters!$C$19*MAX(AA114-(120),0)+Parameters!$C$20*MAX(AA114-(180),0)),0)</f>
        <v/>
      </c>
      <c r="BH114" s="22">
        <f>IFERROR((Parameters!$C$21*AK114+Parameters!$C$22*MAX(AK114-(0),0)+Parameters!$C$23*MAX(AK114-(2),0)+Parameters!$C$24*MAX(AK114-(5),0)+Parameters!$C$25*MAX(AK114-(8),0)),0)</f>
        <v/>
      </c>
      <c r="BI114" s="22">
        <f>IFERROR((Parameters!$C$26*AI114+Parameters!$C$27*MAX(AI114-(-100),0)+Parameters!$C$28*MAX(AI114-(-25),0)+Parameters!$C$29*MAX(AI114-(25),0)+Parameters!$C$30*MAX(AI114-(100),0)),0)</f>
        <v/>
      </c>
      <c r="BJ114" s="22">
        <f>IFERROR((Parameters!$C$31*AN114+Parameters!$C$32*MAX(AN114-(2),0)+Parameters!$C$33*MAX(AN114-(10),0)+Parameters!$C$34*MAX(AN114-(25),0)),0)</f>
        <v/>
      </c>
      <c r="BK114" s="22">
        <f>IFERROR((Parameters!$C$35*AB114+Parameters!$C$36*MAX(AB114-(12),0)+Parameters!$C$37*MAX(AB114-(24),0)+Parameters!$C$38*MAX(AB114-(60),0)),0)</f>
        <v/>
      </c>
      <c r="BL114" s="22">
        <f>IFERROR((Parameters!$C$39*AC114+Parameters!$C$40*MAX(AC114-(6),0)+Parameters!$C$41*MAX(AC114-(12),0)+Parameters!$C$42*MAX(AC114-(24),0)),0)</f>
        <v/>
      </c>
      <c r="BM114" s="22">
        <f>IFERROR(Parameters!$C$43*(MAX(AM114,0)*MIN(MAX(AK114,0),10))/100,0)</f>
        <v/>
      </c>
      <c r="BN114" s="22">
        <f>Parameters!$C$44*AE114</f>
        <v/>
      </c>
      <c r="BO114" s="22">
        <f>Parameters!$C$45*AU114 + Parameters!$C$46*AV114 + Parameters!$C$47*AW114 + Parameters!$C$48*AX114 + Parameters!$C$49*AY114 + Parameters!$C$50*AZ114 + Parameters!$C$51*BA114</f>
        <v/>
      </c>
      <c r="BP114" s="22">
        <f>Parameters!$C$52*AQ114</f>
        <v/>
      </c>
      <c r="BQ114" s="22">
        <f>Parameters!$C$53*AR114+Parameters!$C$54*AS114+Parameters!$C$55*AT114</f>
        <v/>
      </c>
      <c r="BR114" s="22">
        <f>Parameters!$C$56*BB114+Parameters!$C$57*BC114+Parameters!$C$58*BD114+Parameters!$C$59*BE114</f>
        <v/>
      </c>
      <c r="BS114" s="23">
        <f>Parameters!$B$2</f>
        <v/>
      </c>
      <c r="BT114" s="23">
        <f>BS114+BF114 + BG114 + BH114 + BI114 + BJ114 + BK114 + BL114 + BM114 + BN114 + BO114 + BP114 + BQ114 + BR114</f>
        <v/>
      </c>
      <c r="BU114" s="24">
        <f>IF(AD114=1,0,1/(1+EXP(-BT114))*Parameters!$B$3)</f>
        <v/>
      </c>
      <c r="BV114" s="25">
        <f>(1-(1-BU114)^12)*100</f>
        <v/>
      </c>
      <c r="BW114" s="25">
        <f>IF(AD114=1,0,(1-(1-1/(1+EXP(-Parameters!$B$2)))^12)*100)</f>
        <v/>
      </c>
      <c r="BX114" s="25">
        <f>IF(AD114=1,0,BV114-(1-(1-(1/(1+EXP(-(BT114-BF114)))*Parameters!$B$3))^12)*100)</f>
        <v/>
      </c>
      <c r="BY114" s="25">
        <f>IF(AD114=1,0,BV114-(1-(1-(1/(1+EXP(-(BT114-BG114)))*Parameters!$B$3))^12)*100)</f>
        <v/>
      </c>
      <c r="BZ114" s="25">
        <f>IF(AD114=1,0,BV114-(1-(1-(1/(1+EXP(-(BT114-BH114)))*Parameters!$B$3))^12)*100)</f>
        <v/>
      </c>
      <c r="CA114" s="25">
        <f>IF(AD114=1,0,BV114-(1-(1-(1/(1+EXP(-(BT114-BI114)))*Parameters!$B$3))^12)*100)</f>
        <v/>
      </c>
      <c r="CB114" s="25">
        <f>IF(AD114=1,0,BV114-(1-(1-(1/(1+EXP(-(BT114-BJ114)))*Parameters!$B$3))^12)*100)</f>
        <v/>
      </c>
      <c r="CC114" s="25">
        <f>IF(AD114=1,0,BV114-(1-(1-(1/(1+EXP(-(BT114-BK114)))*Parameters!$B$3))^12)*100)</f>
        <v/>
      </c>
      <c r="CD114" s="25">
        <f>IF(AD114=1,0,BV114-(1-(1-(1/(1+EXP(-(BT114-BL114)))*Parameters!$B$3))^12)*100)</f>
        <v/>
      </c>
      <c r="CE114" s="25">
        <f>IF(AD114=1,0,BV114-(1-(1-(1/(1+EXP(-(BT114-BM114)))*Parameters!$B$3))^12)*100)</f>
        <v/>
      </c>
      <c r="CF114" s="25">
        <f>IF(AD114=1,0,BV114-(1-(1-(1/(1+EXP(-(BT114-BN114)))*Parameters!$B$3))^12)*100)</f>
        <v/>
      </c>
      <c r="CG114" s="25">
        <f>IF(AD114=1,0,BV114-(1-(1-(1/(1+EXP(-(BT114-BO114)))*Parameters!$B$3))^12)*100)</f>
        <v/>
      </c>
      <c r="CH114" s="25">
        <f>IF(AD114=1,0,BV114-(1-(1-(1/(1+EXP(-(BT114-BP114)))*Parameters!$B$3))^12)*100)</f>
        <v/>
      </c>
      <c r="CI114" s="25">
        <f>IF(AD114=1,0,BV114-(1-(1-(1/(1+EXP(-(BT114-BQ114)))*Parameters!$B$3))^12)*100)</f>
        <v/>
      </c>
      <c r="CJ114" s="25">
        <f>IF(AD114=1,0,BV114-(1-(1-(1/(1+EXP(-(BT114-BR114)))*Parameters!$B$3))^12)*100)</f>
        <v/>
      </c>
    </row>
    <row r="115">
      <c r="A115" s="17" t="inlineStr">
        <is>
          <t>GNR_HC_2020</t>
        </is>
      </c>
      <c r="B115" s="17" t="inlineStr">
        <is>
          <t>3617QRJ76</t>
        </is>
      </c>
      <c r="C115" s="17" t="inlineStr">
        <is>
          <t>PN</t>
        </is>
      </c>
      <c r="D115" s="17" t="inlineStr">
        <is>
          <t>CAMBRIDGE REALTY CAPITAL LTD OF ILLINOIS</t>
        </is>
      </c>
      <c r="E115" s="17" t="inlineStr">
        <is>
          <t>3617QRJ76_000000007122490</t>
        </is>
      </c>
      <c r="F115" s="17" t="n">
        <v>202603</v>
      </c>
      <c r="G115" s="18" t="n">
        <v>2.6</v>
      </c>
      <c r="H115" s="19" t="n">
        <v>11637016.85</v>
      </c>
      <c r="I115" s="17" t="n">
        <v>419</v>
      </c>
      <c r="J115" s="17" t="n">
        <v>20210701</v>
      </c>
      <c r="K115" s="17" t="n">
        <v>20560801</v>
      </c>
      <c r="L115" s="17" t="n"/>
      <c r="M115" s="17" t="n">
        <v>20310901</v>
      </c>
      <c r="N115" s="17" t="n">
        <v>10</v>
      </c>
      <c r="O115" s="17" t="inlineStr">
        <is>
          <t>223(A)(7)/232</t>
        </is>
      </c>
      <c r="P115" s="17" t="inlineStr">
        <is>
          <t>MKT</t>
        </is>
      </c>
      <c r="Q115" s="17" t="n"/>
      <c r="R115" s="17" t="n"/>
      <c r="S115" s="17" t="n"/>
      <c r="T115" s="17" t="inlineStr">
        <is>
          <t>IL</t>
        </is>
      </c>
      <c r="U115" s="17" t="n">
        <v>117</v>
      </c>
      <c r="V115" s="17" t="n">
        <v>490.5</v>
      </c>
      <c r="W115" s="17" t="n">
        <v>56</v>
      </c>
      <c r="X115" s="17" t="n">
        <v>2021</v>
      </c>
      <c r="Y115" s="17" t="n">
        <v>2</v>
      </c>
      <c r="Z115" s="17" t="n">
        <v>10</v>
      </c>
      <c r="AA115" s="20">
        <f>IF(ISNUMBER(W115),W115,IFERROR(MAX(0,(VALUE(LEFT(F115,4))-VALUE(LEFT(TEXT(J115,"00000000"),4)))*12+(VALUE(MID(F115,5,2))-VALUE(MID(TEXT(J115,"00000000"),5,2)))),""))</f>
        <v/>
      </c>
      <c r="AB115" s="20">
        <f>IFERROR((VALUE(LEFT(TEXT(K115,"00000000"),4))-VALUE(LEFT(F115,4)))*12+(VALUE(MID(TEXT(K115,"00000000"),5,2))-VALUE(MID(F115,5,2))),"")</f>
        <v/>
      </c>
      <c r="AC115" s="20">
        <f>IF(OR(L115="",NOT(ISNUMBER(L115))),0,MAX(0,MIN(60,(VALUE(LEFT(F115,4))-VALUE(LEFT(TEXT(L115,"00000000"),4)))*12+(VALUE(MID(F115,5,2))-VALUE(MID(TEXT(L115,"00000000"),5,2))))))</f>
        <v/>
      </c>
      <c r="AD115" s="20">
        <f>IF(OR(L115="",NOT(ISNUMBER(L115))),0,IF(VALUE(F115)&lt;VALUE(LEFT(TEXT(L115,"00000000"),6)),1,0))</f>
        <v/>
      </c>
      <c r="AE115" s="20">
        <f>IF(OR(M115="",NOT(ISNUMBER(M115))),0,IF(VALUE(F115)&lt;VALUE(LEFT(TEXT(M115,"00000000"),6)),1,0))</f>
        <v/>
      </c>
      <c r="AF115" s="20">
        <f>IF(AND(AD115=0,AE115=0),1,0)</f>
        <v/>
      </c>
      <c r="AG115" s="20">
        <f>IF(ISNUMBER(X115),X115,IFERROR(VALUE(LEFT(TEXT(J115,"00000000"),4)),""))</f>
        <v/>
      </c>
      <c r="AH115" s="20">
        <f>IFERROR(XLOOKUP(AG115,Vintage_Rates!$A$2:$A$1000,Vintage_Rates!$B$2:$B$1000,""),"")</f>
        <v/>
      </c>
      <c r="AI115" s="20">
        <f>IF(ISNUMBER(Y115),Y115,IFERROR((G115-AH115)*100,""))</f>
        <v/>
      </c>
      <c r="AJ115" s="20">
        <f>IF(ISNUMBER(V115),V115,IFERROR(XLOOKUP(VALUE(F115),PLC_Rates!$A$2:$A$1000,PLC_Rates!$B$2:$B$1000,""),""))</f>
        <v/>
      </c>
      <c r="AK115" s="20">
        <f>IF(ISNUMBER(Z115),Z115,IF(AE115=0,0,MAX(0,MIN(10,((VALUE(LEFT(TEXT(M115,"00000000"),4))-VALUE(LEFT(F115,4)))*12+(VALUE(MID(TEXT(M115,"00000000"),5,2))-VALUE(MID(F115,5,2))))/12))))</f>
        <v/>
      </c>
      <c r="AL115" s="20">
        <f>IFERROR(G115*100-AJ115,"")</f>
        <v/>
      </c>
      <c r="AM115" s="20">
        <f>IFERROR(G115*100-(AJ115+(1+AK115)*12.5),"")</f>
        <v/>
      </c>
      <c r="AN115" s="21">
        <f>IFERROR(MIN(H115/1000000,100),"")</f>
        <v/>
      </c>
      <c r="AO115" s="20">
        <f>IFERROR(INDEX(FHA_Lookup!$B$2:$B$11,MATCH(TRUE,ISNUMBER(SEARCH(FHA_Lookup!$A$2:$A$11,UPPER(SUBSTITUTE(O115," ","")))),0)),"OTHER")</f>
        <v/>
      </c>
      <c r="AP115" s="20">
        <f>IFERROR(INDEX(FHA_Lookup!$C$2:$C$11,MATCH(TRUE,ISNUMBER(SEARCH(FHA_Lookup!$A$2:$A$11,UPPER(SUBSTITUTE(O115," ","")))),0)),"OTHER")</f>
        <v/>
      </c>
      <c r="AQ115" s="20">
        <f>IF(AP115="NC",1,0)</f>
        <v/>
      </c>
      <c r="AR115" s="20">
        <f>IF(UPPER(TRIM(P115))="AFF",1,0)</f>
        <v/>
      </c>
      <c r="AS115" s="20">
        <f>IF(UPPER(TRIM(P115))="BAF",1,0)</f>
        <v/>
      </c>
      <c r="AT115" s="20">
        <f>IF(UPPER(TRIM(P115))="MKT",1,0)</f>
        <v/>
      </c>
      <c r="AU115" s="20">
        <f>IF(AO115="221d4",1,0)</f>
        <v/>
      </c>
      <c r="AV115" s="20">
        <f>IF(AO115="223a7",1,0)</f>
        <v/>
      </c>
      <c r="AW115" s="20">
        <f>IF(AO115="232",1,0)</f>
        <v/>
      </c>
      <c r="AX115" s="20">
        <f>IF(AO115="538",1,0)</f>
        <v/>
      </c>
      <c r="AY115" s="20">
        <f>IF(AO115="241",1,0)</f>
        <v/>
      </c>
      <c r="AZ115" s="20">
        <f>IF(AO115="220",1,0)</f>
        <v/>
      </c>
      <c r="BA115" s="20">
        <f>IF(AO115="OTHER",1,0)</f>
        <v/>
      </c>
      <c r="BB115" s="20">
        <f>IF(UPPER(TRIM(C115))="LM",1,0)</f>
        <v/>
      </c>
      <c r="BC115" s="20">
        <f>IF(UPPER(TRIM(C115))="PN",1,0)</f>
        <v/>
      </c>
      <c r="BD115" s="20">
        <f>IF(UPPER(TRIM(C115))="LS",1,0)</f>
        <v/>
      </c>
      <c r="BE115" s="20">
        <f>IF(UPPER(TRIM(C115))="RX",1,0)</f>
        <v/>
      </c>
      <c r="BF115" s="22">
        <f>IFERROR((Parameters!$C$6*AM115+Parameters!$C$7*MAX(AM115-(-150),0)+Parameters!$C$8*MAX(AM115-(-50),0)+Parameters!$C$9*MAX(AM115-(0),0)+Parameters!$C$10*MAX(AM115-(50),0)+Parameters!$C$11*MAX(AM115-(100),0)+Parameters!$C$12*MAX(AM115-(150),0)+Parameters!$C$13*MAX(AM115-(250),0)),0)</f>
        <v/>
      </c>
      <c r="BG115" s="22">
        <f>IFERROR((Parameters!$C$14*AA115+Parameters!$C$15*MAX(AA115-(12),0)+Parameters!$C$16*MAX(AA115-(36),0)+Parameters!$C$17*MAX(AA115-(60),0)+Parameters!$C$18*MAX(AA115-(84),0)+Parameters!$C$19*MAX(AA115-(120),0)+Parameters!$C$20*MAX(AA115-(180),0)),0)</f>
        <v/>
      </c>
      <c r="BH115" s="22">
        <f>IFERROR((Parameters!$C$21*AK115+Parameters!$C$22*MAX(AK115-(0),0)+Parameters!$C$23*MAX(AK115-(2),0)+Parameters!$C$24*MAX(AK115-(5),0)+Parameters!$C$25*MAX(AK115-(8),0)),0)</f>
        <v/>
      </c>
      <c r="BI115" s="22">
        <f>IFERROR((Parameters!$C$26*AI115+Parameters!$C$27*MAX(AI115-(-100),0)+Parameters!$C$28*MAX(AI115-(-25),0)+Parameters!$C$29*MAX(AI115-(25),0)+Parameters!$C$30*MAX(AI115-(100),0)),0)</f>
        <v/>
      </c>
      <c r="BJ115" s="22">
        <f>IFERROR((Parameters!$C$31*AN115+Parameters!$C$32*MAX(AN115-(2),0)+Parameters!$C$33*MAX(AN115-(10),0)+Parameters!$C$34*MAX(AN115-(25),0)),0)</f>
        <v/>
      </c>
      <c r="BK115" s="22">
        <f>IFERROR((Parameters!$C$35*AB115+Parameters!$C$36*MAX(AB115-(12),0)+Parameters!$C$37*MAX(AB115-(24),0)+Parameters!$C$38*MAX(AB115-(60),0)),0)</f>
        <v/>
      </c>
      <c r="BL115" s="22">
        <f>IFERROR((Parameters!$C$39*AC115+Parameters!$C$40*MAX(AC115-(6),0)+Parameters!$C$41*MAX(AC115-(12),0)+Parameters!$C$42*MAX(AC115-(24),0)),0)</f>
        <v/>
      </c>
      <c r="BM115" s="22">
        <f>IFERROR(Parameters!$C$43*(MAX(AM115,0)*MIN(MAX(AK115,0),10))/100,0)</f>
        <v/>
      </c>
      <c r="BN115" s="22">
        <f>Parameters!$C$44*AE115</f>
        <v/>
      </c>
      <c r="BO115" s="22">
        <f>Parameters!$C$45*AU115 + Parameters!$C$46*AV115 + Parameters!$C$47*AW115 + Parameters!$C$48*AX115 + Parameters!$C$49*AY115 + Parameters!$C$50*AZ115 + Parameters!$C$51*BA115</f>
        <v/>
      </c>
      <c r="BP115" s="22">
        <f>Parameters!$C$52*AQ115</f>
        <v/>
      </c>
      <c r="BQ115" s="22">
        <f>Parameters!$C$53*AR115+Parameters!$C$54*AS115+Parameters!$C$55*AT115</f>
        <v/>
      </c>
      <c r="BR115" s="22">
        <f>Parameters!$C$56*BB115+Parameters!$C$57*BC115+Parameters!$C$58*BD115+Parameters!$C$59*BE115</f>
        <v/>
      </c>
      <c r="BS115" s="23">
        <f>Parameters!$B$2</f>
        <v/>
      </c>
      <c r="BT115" s="23">
        <f>BS115+BF115 + BG115 + BH115 + BI115 + BJ115 + BK115 + BL115 + BM115 + BN115 + BO115 + BP115 + BQ115 + BR115</f>
        <v/>
      </c>
      <c r="BU115" s="24">
        <f>IF(AD115=1,0,1/(1+EXP(-BT115))*Parameters!$B$3)</f>
        <v/>
      </c>
      <c r="BV115" s="25">
        <f>(1-(1-BU115)^12)*100</f>
        <v/>
      </c>
      <c r="BW115" s="25">
        <f>IF(AD115=1,0,(1-(1-1/(1+EXP(-Parameters!$B$2)))^12)*100)</f>
        <v/>
      </c>
      <c r="BX115" s="25">
        <f>IF(AD115=1,0,BV115-(1-(1-(1/(1+EXP(-(BT115-BF115)))*Parameters!$B$3))^12)*100)</f>
        <v/>
      </c>
      <c r="BY115" s="25">
        <f>IF(AD115=1,0,BV115-(1-(1-(1/(1+EXP(-(BT115-BG115)))*Parameters!$B$3))^12)*100)</f>
        <v/>
      </c>
      <c r="BZ115" s="25">
        <f>IF(AD115=1,0,BV115-(1-(1-(1/(1+EXP(-(BT115-BH115)))*Parameters!$B$3))^12)*100)</f>
        <v/>
      </c>
      <c r="CA115" s="25">
        <f>IF(AD115=1,0,BV115-(1-(1-(1/(1+EXP(-(BT115-BI115)))*Parameters!$B$3))^12)*100)</f>
        <v/>
      </c>
      <c r="CB115" s="25">
        <f>IF(AD115=1,0,BV115-(1-(1-(1/(1+EXP(-(BT115-BJ115)))*Parameters!$B$3))^12)*100)</f>
        <v/>
      </c>
      <c r="CC115" s="25">
        <f>IF(AD115=1,0,BV115-(1-(1-(1/(1+EXP(-(BT115-BK115)))*Parameters!$B$3))^12)*100)</f>
        <v/>
      </c>
      <c r="CD115" s="25">
        <f>IF(AD115=1,0,BV115-(1-(1-(1/(1+EXP(-(BT115-BL115)))*Parameters!$B$3))^12)*100)</f>
        <v/>
      </c>
      <c r="CE115" s="25">
        <f>IF(AD115=1,0,BV115-(1-(1-(1/(1+EXP(-(BT115-BM115)))*Parameters!$B$3))^12)*100)</f>
        <v/>
      </c>
      <c r="CF115" s="25">
        <f>IF(AD115=1,0,BV115-(1-(1-(1/(1+EXP(-(BT115-BN115)))*Parameters!$B$3))^12)*100)</f>
        <v/>
      </c>
      <c r="CG115" s="25">
        <f>IF(AD115=1,0,BV115-(1-(1-(1/(1+EXP(-(BT115-BO115)))*Parameters!$B$3))^12)*100)</f>
        <v/>
      </c>
      <c r="CH115" s="25">
        <f>IF(AD115=1,0,BV115-(1-(1-(1/(1+EXP(-(BT115-BP115)))*Parameters!$B$3))^12)*100)</f>
        <v/>
      </c>
      <c r="CI115" s="25">
        <f>IF(AD115=1,0,BV115-(1-(1-(1/(1+EXP(-(BT115-BQ115)))*Parameters!$B$3))^12)*100)</f>
        <v/>
      </c>
      <c r="CJ115" s="25">
        <f>IF(AD115=1,0,BV115-(1-(1-(1/(1+EXP(-(BT115-BR115)))*Parameters!$B$3))^12)*100)</f>
        <v/>
      </c>
    </row>
    <row r="116">
      <c r="A116" s="17" t="inlineStr">
        <is>
          <t>GNR_HC_2020</t>
        </is>
      </c>
      <c r="B116" s="17" t="inlineStr">
        <is>
          <t>3617NE2Q4</t>
        </is>
      </c>
      <c r="C116" s="17" t="inlineStr">
        <is>
          <t>LM</t>
        </is>
      </c>
      <c r="D116" s="17" t="inlineStr">
        <is>
          <t>CAPITAL ONE, N.A.</t>
        </is>
      </c>
      <c r="E116" s="17" t="inlineStr">
        <is>
          <t>3617NE2Q4_000000008222054</t>
        </is>
      </c>
      <c r="F116" s="17" t="n">
        <v>202603</v>
      </c>
      <c r="G116" s="18" t="n">
        <v>3.2</v>
      </c>
      <c r="H116" s="19" t="n">
        <v>4290113.56</v>
      </c>
      <c r="I116" s="17" t="n">
        <v>360</v>
      </c>
      <c r="J116" s="17" t="n">
        <v>20200601</v>
      </c>
      <c r="K116" s="17" t="n">
        <v>20440701</v>
      </c>
      <c r="L116" s="17" t="n"/>
      <c r="M116" s="17" t="n">
        <v>20300801</v>
      </c>
      <c r="N116" s="17" t="n">
        <v>10</v>
      </c>
      <c r="O116" s="17" t="inlineStr">
        <is>
          <t>232/223(F)</t>
        </is>
      </c>
      <c r="P116" s="17" t="inlineStr">
        <is>
          <t>MKT</t>
        </is>
      </c>
      <c r="Q116" s="17" t="inlineStr">
        <is>
          <t>M</t>
        </is>
      </c>
      <c r="R116" s="17" t="n"/>
      <c r="S116" s="17" t="n">
        <v>1</v>
      </c>
      <c r="T116" s="17" t="inlineStr">
        <is>
          <t>AR</t>
        </is>
      </c>
      <c r="U116" s="17" t="n">
        <v>80</v>
      </c>
      <c r="V116" s="17" t="n">
        <v>490.5</v>
      </c>
      <c r="W116" s="17" t="n">
        <v>69</v>
      </c>
      <c r="X116" s="17" t="n">
        <v>2020</v>
      </c>
      <c r="Y116" s="17" t="n">
        <v>35</v>
      </c>
      <c r="Z116" s="17" t="n">
        <v>5</v>
      </c>
      <c r="AA116" s="20">
        <f>IF(ISNUMBER(W116),W116,IFERROR(MAX(0,(VALUE(LEFT(F116,4))-VALUE(LEFT(TEXT(J116,"00000000"),4)))*12+(VALUE(MID(F116,5,2))-VALUE(MID(TEXT(J116,"00000000"),5,2)))),""))</f>
        <v/>
      </c>
      <c r="AB116" s="20">
        <f>IFERROR((VALUE(LEFT(TEXT(K116,"00000000"),4))-VALUE(LEFT(F116,4)))*12+(VALUE(MID(TEXT(K116,"00000000"),5,2))-VALUE(MID(F116,5,2))),"")</f>
        <v/>
      </c>
      <c r="AC116" s="20">
        <f>IF(OR(L116="",NOT(ISNUMBER(L116))),0,MAX(0,MIN(60,(VALUE(LEFT(F116,4))-VALUE(LEFT(TEXT(L116,"00000000"),4)))*12+(VALUE(MID(F116,5,2))-VALUE(MID(TEXT(L116,"00000000"),5,2))))))</f>
        <v/>
      </c>
      <c r="AD116" s="20">
        <f>IF(OR(L116="",NOT(ISNUMBER(L116))),0,IF(VALUE(F116)&lt;VALUE(LEFT(TEXT(L116,"00000000"),6)),1,0))</f>
        <v/>
      </c>
      <c r="AE116" s="20">
        <f>IF(OR(M116="",NOT(ISNUMBER(M116))),0,IF(VALUE(F116)&lt;VALUE(LEFT(TEXT(M116,"00000000"),6)),1,0))</f>
        <v/>
      </c>
      <c r="AF116" s="20">
        <f>IF(AND(AD116=0,AE116=0),1,0)</f>
        <v/>
      </c>
      <c r="AG116" s="20">
        <f>IF(ISNUMBER(X116),X116,IFERROR(VALUE(LEFT(TEXT(J116,"00000000"),4)),""))</f>
        <v/>
      </c>
      <c r="AH116" s="20">
        <f>IFERROR(XLOOKUP(AG116,Vintage_Rates!$A$2:$A$1000,Vintage_Rates!$B$2:$B$1000,""),"")</f>
        <v/>
      </c>
      <c r="AI116" s="20">
        <f>IF(ISNUMBER(Y116),Y116,IFERROR((G116-AH116)*100,""))</f>
        <v/>
      </c>
      <c r="AJ116" s="20">
        <f>IF(ISNUMBER(V116),V116,IFERROR(XLOOKUP(VALUE(F116),PLC_Rates!$A$2:$A$1000,PLC_Rates!$B$2:$B$1000,""),""))</f>
        <v/>
      </c>
      <c r="AK116" s="20">
        <f>IF(ISNUMBER(Z116),Z116,IF(AE116=0,0,MAX(0,MIN(10,((VALUE(LEFT(TEXT(M116,"00000000"),4))-VALUE(LEFT(F116,4)))*12+(VALUE(MID(TEXT(M116,"00000000"),5,2))-VALUE(MID(F116,5,2))))/12))))</f>
        <v/>
      </c>
      <c r="AL116" s="20">
        <f>IFERROR(G116*100-AJ116,"")</f>
        <v/>
      </c>
      <c r="AM116" s="20">
        <f>IFERROR(G116*100-(AJ116+(1+AK116)*12.5),"")</f>
        <v/>
      </c>
      <c r="AN116" s="21">
        <f>IFERROR(MIN(H116/1000000,100),"")</f>
        <v/>
      </c>
      <c r="AO116" s="20">
        <f>IFERROR(INDEX(FHA_Lookup!$B$2:$B$11,MATCH(TRUE,ISNUMBER(SEARCH(FHA_Lookup!$A$2:$A$11,UPPER(SUBSTITUTE(O116," ","")))),0)),"OTHER")</f>
        <v/>
      </c>
      <c r="AP116" s="20">
        <f>IFERROR(INDEX(FHA_Lookup!$C$2:$C$11,MATCH(TRUE,ISNUMBER(SEARCH(FHA_Lookup!$A$2:$A$11,UPPER(SUBSTITUTE(O116," ","")))),0)),"OTHER")</f>
        <v/>
      </c>
      <c r="AQ116" s="20">
        <f>IF(AP116="NC",1,0)</f>
        <v/>
      </c>
      <c r="AR116" s="20">
        <f>IF(UPPER(TRIM(P116))="AFF",1,0)</f>
        <v/>
      </c>
      <c r="AS116" s="20">
        <f>IF(UPPER(TRIM(P116))="BAF",1,0)</f>
        <v/>
      </c>
      <c r="AT116" s="20">
        <f>IF(UPPER(TRIM(P116))="MKT",1,0)</f>
        <v/>
      </c>
      <c r="AU116" s="20">
        <f>IF(AO116="221d4",1,0)</f>
        <v/>
      </c>
      <c r="AV116" s="20">
        <f>IF(AO116="223a7",1,0)</f>
        <v/>
      </c>
      <c r="AW116" s="20">
        <f>IF(AO116="232",1,0)</f>
        <v/>
      </c>
      <c r="AX116" s="20">
        <f>IF(AO116="538",1,0)</f>
        <v/>
      </c>
      <c r="AY116" s="20">
        <f>IF(AO116="241",1,0)</f>
        <v/>
      </c>
      <c r="AZ116" s="20">
        <f>IF(AO116="220",1,0)</f>
        <v/>
      </c>
      <c r="BA116" s="20">
        <f>IF(AO116="OTHER",1,0)</f>
        <v/>
      </c>
      <c r="BB116" s="20">
        <f>IF(UPPER(TRIM(C116))="LM",1,0)</f>
        <v/>
      </c>
      <c r="BC116" s="20">
        <f>IF(UPPER(TRIM(C116))="PN",1,0)</f>
        <v/>
      </c>
      <c r="BD116" s="20">
        <f>IF(UPPER(TRIM(C116))="LS",1,0)</f>
        <v/>
      </c>
      <c r="BE116" s="20">
        <f>IF(UPPER(TRIM(C116))="RX",1,0)</f>
        <v/>
      </c>
      <c r="BF116" s="22">
        <f>IFERROR((Parameters!$C$6*AM116+Parameters!$C$7*MAX(AM116-(-150),0)+Parameters!$C$8*MAX(AM116-(-50),0)+Parameters!$C$9*MAX(AM116-(0),0)+Parameters!$C$10*MAX(AM116-(50),0)+Parameters!$C$11*MAX(AM116-(100),0)+Parameters!$C$12*MAX(AM116-(150),0)+Parameters!$C$13*MAX(AM116-(250),0)),0)</f>
        <v/>
      </c>
      <c r="BG116" s="22">
        <f>IFERROR((Parameters!$C$14*AA116+Parameters!$C$15*MAX(AA116-(12),0)+Parameters!$C$16*MAX(AA116-(36),0)+Parameters!$C$17*MAX(AA116-(60),0)+Parameters!$C$18*MAX(AA116-(84),0)+Parameters!$C$19*MAX(AA116-(120),0)+Parameters!$C$20*MAX(AA116-(180),0)),0)</f>
        <v/>
      </c>
      <c r="BH116" s="22">
        <f>IFERROR((Parameters!$C$21*AK116+Parameters!$C$22*MAX(AK116-(0),0)+Parameters!$C$23*MAX(AK116-(2),0)+Parameters!$C$24*MAX(AK116-(5),0)+Parameters!$C$25*MAX(AK116-(8),0)),0)</f>
        <v/>
      </c>
      <c r="BI116" s="22">
        <f>IFERROR((Parameters!$C$26*AI116+Parameters!$C$27*MAX(AI116-(-100),0)+Parameters!$C$28*MAX(AI116-(-25),0)+Parameters!$C$29*MAX(AI116-(25),0)+Parameters!$C$30*MAX(AI116-(100),0)),0)</f>
        <v/>
      </c>
      <c r="BJ116" s="22">
        <f>IFERROR((Parameters!$C$31*AN116+Parameters!$C$32*MAX(AN116-(2),0)+Parameters!$C$33*MAX(AN116-(10),0)+Parameters!$C$34*MAX(AN116-(25),0)),0)</f>
        <v/>
      </c>
      <c r="BK116" s="22">
        <f>IFERROR((Parameters!$C$35*AB116+Parameters!$C$36*MAX(AB116-(12),0)+Parameters!$C$37*MAX(AB116-(24),0)+Parameters!$C$38*MAX(AB116-(60),0)),0)</f>
        <v/>
      </c>
      <c r="BL116" s="22">
        <f>IFERROR((Parameters!$C$39*AC116+Parameters!$C$40*MAX(AC116-(6),0)+Parameters!$C$41*MAX(AC116-(12),0)+Parameters!$C$42*MAX(AC116-(24),0)),0)</f>
        <v/>
      </c>
      <c r="BM116" s="22">
        <f>IFERROR(Parameters!$C$43*(MAX(AM116,0)*MIN(MAX(AK116,0),10))/100,0)</f>
        <v/>
      </c>
      <c r="BN116" s="22">
        <f>Parameters!$C$44*AE116</f>
        <v/>
      </c>
      <c r="BO116" s="22">
        <f>Parameters!$C$45*AU116 + Parameters!$C$46*AV116 + Parameters!$C$47*AW116 + Parameters!$C$48*AX116 + Parameters!$C$49*AY116 + Parameters!$C$50*AZ116 + Parameters!$C$51*BA116</f>
        <v/>
      </c>
      <c r="BP116" s="22">
        <f>Parameters!$C$52*AQ116</f>
        <v/>
      </c>
      <c r="BQ116" s="22">
        <f>Parameters!$C$53*AR116+Parameters!$C$54*AS116+Parameters!$C$55*AT116</f>
        <v/>
      </c>
      <c r="BR116" s="22">
        <f>Parameters!$C$56*BB116+Parameters!$C$57*BC116+Parameters!$C$58*BD116+Parameters!$C$59*BE116</f>
        <v/>
      </c>
      <c r="BS116" s="23">
        <f>Parameters!$B$2</f>
        <v/>
      </c>
      <c r="BT116" s="23">
        <f>BS116+BF116 + BG116 + BH116 + BI116 + BJ116 + BK116 + BL116 + BM116 + BN116 + BO116 + BP116 + BQ116 + BR116</f>
        <v/>
      </c>
      <c r="BU116" s="24">
        <f>IF(AD116=1,0,1/(1+EXP(-BT116))*Parameters!$B$3)</f>
        <v/>
      </c>
      <c r="BV116" s="25">
        <f>(1-(1-BU116)^12)*100</f>
        <v/>
      </c>
      <c r="BW116" s="25">
        <f>IF(AD116=1,0,(1-(1-1/(1+EXP(-Parameters!$B$2)))^12)*100)</f>
        <v/>
      </c>
      <c r="BX116" s="25">
        <f>IF(AD116=1,0,BV116-(1-(1-(1/(1+EXP(-(BT116-BF116)))*Parameters!$B$3))^12)*100)</f>
        <v/>
      </c>
      <c r="BY116" s="25">
        <f>IF(AD116=1,0,BV116-(1-(1-(1/(1+EXP(-(BT116-BG116)))*Parameters!$B$3))^12)*100)</f>
        <v/>
      </c>
      <c r="BZ116" s="25">
        <f>IF(AD116=1,0,BV116-(1-(1-(1/(1+EXP(-(BT116-BH116)))*Parameters!$B$3))^12)*100)</f>
        <v/>
      </c>
      <c r="CA116" s="25">
        <f>IF(AD116=1,0,BV116-(1-(1-(1/(1+EXP(-(BT116-BI116)))*Parameters!$B$3))^12)*100)</f>
        <v/>
      </c>
      <c r="CB116" s="25">
        <f>IF(AD116=1,0,BV116-(1-(1-(1/(1+EXP(-(BT116-BJ116)))*Parameters!$B$3))^12)*100)</f>
        <v/>
      </c>
      <c r="CC116" s="25">
        <f>IF(AD116=1,0,BV116-(1-(1-(1/(1+EXP(-(BT116-BK116)))*Parameters!$B$3))^12)*100)</f>
        <v/>
      </c>
      <c r="CD116" s="25">
        <f>IF(AD116=1,0,BV116-(1-(1-(1/(1+EXP(-(BT116-BL116)))*Parameters!$B$3))^12)*100)</f>
        <v/>
      </c>
      <c r="CE116" s="25">
        <f>IF(AD116=1,0,BV116-(1-(1-(1/(1+EXP(-(BT116-BM116)))*Parameters!$B$3))^12)*100)</f>
        <v/>
      </c>
      <c r="CF116" s="25">
        <f>IF(AD116=1,0,BV116-(1-(1-(1/(1+EXP(-(BT116-BN116)))*Parameters!$B$3))^12)*100)</f>
        <v/>
      </c>
      <c r="CG116" s="25">
        <f>IF(AD116=1,0,BV116-(1-(1-(1/(1+EXP(-(BT116-BO116)))*Parameters!$B$3))^12)*100)</f>
        <v/>
      </c>
      <c r="CH116" s="25">
        <f>IF(AD116=1,0,BV116-(1-(1-(1/(1+EXP(-(BT116-BP116)))*Parameters!$B$3))^12)*100)</f>
        <v/>
      </c>
      <c r="CI116" s="25">
        <f>IF(AD116=1,0,BV116-(1-(1-(1/(1+EXP(-(BT116-BQ116)))*Parameters!$B$3))^12)*100)</f>
        <v/>
      </c>
      <c r="CJ116" s="25">
        <f>IF(AD116=1,0,BV116-(1-(1-(1/(1+EXP(-(BT116-BR116)))*Parameters!$B$3))^12)*100)</f>
        <v/>
      </c>
    </row>
    <row r="117">
      <c r="A117" s="17" t="inlineStr">
        <is>
          <t>GNR_HC_2020</t>
        </is>
      </c>
      <c r="B117" s="17" t="inlineStr">
        <is>
          <t>3617NFXR5</t>
        </is>
      </c>
      <c r="C117" s="17" t="inlineStr">
        <is>
          <t>PN</t>
        </is>
      </c>
      <c r="D117" s="17" t="inlineStr">
        <is>
          <t>CAPITAL FUNDING,LLC.</t>
        </is>
      </c>
      <c r="E117" s="17" t="inlineStr">
        <is>
          <t>3617NFXR5_000000010122153</t>
        </is>
      </c>
      <c r="F117" s="17" t="n">
        <v>202603</v>
      </c>
      <c r="G117" s="18" t="n">
        <v>2.53</v>
      </c>
      <c r="H117" s="19" t="n">
        <v>9513877.17</v>
      </c>
      <c r="I117" s="17" t="n">
        <v>360</v>
      </c>
      <c r="J117" s="17" t="n">
        <v>20200504</v>
      </c>
      <c r="K117" s="17" t="n">
        <v>20500601</v>
      </c>
      <c r="L117" s="17" t="n"/>
      <c r="M117" s="17" t="n">
        <v>20300701</v>
      </c>
      <c r="N117" s="17" t="n">
        <v>10</v>
      </c>
      <c r="O117" s="17" t="inlineStr">
        <is>
          <t>232/223(F)</t>
        </is>
      </c>
      <c r="P117" s="17" t="inlineStr">
        <is>
          <t>MKT</t>
        </is>
      </c>
      <c r="Q117" s="17" t="n"/>
      <c r="R117" s="17" t="n"/>
      <c r="S117" s="17" t="n"/>
      <c r="T117" s="17" t="inlineStr">
        <is>
          <t>CO</t>
        </is>
      </c>
      <c r="U117" s="17" t="n">
        <v>187</v>
      </c>
      <c r="V117" s="17" t="n">
        <v>490.5</v>
      </c>
      <c r="W117" s="17" t="n">
        <v>70</v>
      </c>
      <c r="X117" s="17" t="n">
        <v>2020</v>
      </c>
      <c r="Y117" s="17" t="n">
        <v>-32</v>
      </c>
      <c r="Z117" s="17" t="n">
        <v>5</v>
      </c>
      <c r="AA117" s="20">
        <f>IF(ISNUMBER(W117),W117,IFERROR(MAX(0,(VALUE(LEFT(F117,4))-VALUE(LEFT(TEXT(J117,"00000000"),4)))*12+(VALUE(MID(F117,5,2))-VALUE(MID(TEXT(J117,"00000000"),5,2)))),""))</f>
        <v/>
      </c>
      <c r="AB117" s="20">
        <f>IFERROR((VALUE(LEFT(TEXT(K117,"00000000"),4))-VALUE(LEFT(F117,4)))*12+(VALUE(MID(TEXT(K117,"00000000"),5,2))-VALUE(MID(F117,5,2))),"")</f>
        <v/>
      </c>
      <c r="AC117" s="20">
        <f>IF(OR(L117="",NOT(ISNUMBER(L117))),0,MAX(0,MIN(60,(VALUE(LEFT(F117,4))-VALUE(LEFT(TEXT(L117,"00000000"),4)))*12+(VALUE(MID(F117,5,2))-VALUE(MID(TEXT(L117,"00000000"),5,2))))))</f>
        <v/>
      </c>
      <c r="AD117" s="20">
        <f>IF(OR(L117="",NOT(ISNUMBER(L117))),0,IF(VALUE(F117)&lt;VALUE(LEFT(TEXT(L117,"00000000"),6)),1,0))</f>
        <v/>
      </c>
      <c r="AE117" s="20">
        <f>IF(OR(M117="",NOT(ISNUMBER(M117))),0,IF(VALUE(F117)&lt;VALUE(LEFT(TEXT(M117,"00000000"),6)),1,0))</f>
        <v/>
      </c>
      <c r="AF117" s="20">
        <f>IF(AND(AD117=0,AE117=0),1,0)</f>
        <v/>
      </c>
      <c r="AG117" s="20">
        <f>IF(ISNUMBER(X117),X117,IFERROR(VALUE(LEFT(TEXT(J117,"00000000"),4)),""))</f>
        <v/>
      </c>
      <c r="AH117" s="20">
        <f>IFERROR(XLOOKUP(AG117,Vintage_Rates!$A$2:$A$1000,Vintage_Rates!$B$2:$B$1000,""),"")</f>
        <v/>
      </c>
      <c r="AI117" s="20">
        <f>IF(ISNUMBER(Y117),Y117,IFERROR((G117-AH117)*100,""))</f>
        <v/>
      </c>
      <c r="AJ117" s="20">
        <f>IF(ISNUMBER(V117),V117,IFERROR(XLOOKUP(VALUE(F117),PLC_Rates!$A$2:$A$1000,PLC_Rates!$B$2:$B$1000,""),""))</f>
        <v/>
      </c>
      <c r="AK117" s="20">
        <f>IF(ISNUMBER(Z117),Z117,IF(AE117=0,0,MAX(0,MIN(10,((VALUE(LEFT(TEXT(M117,"00000000"),4))-VALUE(LEFT(F117,4)))*12+(VALUE(MID(TEXT(M117,"00000000"),5,2))-VALUE(MID(F117,5,2))))/12))))</f>
        <v/>
      </c>
      <c r="AL117" s="20">
        <f>IFERROR(G117*100-AJ117,"")</f>
        <v/>
      </c>
      <c r="AM117" s="20">
        <f>IFERROR(G117*100-(AJ117+(1+AK117)*12.5),"")</f>
        <v/>
      </c>
      <c r="AN117" s="21">
        <f>IFERROR(MIN(H117/1000000,100),"")</f>
        <v/>
      </c>
      <c r="AO117" s="20">
        <f>IFERROR(INDEX(FHA_Lookup!$B$2:$B$11,MATCH(TRUE,ISNUMBER(SEARCH(FHA_Lookup!$A$2:$A$11,UPPER(SUBSTITUTE(O117," ","")))),0)),"OTHER")</f>
        <v/>
      </c>
      <c r="AP117" s="20">
        <f>IFERROR(INDEX(FHA_Lookup!$C$2:$C$11,MATCH(TRUE,ISNUMBER(SEARCH(FHA_Lookup!$A$2:$A$11,UPPER(SUBSTITUTE(O117," ","")))),0)),"OTHER")</f>
        <v/>
      </c>
      <c r="AQ117" s="20">
        <f>IF(AP117="NC",1,0)</f>
        <v/>
      </c>
      <c r="AR117" s="20">
        <f>IF(UPPER(TRIM(P117))="AFF",1,0)</f>
        <v/>
      </c>
      <c r="AS117" s="20">
        <f>IF(UPPER(TRIM(P117))="BAF",1,0)</f>
        <v/>
      </c>
      <c r="AT117" s="20">
        <f>IF(UPPER(TRIM(P117))="MKT",1,0)</f>
        <v/>
      </c>
      <c r="AU117" s="20">
        <f>IF(AO117="221d4",1,0)</f>
        <v/>
      </c>
      <c r="AV117" s="20">
        <f>IF(AO117="223a7",1,0)</f>
        <v/>
      </c>
      <c r="AW117" s="20">
        <f>IF(AO117="232",1,0)</f>
        <v/>
      </c>
      <c r="AX117" s="20">
        <f>IF(AO117="538",1,0)</f>
        <v/>
      </c>
      <c r="AY117" s="20">
        <f>IF(AO117="241",1,0)</f>
        <v/>
      </c>
      <c r="AZ117" s="20">
        <f>IF(AO117="220",1,0)</f>
        <v/>
      </c>
      <c r="BA117" s="20">
        <f>IF(AO117="OTHER",1,0)</f>
        <v/>
      </c>
      <c r="BB117" s="20">
        <f>IF(UPPER(TRIM(C117))="LM",1,0)</f>
        <v/>
      </c>
      <c r="BC117" s="20">
        <f>IF(UPPER(TRIM(C117))="PN",1,0)</f>
        <v/>
      </c>
      <c r="BD117" s="20">
        <f>IF(UPPER(TRIM(C117))="LS",1,0)</f>
        <v/>
      </c>
      <c r="BE117" s="20">
        <f>IF(UPPER(TRIM(C117))="RX",1,0)</f>
        <v/>
      </c>
      <c r="BF117" s="22">
        <f>IFERROR((Parameters!$C$6*AM117+Parameters!$C$7*MAX(AM117-(-150),0)+Parameters!$C$8*MAX(AM117-(-50),0)+Parameters!$C$9*MAX(AM117-(0),0)+Parameters!$C$10*MAX(AM117-(50),0)+Parameters!$C$11*MAX(AM117-(100),0)+Parameters!$C$12*MAX(AM117-(150),0)+Parameters!$C$13*MAX(AM117-(250),0)),0)</f>
        <v/>
      </c>
      <c r="BG117" s="22">
        <f>IFERROR((Parameters!$C$14*AA117+Parameters!$C$15*MAX(AA117-(12),0)+Parameters!$C$16*MAX(AA117-(36),0)+Parameters!$C$17*MAX(AA117-(60),0)+Parameters!$C$18*MAX(AA117-(84),0)+Parameters!$C$19*MAX(AA117-(120),0)+Parameters!$C$20*MAX(AA117-(180),0)),0)</f>
        <v/>
      </c>
      <c r="BH117" s="22">
        <f>IFERROR((Parameters!$C$21*AK117+Parameters!$C$22*MAX(AK117-(0),0)+Parameters!$C$23*MAX(AK117-(2),0)+Parameters!$C$24*MAX(AK117-(5),0)+Parameters!$C$25*MAX(AK117-(8),0)),0)</f>
        <v/>
      </c>
      <c r="BI117" s="22">
        <f>IFERROR((Parameters!$C$26*AI117+Parameters!$C$27*MAX(AI117-(-100),0)+Parameters!$C$28*MAX(AI117-(-25),0)+Parameters!$C$29*MAX(AI117-(25),0)+Parameters!$C$30*MAX(AI117-(100),0)),0)</f>
        <v/>
      </c>
      <c r="BJ117" s="22">
        <f>IFERROR((Parameters!$C$31*AN117+Parameters!$C$32*MAX(AN117-(2),0)+Parameters!$C$33*MAX(AN117-(10),0)+Parameters!$C$34*MAX(AN117-(25),0)),0)</f>
        <v/>
      </c>
      <c r="BK117" s="22">
        <f>IFERROR((Parameters!$C$35*AB117+Parameters!$C$36*MAX(AB117-(12),0)+Parameters!$C$37*MAX(AB117-(24),0)+Parameters!$C$38*MAX(AB117-(60),0)),0)</f>
        <v/>
      </c>
      <c r="BL117" s="22">
        <f>IFERROR((Parameters!$C$39*AC117+Parameters!$C$40*MAX(AC117-(6),0)+Parameters!$C$41*MAX(AC117-(12),0)+Parameters!$C$42*MAX(AC117-(24),0)),0)</f>
        <v/>
      </c>
      <c r="BM117" s="22">
        <f>IFERROR(Parameters!$C$43*(MAX(AM117,0)*MIN(MAX(AK117,0),10))/100,0)</f>
        <v/>
      </c>
      <c r="BN117" s="22">
        <f>Parameters!$C$44*AE117</f>
        <v/>
      </c>
      <c r="BO117" s="22">
        <f>Parameters!$C$45*AU117 + Parameters!$C$46*AV117 + Parameters!$C$47*AW117 + Parameters!$C$48*AX117 + Parameters!$C$49*AY117 + Parameters!$C$50*AZ117 + Parameters!$C$51*BA117</f>
        <v/>
      </c>
      <c r="BP117" s="22">
        <f>Parameters!$C$52*AQ117</f>
        <v/>
      </c>
      <c r="BQ117" s="22">
        <f>Parameters!$C$53*AR117+Parameters!$C$54*AS117+Parameters!$C$55*AT117</f>
        <v/>
      </c>
      <c r="BR117" s="22">
        <f>Parameters!$C$56*BB117+Parameters!$C$57*BC117+Parameters!$C$58*BD117+Parameters!$C$59*BE117</f>
        <v/>
      </c>
      <c r="BS117" s="23">
        <f>Parameters!$B$2</f>
        <v/>
      </c>
      <c r="BT117" s="23">
        <f>BS117+BF117 + BG117 + BH117 + BI117 + BJ117 + BK117 + BL117 + BM117 + BN117 + BO117 + BP117 + BQ117 + BR117</f>
        <v/>
      </c>
      <c r="BU117" s="24">
        <f>IF(AD117=1,0,1/(1+EXP(-BT117))*Parameters!$B$3)</f>
        <v/>
      </c>
      <c r="BV117" s="25">
        <f>(1-(1-BU117)^12)*100</f>
        <v/>
      </c>
      <c r="BW117" s="25">
        <f>IF(AD117=1,0,(1-(1-1/(1+EXP(-Parameters!$B$2)))^12)*100)</f>
        <v/>
      </c>
      <c r="BX117" s="25">
        <f>IF(AD117=1,0,BV117-(1-(1-(1/(1+EXP(-(BT117-BF117)))*Parameters!$B$3))^12)*100)</f>
        <v/>
      </c>
      <c r="BY117" s="25">
        <f>IF(AD117=1,0,BV117-(1-(1-(1/(1+EXP(-(BT117-BG117)))*Parameters!$B$3))^12)*100)</f>
        <v/>
      </c>
      <c r="BZ117" s="25">
        <f>IF(AD117=1,0,BV117-(1-(1-(1/(1+EXP(-(BT117-BH117)))*Parameters!$B$3))^12)*100)</f>
        <v/>
      </c>
      <c r="CA117" s="25">
        <f>IF(AD117=1,0,BV117-(1-(1-(1/(1+EXP(-(BT117-BI117)))*Parameters!$B$3))^12)*100)</f>
        <v/>
      </c>
      <c r="CB117" s="25">
        <f>IF(AD117=1,0,BV117-(1-(1-(1/(1+EXP(-(BT117-BJ117)))*Parameters!$B$3))^12)*100)</f>
        <v/>
      </c>
      <c r="CC117" s="25">
        <f>IF(AD117=1,0,BV117-(1-(1-(1/(1+EXP(-(BT117-BK117)))*Parameters!$B$3))^12)*100)</f>
        <v/>
      </c>
      <c r="CD117" s="25">
        <f>IF(AD117=1,0,BV117-(1-(1-(1/(1+EXP(-(BT117-BL117)))*Parameters!$B$3))^12)*100)</f>
        <v/>
      </c>
      <c r="CE117" s="25">
        <f>IF(AD117=1,0,BV117-(1-(1-(1/(1+EXP(-(BT117-BM117)))*Parameters!$B$3))^12)*100)</f>
        <v/>
      </c>
      <c r="CF117" s="25">
        <f>IF(AD117=1,0,BV117-(1-(1-(1/(1+EXP(-(BT117-BN117)))*Parameters!$B$3))^12)*100)</f>
        <v/>
      </c>
      <c r="CG117" s="25">
        <f>IF(AD117=1,0,BV117-(1-(1-(1/(1+EXP(-(BT117-BO117)))*Parameters!$B$3))^12)*100)</f>
        <v/>
      </c>
      <c r="CH117" s="25">
        <f>IF(AD117=1,0,BV117-(1-(1-(1/(1+EXP(-(BT117-BP117)))*Parameters!$B$3))^12)*100)</f>
        <v/>
      </c>
      <c r="CI117" s="25">
        <f>IF(AD117=1,0,BV117-(1-(1-(1/(1+EXP(-(BT117-BQ117)))*Parameters!$B$3))^12)*100)</f>
        <v/>
      </c>
      <c r="CJ117" s="25">
        <f>IF(AD117=1,0,BV117-(1-(1-(1/(1+EXP(-(BT117-BR117)))*Parameters!$B$3))^12)*100)</f>
        <v/>
      </c>
    </row>
    <row r="118">
      <c r="A118" s="17" t="inlineStr">
        <is>
          <t>GNR_HC_2020</t>
        </is>
      </c>
      <c r="B118" s="17" t="inlineStr">
        <is>
          <t>3617AU3M0</t>
        </is>
      </c>
      <c r="C118" s="17" t="inlineStr">
        <is>
          <t>PN</t>
        </is>
      </c>
      <c r="D118" s="17" t="inlineStr">
        <is>
          <t>NEWPOINT REAL ESTATE CAPITAL LLC</t>
        </is>
      </c>
      <c r="E118" s="17" t="inlineStr">
        <is>
          <t>3617AU3M0_000000004443100</t>
        </is>
      </c>
      <c r="F118" s="17" t="n">
        <v>202603</v>
      </c>
      <c r="G118" s="18" t="n">
        <v>4.05</v>
      </c>
      <c r="H118" s="19" t="n">
        <v>26361300.37</v>
      </c>
      <c r="I118" s="17" t="n">
        <v>496</v>
      </c>
      <c r="J118" s="17" t="n">
        <v>20191006</v>
      </c>
      <c r="K118" s="17" t="n">
        <v>20610301</v>
      </c>
      <c r="L118" s="17" t="n"/>
      <c r="M118" s="17" t="n">
        <v>20310331</v>
      </c>
      <c r="N118" s="17" t="n">
        <v>10</v>
      </c>
      <c r="O118" s="17" t="inlineStr">
        <is>
          <t>232</t>
        </is>
      </c>
      <c r="P118" s="17" t="inlineStr">
        <is>
          <t>MKT</t>
        </is>
      </c>
      <c r="Q118" s="17" t="n"/>
      <c r="R118" s="17" t="n"/>
      <c r="S118" s="17" t="n"/>
      <c r="T118" s="17" t="inlineStr">
        <is>
          <t>MI</t>
        </is>
      </c>
      <c r="U118" s="17" t="n">
        <v>260</v>
      </c>
      <c r="V118" s="17" t="n">
        <v>490.5</v>
      </c>
      <c r="W118" s="17" t="n">
        <v>77</v>
      </c>
      <c r="X118" s="17" t="n">
        <v>2019</v>
      </c>
      <c r="Y118" s="17" t="n">
        <v>38</v>
      </c>
      <c r="Z118" s="17" t="n">
        <v>6</v>
      </c>
      <c r="AA118" s="20">
        <f>IF(ISNUMBER(W118),W118,IFERROR(MAX(0,(VALUE(LEFT(F118,4))-VALUE(LEFT(TEXT(J118,"00000000"),4)))*12+(VALUE(MID(F118,5,2))-VALUE(MID(TEXT(J118,"00000000"),5,2)))),""))</f>
        <v/>
      </c>
      <c r="AB118" s="20">
        <f>IFERROR((VALUE(LEFT(TEXT(K118,"00000000"),4))-VALUE(LEFT(F118,4)))*12+(VALUE(MID(TEXT(K118,"00000000"),5,2))-VALUE(MID(F118,5,2))),"")</f>
        <v/>
      </c>
      <c r="AC118" s="20">
        <f>IF(OR(L118="",NOT(ISNUMBER(L118))),0,MAX(0,MIN(60,(VALUE(LEFT(F118,4))-VALUE(LEFT(TEXT(L118,"00000000"),4)))*12+(VALUE(MID(F118,5,2))-VALUE(MID(TEXT(L118,"00000000"),5,2))))))</f>
        <v/>
      </c>
      <c r="AD118" s="20">
        <f>IF(OR(L118="",NOT(ISNUMBER(L118))),0,IF(VALUE(F118)&lt;VALUE(LEFT(TEXT(L118,"00000000"),6)),1,0))</f>
        <v/>
      </c>
      <c r="AE118" s="20">
        <f>IF(OR(M118="",NOT(ISNUMBER(M118))),0,IF(VALUE(F118)&lt;VALUE(LEFT(TEXT(M118,"00000000"),6)),1,0))</f>
        <v/>
      </c>
      <c r="AF118" s="20">
        <f>IF(AND(AD118=0,AE118=0),1,0)</f>
        <v/>
      </c>
      <c r="AG118" s="20">
        <f>IF(ISNUMBER(X118),X118,IFERROR(VALUE(LEFT(TEXT(J118,"00000000"),4)),""))</f>
        <v/>
      </c>
      <c r="AH118" s="20">
        <f>IFERROR(XLOOKUP(AG118,Vintage_Rates!$A$2:$A$1000,Vintage_Rates!$B$2:$B$1000,""),"")</f>
        <v/>
      </c>
      <c r="AI118" s="20">
        <f>IF(ISNUMBER(Y118),Y118,IFERROR((G118-AH118)*100,""))</f>
        <v/>
      </c>
      <c r="AJ118" s="20">
        <f>IF(ISNUMBER(V118),V118,IFERROR(XLOOKUP(VALUE(F118),PLC_Rates!$A$2:$A$1000,PLC_Rates!$B$2:$B$1000,""),""))</f>
        <v/>
      </c>
      <c r="AK118" s="20">
        <f>IF(ISNUMBER(Z118),Z118,IF(AE118=0,0,MAX(0,MIN(10,((VALUE(LEFT(TEXT(M118,"00000000"),4))-VALUE(LEFT(F118,4)))*12+(VALUE(MID(TEXT(M118,"00000000"),5,2))-VALUE(MID(F118,5,2))))/12))))</f>
        <v/>
      </c>
      <c r="AL118" s="20">
        <f>IFERROR(G118*100-AJ118,"")</f>
        <v/>
      </c>
      <c r="AM118" s="20">
        <f>IFERROR(G118*100-(AJ118+(1+AK118)*12.5),"")</f>
        <v/>
      </c>
      <c r="AN118" s="21">
        <f>IFERROR(MIN(H118/1000000,100),"")</f>
        <v/>
      </c>
      <c r="AO118" s="20">
        <f>IFERROR(INDEX(FHA_Lookup!$B$2:$B$11,MATCH(TRUE,ISNUMBER(SEARCH(FHA_Lookup!$A$2:$A$11,UPPER(SUBSTITUTE(O118," ","")))),0)),"OTHER")</f>
        <v/>
      </c>
      <c r="AP118" s="20">
        <f>IFERROR(INDEX(FHA_Lookup!$C$2:$C$11,MATCH(TRUE,ISNUMBER(SEARCH(FHA_Lookup!$A$2:$A$11,UPPER(SUBSTITUTE(O118," ","")))),0)),"OTHER")</f>
        <v/>
      </c>
      <c r="AQ118" s="20">
        <f>IF(AP118="NC",1,0)</f>
        <v/>
      </c>
      <c r="AR118" s="20">
        <f>IF(UPPER(TRIM(P118))="AFF",1,0)</f>
        <v/>
      </c>
      <c r="AS118" s="20">
        <f>IF(UPPER(TRIM(P118))="BAF",1,0)</f>
        <v/>
      </c>
      <c r="AT118" s="20">
        <f>IF(UPPER(TRIM(P118))="MKT",1,0)</f>
        <v/>
      </c>
      <c r="AU118" s="20">
        <f>IF(AO118="221d4",1,0)</f>
        <v/>
      </c>
      <c r="AV118" s="20">
        <f>IF(AO118="223a7",1,0)</f>
        <v/>
      </c>
      <c r="AW118" s="20">
        <f>IF(AO118="232",1,0)</f>
        <v/>
      </c>
      <c r="AX118" s="20">
        <f>IF(AO118="538",1,0)</f>
        <v/>
      </c>
      <c r="AY118" s="20">
        <f>IF(AO118="241",1,0)</f>
        <v/>
      </c>
      <c r="AZ118" s="20">
        <f>IF(AO118="220",1,0)</f>
        <v/>
      </c>
      <c r="BA118" s="20">
        <f>IF(AO118="OTHER",1,0)</f>
        <v/>
      </c>
      <c r="BB118" s="20">
        <f>IF(UPPER(TRIM(C118))="LM",1,0)</f>
        <v/>
      </c>
      <c r="BC118" s="20">
        <f>IF(UPPER(TRIM(C118))="PN",1,0)</f>
        <v/>
      </c>
      <c r="BD118" s="20">
        <f>IF(UPPER(TRIM(C118))="LS",1,0)</f>
        <v/>
      </c>
      <c r="BE118" s="20">
        <f>IF(UPPER(TRIM(C118))="RX",1,0)</f>
        <v/>
      </c>
      <c r="BF118" s="22">
        <f>IFERROR((Parameters!$C$6*AM118+Parameters!$C$7*MAX(AM118-(-150),0)+Parameters!$C$8*MAX(AM118-(-50),0)+Parameters!$C$9*MAX(AM118-(0),0)+Parameters!$C$10*MAX(AM118-(50),0)+Parameters!$C$11*MAX(AM118-(100),0)+Parameters!$C$12*MAX(AM118-(150),0)+Parameters!$C$13*MAX(AM118-(250),0)),0)</f>
        <v/>
      </c>
      <c r="BG118" s="22">
        <f>IFERROR((Parameters!$C$14*AA118+Parameters!$C$15*MAX(AA118-(12),0)+Parameters!$C$16*MAX(AA118-(36),0)+Parameters!$C$17*MAX(AA118-(60),0)+Parameters!$C$18*MAX(AA118-(84),0)+Parameters!$C$19*MAX(AA118-(120),0)+Parameters!$C$20*MAX(AA118-(180),0)),0)</f>
        <v/>
      </c>
      <c r="BH118" s="22">
        <f>IFERROR((Parameters!$C$21*AK118+Parameters!$C$22*MAX(AK118-(0),0)+Parameters!$C$23*MAX(AK118-(2),0)+Parameters!$C$24*MAX(AK118-(5),0)+Parameters!$C$25*MAX(AK118-(8),0)),0)</f>
        <v/>
      </c>
      <c r="BI118" s="22">
        <f>IFERROR((Parameters!$C$26*AI118+Parameters!$C$27*MAX(AI118-(-100),0)+Parameters!$C$28*MAX(AI118-(-25),0)+Parameters!$C$29*MAX(AI118-(25),0)+Parameters!$C$30*MAX(AI118-(100),0)),0)</f>
        <v/>
      </c>
      <c r="BJ118" s="22">
        <f>IFERROR((Parameters!$C$31*AN118+Parameters!$C$32*MAX(AN118-(2),0)+Parameters!$C$33*MAX(AN118-(10),0)+Parameters!$C$34*MAX(AN118-(25),0)),0)</f>
        <v/>
      </c>
      <c r="BK118" s="22">
        <f>IFERROR((Parameters!$C$35*AB118+Parameters!$C$36*MAX(AB118-(12),0)+Parameters!$C$37*MAX(AB118-(24),0)+Parameters!$C$38*MAX(AB118-(60),0)),0)</f>
        <v/>
      </c>
      <c r="BL118" s="22">
        <f>IFERROR((Parameters!$C$39*AC118+Parameters!$C$40*MAX(AC118-(6),0)+Parameters!$C$41*MAX(AC118-(12),0)+Parameters!$C$42*MAX(AC118-(24),0)),0)</f>
        <v/>
      </c>
      <c r="BM118" s="22">
        <f>IFERROR(Parameters!$C$43*(MAX(AM118,0)*MIN(MAX(AK118,0),10))/100,0)</f>
        <v/>
      </c>
      <c r="BN118" s="22">
        <f>Parameters!$C$44*AE118</f>
        <v/>
      </c>
      <c r="BO118" s="22">
        <f>Parameters!$C$45*AU118 + Parameters!$C$46*AV118 + Parameters!$C$47*AW118 + Parameters!$C$48*AX118 + Parameters!$C$49*AY118 + Parameters!$C$50*AZ118 + Parameters!$C$51*BA118</f>
        <v/>
      </c>
      <c r="BP118" s="22">
        <f>Parameters!$C$52*AQ118</f>
        <v/>
      </c>
      <c r="BQ118" s="22">
        <f>Parameters!$C$53*AR118+Parameters!$C$54*AS118+Parameters!$C$55*AT118</f>
        <v/>
      </c>
      <c r="BR118" s="22">
        <f>Parameters!$C$56*BB118+Parameters!$C$57*BC118+Parameters!$C$58*BD118+Parameters!$C$59*BE118</f>
        <v/>
      </c>
      <c r="BS118" s="23">
        <f>Parameters!$B$2</f>
        <v/>
      </c>
      <c r="BT118" s="23">
        <f>BS118+BF118 + BG118 + BH118 + BI118 + BJ118 + BK118 + BL118 + BM118 + BN118 + BO118 + BP118 + BQ118 + BR118</f>
        <v/>
      </c>
      <c r="BU118" s="24">
        <f>IF(AD118=1,0,1/(1+EXP(-BT118))*Parameters!$B$3)</f>
        <v/>
      </c>
      <c r="BV118" s="25">
        <f>(1-(1-BU118)^12)*100</f>
        <v/>
      </c>
      <c r="BW118" s="25">
        <f>IF(AD118=1,0,(1-(1-1/(1+EXP(-Parameters!$B$2)))^12)*100)</f>
        <v/>
      </c>
      <c r="BX118" s="25">
        <f>IF(AD118=1,0,BV118-(1-(1-(1/(1+EXP(-(BT118-BF118)))*Parameters!$B$3))^12)*100)</f>
        <v/>
      </c>
      <c r="BY118" s="25">
        <f>IF(AD118=1,0,BV118-(1-(1-(1/(1+EXP(-(BT118-BG118)))*Parameters!$B$3))^12)*100)</f>
        <v/>
      </c>
      <c r="BZ118" s="25">
        <f>IF(AD118=1,0,BV118-(1-(1-(1/(1+EXP(-(BT118-BH118)))*Parameters!$B$3))^12)*100)</f>
        <v/>
      </c>
      <c r="CA118" s="25">
        <f>IF(AD118=1,0,BV118-(1-(1-(1/(1+EXP(-(BT118-BI118)))*Parameters!$B$3))^12)*100)</f>
        <v/>
      </c>
      <c r="CB118" s="25">
        <f>IF(AD118=1,0,BV118-(1-(1-(1/(1+EXP(-(BT118-BJ118)))*Parameters!$B$3))^12)*100)</f>
        <v/>
      </c>
      <c r="CC118" s="25">
        <f>IF(AD118=1,0,BV118-(1-(1-(1/(1+EXP(-(BT118-BK118)))*Parameters!$B$3))^12)*100)</f>
        <v/>
      </c>
      <c r="CD118" s="25">
        <f>IF(AD118=1,0,BV118-(1-(1-(1/(1+EXP(-(BT118-BL118)))*Parameters!$B$3))^12)*100)</f>
        <v/>
      </c>
      <c r="CE118" s="25">
        <f>IF(AD118=1,0,BV118-(1-(1-(1/(1+EXP(-(BT118-BM118)))*Parameters!$B$3))^12)*100)</f>
        <v/>
      </c>
      <c r="CF118" s="25">
        <f>IF(AD118=1,0,BV118-(1-(1-(1/(1+EXP(-(BT118-BN118)))*Parameters!$B$3))^12)*100)</f>
        <v/>
      </c>
      <c r="CG118" s="25">
        <f>IF(AD118=1,0,BV118-(1-(1-(1/(1+EXP(-(BT118-BO118)))*Parameters!$B$3))^12)*100)</f>
        <v/>
      </c>
      <c r="CH118" s="25">
        <f>IF(AD118=1,0,BV118-(1-(1-(1/(1+EXP(-(BT118-BP118)))*Parameters!$B$3))^12)*100)</f>
        <v/>
      </c>
      <c r="CI118" s="25">
        <f>IF(AD118=1,0,BV118-(1-(1-(1/(1+EXP(-(BT118-BQ118)))*Parameters!$B$3))^12)*100)</f>
        <v/>
      </c>
      <c r="CJ118" s="25">
        <f>IF(AD118=1,0,BV118-(1-(1-(1/(1+EXP(-(BT118-BR118)))*Parameters!$B$3))^12)*100)</f>
        <v/>
      </c>
    </row>
    <row r="119">
      <c r="A119" s="17" t="inlineStr">
        <is>
          <t>GNR_HC_2020</t>
        </is>
      </c>
      <c r="B119" s="17" t="inlineStr">
        <is>
          <t>3617LA4S8</t>
        </is>
      </c>
      <c r="C119" s="17" t="inlineStr">
        <is>
          <t>PN</t>
        </is>
      </c>
      <c r="D119" s="17" t="inlineStr">
        <is>
          <t>GREYSTONE FUNDING COMPANY LLC</t>
        </is>
      </c>
      <c r="E119" s="17" t="inlineStr">
        <is>
          <t>3617LA4S8_000000008322063</t>
        </is>
      </c>
      <c r="F119" s="17" t="n">
        <v>202603</v>
      </c>
      <c r="G119" s="18" t="n">
        <v>3.25</v>
      </c>
      <c r="H119" s="19" t="n">
        <v>7253484.71</v>
      </c>
      <c r="I119" s="17" t="n">
        <v>420</v>
      </c>
      <c r="J119" s="17" t="n">
        <v>20190801</v>
      </c>
      <c r="K119" s="17" t="n">
        <v>20540901</v>
      </c>
      <c r="L119" s="17" t="n"/>
      <c r="M119" s="17" t="n">
        <v>20291001</v>
      </c>
      <c r="N119" s="17" t="n">
        <v>10</v>
      </c>
      <c r="O119" s="17" t="inlineStr">
        <is>
          <t>232/223(F)</t>
        </is>
      </c>
      <c r="P119" s="17" t="inlineStr">
        <is>
          <t>MKT</t>
        </is>
      </c>
      <c r="Q119" s="17" t="n"/>
      <c r="R119" s="17" t="n"/>
      <c r="S119" s="17" t="n"/>
      <c r="T119" s="17" t="inlineStr">
        <is>
          <t>KY</t>
        </is>
      </c>
      <c r="U119" s="17" t="n">
        <v>197</v>
      </c>
      <c r="V119" s="17" t="n">
        <v>490.5</v>
      </c>
      <c r="W119" s="17" t="n">
        <v>79</v>
      </c>
      <c r="X119" s="17" t="n">
        <v>2019</v>
      </c>
      <c r="Y119" s="17" t="n">
        <v>-42</v>
      </c>
      <c r="Z119" s="17" t="n">
        <v>4</v>
      </c>
      <c r="AA119" s="20">
        <f>IF(ISNUMBER(W119),W119,IFERROR(MAX(0,(VALUE(LEFT(F119,4))-VALUE(LEFT(TEXT(J119,"00000000"),4)))*12+(VALUE(MID(F119,5,2))-VALUE(MID(TEXT(J119,"00000000"),5,2)))),""))</f>
        <v/>
      </c>
      <c r="AB119" s="20">
        <f>IFERROR((VALUE(LEFT(TEXT(K119,"00000000"),4))-VALUE(LEFT(F119,4)))*12+(VALUE(MID(TEXT(K119,"00000000"),5,2))-VALUE(MID(F119,5,2))),"")</f>
        <v/>
      </c>
      <c r="AC119" s="20">
        <f>IF(OR(L119="",NOT(ISNUMBER(L119))),0,MAX(0,MIN(60,(VALUE(LEFT(F119,4))-VALUE(LEFT(TEXT(L119,"00000000"),4)))*12+(VALUE(MID(F119,5,2))-VALUE(MID(TEXT(L119,"00000000"),5,2))))))</f>
        <v/>
      </c>
      <c r="AD119" s="20">
        <f>IF(OR(L119="",NOT(ISNUMBER(L119))),0,IF(VALUE(F119)&lt;VALUE(LEFT(TEXT(L119,"00000000"),6)),1,0))</f>
        <v/>
      </c>
      <c r="AE119" s="20">
        <f>IF(OR(M119="",NOT(ISNUMBER(M119))),0,IF(VALUE(F119)&lt;VALUE(LEFT(TEXT(M119,"00000000"),6)),1,0))</f>
        <v/>
      </c>
      <c r="AF119" s="20">
        <f>IF(AND(AD119=0,AE119=0),1,0)</f>
        <v/>
      </c>
      <c r="AG119" s="20">
        <f>IF(ISNUMBER(X119),X119,IFERROR(VALUE(LEFT(TEXT(J119,"00000000"),4)),""))</f>
        <v/>
      </c>
      <c r="AH119" s="20">
        <f>IFERROR(XLOOKUP(AG119,Vintage_Rates!$A$2:$A$1000,Vintage_Rates!$B$2:$B$1000,""),"")</f>
        <v/>
      </c>
      <c r="AI119" s="20">
        <f>IF(ISNUMBER(Y119),Y119,IFERROR((G119-AH119)*100,""))</f>
        <v/>
      </c>
      <c r="AJ119" s="20">
        <f>IF(ISNUMBER(V119),V119,IFERROR(XLOOKUP(VALUE(F119),PLC_Rates!$A$2:$A$1000,PLC_Rates!$B$2:$B$1000,""),""))</f>
        <v/>
      </c>
      <c r="AK119" s="20">
        <f>IF(ISNUMBER(Z119),Z119,IF(AE119=0,0,MAX(0,MIN(10,((VALUE(LEFT(TEXT(M119,"00000000"),4))-VALUE(LEFT(F119,4)))*12+(VALUE(MID(TEXT(M119,"00000000"),5,2))-VALUE(MID(F119,5,2))))/12))))</f>
        <v/>
      </c>
      <c r="AL119" s="20">
        <f>IFERROR(G119*100-AJ119,"")</f>
        <v/>
      </c>
      <c r="AM119" s="20">
        <f>IFERROR(G119*100-(AJ119+(1+AK119)*12.5),"")</f>
        <v/>
      </c>
      <c r="AN119" s="21">
        <f>IFERROR(MIN(H119/1000000,100),"")</f>
        <v/>
      </c>
      <c r="AO119" s="20">
        <f>IFERROR(INDEX(FHA_Lookup!$B$2:$B$11,MATCH(TRUE,ISNUMBER(SEARCH(FHA_Lookup!$A$2:$A$11,UPPER(SUBSTITUTE(O119," ","")))),0)),"OTHER")</f>
        <v/>
      </c>
      <c r="AP119" s="20">
        <f>IFERROR(INDEX(FHA_Lookup!$C$2:$C$11,MATCH(TRUE,ISNUMBER(SEARCH(FHA_Lookup!$A$2:$A$11,UPPER(SUBSTITUTE(O119," ","")))),0)),"OTHER")</f>
        <v/>
      </c>
      <c r="AQ119" s="20">
        <f>IF(AP119="NC",1,0)</f>
        <v/>
      </c>
      <c r="AR119" s="20">
        <f>IF(UPPER(TRIM(P119))="AFF",1,0)</f>
        <v/>
      </c>
      <c r="AS119" s="20">
        <f>IF(UPPER(TRIM(P119))="BAF",1,0)</f>
        <v/>
      </c>
      <c r="AT119" s="20">
        <f>IF(UPPER(TRIM(P119))="MKT",1,0)</f>
        <v/>
      </c>
      <c r="AU119" s="20">
        <f>IF(AO119="221d4",1,0)</f>
        <v/>
      </c>
      <c r="AV119" s="20">
        <f>IF(AO119="223a7",1,0)</f>
        <v/>
      </c>
      <c r="AW119" s="20">
        <f>IF(AO119="232",1,0)</f>
        <v/>
      </c>
      <c r="AX119" s="20">
        <f>IF(AO119="538",1,0)</f>
        <v/>
      </c>
      <c r="AY119" s="20">
        <f>IF(AO119="241",1,0)</f>
        <v/>
      </c>
      <c r="AZ119" s="20">
        <f>IF(AO119="220",1,0)</f>
        <v/>
      </c>
      <c r="BA119" s="20">
        <f>IF(AO119="OTHER",1,0)</f>
        <v/>
      </c>
      <c r="BB119" s="20">
        <f>IF(UPPER(TRIM(C119))="LM",1,0)</f>
        <v/>
      </c>
      <c r="BC119" s="20">
        <f>IF(UPPER(TRIM(C119))="PN",1,0)</f>
        <v/>
      </c>
      <c r="BD119" s="20">
        <f>IF(UPPER(TRIM(C119))="LS",1,0)</f>
        <v/>
      </c>
      <c r="BE119" s="20">
        <f>IF(UPPER(TRIM(C119))="RX",1,0)</f>
        <v/>
      </c>
      <c r="BF119" s="22">
        <f>IFERROR((Parameters!$C$6*AM119+Parameters!$C$7*MAX(AM119-(-150),0)+Parameters!$C$8*MAX(AM119-(-50),0)+Parameters!$C$9*MAX(AM119-(0),0)+Parameters!$C$10*MAX(AM119-(50),0)+Parameters!$C$11*MAX(AM119-(100),0)+Parameters!$C$12*MAX(AM119-(150),0)+Parameters!$C$13*MAX(AM119-(250),0)),0)</f>
        <v/>
      </c>
      <c r="BG119" s="22">
        <f>IFERROR((Parameters!$C$14*AA119+Parameters!$C$15*MAX(AA119-(12),0)+Parameters!$C$16*MAX(AA119-(36),0)+Parameters!$C$17*MAX(AA119-(60),0)+Parameters!$C$18*MAX(AA119-(84),0)+Parameters!$C$19*MAX(AA119-(120),0)+Parameters!$C$20*MAX(AA119-(180),0)),0)</f>
        <v/>
      </c>
      <c r="BH119" s="22">
        <f>IFERROR((Parameters!$C$21*AK119+Parameters!$C$22*MAX(AK119-(0),0)+Parameters!$C$23*MAX(AK119-(2),0)+Parameters!$C$24*MAX(AK119-(5),0)+Parameters!$C$25*MAX(AK119-(8),0)),0)</f>
        <v/>
      </c>
      <c r="BI119" s="22">
        <f>IFERROR((Parameters!$C$26*AI119+Parameters!$C$27*MAX(AI119-(-100),0)+Parameters!$C$28*MAX(AI119-(-25),0)+Parameters!$C$29*MAX(AI119-(25),0)+Parameters!$C$30*MAX(AI119-(100),0)),0)</f>
        <v/>
      </c>
      <c r="BJ119" s="22">
        <f>IFERROR((Parameters!$C$31*AN119+Parameters!$C$32*MAX(AN119-(2),0)+Parameters!$C$33*MAX(AN119-(10),0)+Parameters!$C$34*MAX(AN119-(25),0)),0)</f>
        <v/>
      </c>
      <c r="BK119" s="22">
        <f>IFERROR((Parameters!$C$35*AB119+Parameters!$C$36*MAX(AB119-(12),0)+Parameters!$C$37*MAX(AB119-(24),0)+Parameters!$C$38*MAX(AB119-(60),0)),0)</f>
        <v/>
      </c>
      <c r="BL119" s="22">
        <f>IFERROR((Parameters!$C$39*AC119+Parameters!$C$40*MAX(AC119-(6),0)+Parameters!$C$41*MAX(AC119-(12),0)+Parameters!$C$42*MAX(AC119-(24),0)),0)</f>
        <v/>
      </c>
      <c r="BM119" s="22">
        <f>IFERROR(Parameters!$C$43*(MAX(AM119,0)*MIN(MAX(AK119,0),10))/100,0)</f>
        <v/>
      </c>
      <c r="BN119" s="22">
        <f>Parameters!$C$44*AE119</f>
        <v/>
      </c>
      <c r="BO119" s="22">
        <f>Parameters!$C$45*AU119 + Parameters!$C$46*AV119 + Parameters!$C$47*AW119 + Parameters!$C$48*AX119 + Parameters!$C$49*AY119 + Parameters!$C$50*AZ119 + Parameters!$C$51*BA119</f>
        <v/>
      </c>
      <c r="BP119" s="22">
        <f>Parameters!$C$52*AQ119</f>
        <v/>
      </c>
      <c r="BQ119" s="22">
        <f>Parameters!$C$53*AR119+Parameters!$C$54*AS119+Parameters!$C$55*AT119</f>
        <v/>
      </c>
      <c r="BR119" s="22">
        <f>Parameters!$C$56*BB119+Parameters!$C$57*BC119+Parameters!$C$58*BD119+Parameters!$C$59*BE119</f>
        <v/>
      </c>
      <c r="BS119" s="23">
        <f>Parameters!$B$2</f>
        <v/>
      </c>
      <c r="BT119" s="23">
        <f>BS119+BF119 + BG119 + BH119 + BI119 + BJ119 + BK119 + BL119 + BM119 + BN119 + BO119 + BP119 + BQ119 + BR119</f>
        <v/>
      </c>
      <c r="BU119" s="24">
        <f>IF(AD119=1,0,1/(1+EXP(-BT119))*Parameters!$B$3)</f>
        <v/>
      </c>
      <c r="BV119" s="25">
        <f>(1-(1-BU119)^12)*100</f>
        <v/>
      </c>
      <c r="BW119" s="25">
        <f>IF(AD119=1,0,(1-(1-1/(1+EXP(-Parameters!$B$2)))^12)*100)</f>
        <v/>
      </c>
      <c r="BX119" s="25">
        <f>IF(AD119=1,0,BV119-(1-(1-(1/(1+EXP(-(BT119-BF119)))*Parameters!$B$3))^12)*100)</f>
        <v/>
      </c>
      <c r="BY119" s="25">
        <f>IF(AD119=1,0,BV119-(1-(1-(1/(1+EXP(-(BT119-BG119)))*Parameters!$B$3))^12)*100)</f>
        <v/>
      </c>
      <c r="BZ119" s="25">
        <f>IF(AD119=1,0,BV119-(1-(1-(1/(1+EXP(-(BT119-BH119)))*Parameters!$B$3))^12)*100)</f>
        <v/>
      </c>
      <c r="CA119" s="25">
        <f>IF(AD119=1,0,BV119-(1-(1-(1/(1+EXP(-(BT119-BI119)))*Parameters!$B$3))^12)*100)</f>
        <v/>
      </c>
      <c r="CB119" s="25">
        <f>IF(AD119=1,0,BV119-(1-(1-(1/(1+EXP(-(BT119-BJ119)))*Parameters!$B$3))^12)*100)</f>
        <v/>
      </c>
      <c r="CC119" s="25">
        <f>IF(AD119=1,0,BV119-(1-(1-(1/(1+EXP(-(BT119-BK119)))*Parameters!$B$3))^12)*100)</f>
        <v/>
      </c>
      <c r="CD119" s="25">
        <f>IF(AD119=1,0,BV119-(1-(1-(1/(1+EXP(-(BT119-BL119)))*Parameters!$B$3))^12)*100)</f>
        <v/>
      </c>
      <c r="CE119" s="25">
        <f>IF(AD119=1,0,BV119-(1-(1-(1/(1+EXP(-(BT119-BM119)))*Parameters!$B$3))^12)*100)</f>
        <v/>
      </c>
      <c r="CF119" s="25">
        <f>IF(AD119=1,0,BV119-(1-(1-(1/(1+EXP(-(BT119-BN119)))*Parameters!$B$3))^12)*100)</f>
        <v/>
      </c>
      <c r="CG119" s="25">
        <f>IF(AD119=1,0,BV119-(1-(1-(1/(1+EXP(-(BT119-BO119)))*Parameters!$B$3))^12)*100)</f>
        <v/>
      </c>
      <c r="CH119" s="25">
        <f>IF(AD119=1,0,BV119-(1-(1-(1/(1+EXP(-(BT119-BP119)))*Parameters!$B$3))^12)*100)</f>
        <v/>
      </c>
      <c r="CI119" s="25">
        <f>IF(AD119=1,0,BV119-(1-(1-(1/(1+EXP(-(BT119-BQ119)))*Parameters!$B$3))^12)*100)</f>
        <v/>
      </c>
      <c r="CJ119" s="25">
        <f>IF(AD119=1,0,BV119-(1-(1-(1/(1+EXP(-(BT119-BR119)))*Parameters!$B$3))^12)*100)</f>
        <v/>
      </c>
    </row>
    <row r="120">
      <c r="A120" s="17" t="inlineStr">
        <is>
          <t>GNR_HC_2020</t>
        </is>
      </c>
      <c r="B120" s="17" t="inlineStr">
        <is>
          <t>3617MCVQ7</t>
        </is>
      </c>
      <c r="C120" s="17" t="inlineStr">
        <is>
          <t>PN</t>
        </is>
      </c>
      <c r="D120" s="17" t="inlineStr">
        <is>
          <t>NEWPOINT REAL ESTATE CAPITAL LLC</t>
        </is>
      </c>
      <c r="E120" s="17" t="inlineStr">
        <is>
          <t>3617MCVQ7_000000008622053</t>
        </is>
      </c>
      <c r="F120" s="17" t="n">
        <v>202603</v>
      </c>
      <c r="G120" s="18" t="n">
        <v>2.93</v>
      </c>
      <c r="H120" s="19" t="n">
        <v>7550211.79</v>
      </c>
      <c r="I120" s="17" t="n">
        <v>333</v>
      </c>
      <c r="J120" s="17" t="n">
        <v>20200227</v>
      </c>
      <c r="K120" s="17" t="n">
        <v>20500301</v>
      </c>
      <c r="L120" s="17" t="n"/>
      <c r="M120" s="17" t="n">
        <v>20300331</v>
      </c>
      <c r="N120" s="17" t="n">
        <v>10</v>
      </c>
      <c r="O120" s="17" t="inlineStr">
        <is>
          <t>232/223(f)</t>
        </is>
      </c>
      <c r="P120" s="17" t="inlineStr">
        <is>
          <t>MKT</t>
        </is>
      </c>
      <c r="Q120" s="17" t="n"/>
      <c r="R120" s="17" t="n"/>
      <c r="S120" s="17" t="n"/>
      <c r="T120" s="17" t="inlineStr">
        <is>
          <t>TN</t>
        </is>
      </c>
      <c r="U120" s="17" t="n">
        <v>208</v>
      </c>
      <c r="V120" s="17" t="n">
        <v>490.5</v>
      </c>
      <c r="W120" s="17" t="n">
        <v>73</v>
      </c>
      <c r="X120" s="17" t="n">
        <v>2020</v>
      </c>
      <c r="Y120" s="17" t="n">
        <v>8</v>
      </c>
      <c r="Z120" s="17" t="n">
        <v>4</v>
      </c>
      <c r="AA120" s="20">
        <f>IF(ISNUMBER(W120),W120,IFERROR(MAX(0,(VALUE(LEFT(F120,4))-VALUE(LEFT(TEXT(J120,"00000000"),4)))*12+(VALUE(MID(F120,5,2))-VALUE(MID(TEXT(J120,"00000000"),5,2)))),""))</f>
        <v/>
      </c>
      <c r="AB120" s="20">
        <f>IFERROR((VALUE(LEFT(TEXT(K120,"00000000"),4))-VALUE(LEFT(F120,4)))*12+(VALUE(MID(TEXT(K120,"00000000"),5,2))-VALUE(MID(F120,5,2))),"")</f>
        <v/>
      </c>
      <c r="AC120" s="20">
        <f>IF(OR(L120="",NOT(ISNUMBER(L120))),0,MAX(0,MIN(60,(VALUE(LEFT(F120,4))-VALUE(LEFT(TEXT(L120,"00000000"),4)))*12+(VALUE(MID(F120,5,2))-VALUE(MID(TEXT(L120,"00000000"),5,2))))))</f>
        <v/>
      </c>
      <c r="AD120" s="20">
        <f>IF(OR(L120="",NOT(ISNUMBER(L120))),0,IF(VALUE(F120)&lt;VALUE(LEFT(TEXT(L120,"00000000"),6)),1,0))</f>
        <v/>
      </c>
      <c r="AE120" s="20">
        <f>IF(OR(M120="",NOT(ISNUMBER(M120))),0,IF(VALUE(F120)&lt;VALUE(LEFT(TEXT(M120,"00000000"),6)),1,0))</f>
        <v/>
      </c>
      <c r="AF120" s="20">
        <f>IF(AND(AD120=0,AE120=0),1,0)</f>
        <v/>
      </c>
      <c r="AG120" s="20">
        <f>IF(ISNUMBER(X120),X120,IFERROR(VALUE(LEFT(TEXT(J120,"00000000"),4)),""))</f>
        <v/>
      </c>
      <c r="AH120" s="20">
        <f>IFERROR(XLOOKUP(AG120,Vintage_Rates!$A$2:$A$1000,Vintage_Rates!$B$2:$B$1000,""),"")</f>
        <v/>
      </c>
      <c r="AI120" s="20">
        <f>IF(ISNUMBER(Y120),Y120,IFERROR((G120-AH120)*100,""))</f>
        <v/>
      </c>
      <c r="AJ120" s="20">
        <f>IF(ISNUMBER(V120),V120,IFERROR(XLOOKUP(VALUE(F120),PLC_Rates!$A$2:$A$1000,PLC_Rates!$B$2:$B$1000,""),""))</f>
        <v/>
      </c>
      <c r="AK120" s="20">
        <f>IF(ISNUMBER(Z120),Z120,IF(AE120=0,0,MAX(0,MIN(10,((VALUE(LEFT(TEXT(M120,"00000000"),4))-VALUE(LEFT(F120,4)))*12+(VALUE(MID(TEXT(M120,"00000000"),5,2))-VALUE(MID(F120,5,2))))/12))))</f>
        <v/>
      </c>
      <c r="AL120" s="20">
        <f>IFERROR(G120*100-AJ120,"")</f>
        <v/>
      </c>
      <c r="AM120" s="20">
        <f>IFERROR(G120*100-(AJ120+(1+AK120)*12.5),"")</f>
        <v/>
      </c>
      <c r="AN120" s="21">
        <f>IFERROR(MIN(H120/1000000,100),"")</f>
        <v/>
      </c>
      <c r="AO120" s="20">
        <f>IFERROR(INDEX(FHA_Lookup!$B$2:$B$11,MATCH(TRUE,ISNUMBER(SEARCH(FHA_Lookup!$A$2:$A$11,UPPER(SUBSTITUTE(O120," ","")))),0)),"OTHER")</f>
        <v/>
      </c>
      <c r="AP120" s="20">
        <f>IFERROR(INDEX(FHA_Lookup!$C$2:$C$11,MATCH(TRUE,ISNUMBER(SEARCH(FHA_Lookup!$A$2:$A$11,UPPER(SUBSTITUTE(O120," ","")))),0)),"OTHER")</f>
        <v/>
      </c>
      <c r="AQ120" s="20">
        <f>IF(AP120="NC",1,0)</f>
        <v/>
      </c>
      <c r="AR120" s="20">
        <f>IF(UPPER(TRIM(P120))="AFF",1,0)</f>
        <v/>
      </c>
      <c r="AS120" s="20">
        <f>IF(UPPER(TRIM(P120))="BAF",1,0)</f>
        <v/>
      </c>
      <c r="AT120" s="20">
        <f>IF(UPPER(TRIM(P120))="MKT",1,0)</f>
        <v/>
      </c>
      <c r="AU120" s="20">
        <f>IF(AO120="221d4",1,0)</f>
        <v/>
      </c>
      <c r="AV120" s="20">
        <f>IF(AO120="223a7",1,0)</f>
        <v/>
      </c>
      <c r="AW120" s="20">
        <f>IF(AO120="232",1,0)</f>
        <v/>
      </c>
      <c r="AX120" s="20">
        <f>IF(AO120="538",1,0)</f>
        <v/>
      </c>
      <c r="AY120" s="20">
        <f>IF(AO120="241",1,0)</f>
        <v/>
      </c>
      <c r="AZ120" s="20">
        <f>IF(AO120="220",1,0)</f>
        <v/>
      </c>
      <c r="BA120" s="20">
        <f>IF(AO120="OTHER",1,0)</f>
        <v/>
      </c>
      <c r="BB120" s="20">
        <f>IF(UPPER(TRIM(C120))="LM",1,0)</f>
        <v/>
      </c>
      <c r="BC120" s="20">
        <f>IF(UPPER(TRIM(C120))="PN",1,0)</f>
        <v/>
      </c>
      <c r="BD120" s="20">
        <f>IF(UPPER(TRIM(C120))="LS",1,0)</f>
        <v/>
      </c>
      <c r="BE120" s="20">
        <f>IF(UPPER(TRIM(C120))="RX",1,0)</f>
        <v/>
      </c>
      <c r="BF120" s="22">
        <f>IFERROR((Parameters!$C$6*AM120+Parameters!$C$7*MAX(AM120-(-150),0)+Parameters!$C$8*MAX(AM120-(-50),0)+Parameters!$C$9*MAX(AM120-(0),0)+Parameters!$C$10*MAX(AM120-(50),0)+Parameters!$C$11*MAX(AM120-(100),0)+Parameters!$C$12*MAX(AM120-(150),0)+Parameters!$C$13*MAX(AM120-(250),0)),0)</f>
        <v/>
      </c>
      <c r="BG120" s="22">
        <f>IFERROR((Parameters!$C$14*AA120+Parameters!$C$15*MAX(AA120-(12),0)+Parameters!$C$16*MAX(AA120-(36),0)+Parameters!$C$17*MAX(AA120-(60),0)+Parameters!$C$18*MAX(AA120-(84),0)+Parameters!$C$19*MAX(AA120-(120),0)+Parameters!$C$20*MAX(AA120-(180),0)),0)</f>
        <v/>
      </c>
      <c r="BH120" s="22">
        <f>IFERROR((Parameters!$C$21*AK120+Parameters!$C$22*MAX(AK120-(0),0)+Parameters!$C$23*MAX(AK120-(2),0)+Parameters!$C$24*MAX(AK120-(5),0)+Parameters!$C$25*MAX(AK120-(8),0)),0)</f>
        <v/>
      </c>
      <c r="BI120" s="22">
        <f>IFERROR((Parameters!$C$26*AI120+Parameters!$C$27*MAX(AI120-(-100),0)+Parameters!$C$28*MAX(AI120-(-25),0)+Parameters!$C$29*MAX(AI120-(25),0)+Parameters!$C$30*MAX(AI120-(100),0)),0)</f>
        <v/>
      </c>
      <c r="BJ120" s="22">
        <f>IFERROR((Parameters!$C$31*AN120+Parameters!$C$32*MAX(AN120-(2),0)+Parameters!$C$33*MAX(AN120-(10),0)+Parameters!$C$34*MAX(AN120-(25),0)),0)</f>
        <v/>
      </c>
      <c r="BK120" s="22">
        <f>IFERROR((Parameters!$C$35*AB120+Parameters!$C$36*MAX(AB120-(12),0)+Parameters!$C$37*MAX(AB120-(24),0)+Parameters!$C$38*MAX(AB120-(60),0)),0)</f>
        <v/>
      </c>
      <c r="BL120" s="22">
        <f>IFERROR((Parameters!$C$39*AC120+Parameters!$C$40*MAX(AC120-(6),0)+Parameters!$C$41*MAX(AC120-(12),0)+Parameters!$C$42*MAX(AC120-(24),0)),0)</f>
        <v/>
      </c>
      <c r="BM120" s="22">
        <f>IFERROR(Parameters!$C$43*(MAX(AM120,0)*MIN(MAX(AK120,0),10))/100,0)</f>
        <v/>
      </c>
      <c r="BN120" s="22">
        <f>Parameters!$C$44*AE120</f>
        <v/>
      </c>
      <c r="BO120" s="22">
        <f>Parameters!$C$45*AU120 + Parameters!$C$46*AV120 + Parameters!$C$47*AW120 + Parameters!$C$48*AX120 + Parameters!$C$49*AY120 + Parameters!$C$50*AZ120 + Parameters!$C$51*BA120</f>
        <v/>
      </c>
      <c r="BP120" s="22">
        <f>Parameters!$C$52*AQ120</f>
        <v/>
      </c>
      <c r="BQ120" s="22">
        <f>Parameters!$C$53*AR120+Parameters!$C$54*AS120+Parameters!$C$55*AT120</f>
        <v/>
      </c>
      <c r="BR120" s="22">
        <f>Parameters!$C$56*BB120+Parameters!$C$57*BC120+Parameters!$C$58*BD120+Parameters!$C$59*BE120</f>
        <v/>
      </c>
      <c r="BS120" s="23">
        <f>Parameters!$B$2</f>
        <v/>
      </c>
      <c r="BT120" s="23">
        <f>BS120+BF120 + BG120 + BH120 + BI120 + BJ120 + BK120 + BL120 + BM120 + BN120 + BO120 + BP120 + BQ120 + BR120</f>
        <v/>
      </c>
      <c r="BU120" s="24">
        <f>IF(AD120=1,0,1/(1+EXP(-BT120))*Parameters!$B$3)</f>
        <v/>
      </c>
      <c r="BV120" s="25">
        <f>(1-(1-BU120)^12)*100</f>
        <v/>
      </c>
      <c r="BW120" s="25">
        <f>IF(AD120=1,0,(1-(1-1/(1+EXP(-Parameters!$B$2)))^12)*100)</f>
        <v/>
      </c>
      <c r="BX120" s="25">
        <f>IF(AD120=1,0,BV120-(1-(1-(1/(1+EXP(-(BT120-BF120)))*Parameters!$B$3))^12)*100)</f>
        <v/>
      </c>
      <c r="BY120" s="25">
        <f>IF(AD120=1,0,BV120-(1-(1-(1/(1+EXP(-(BT120-BG120)))*Parameters!$B$3))^12)*100)</f>
        <v/>
      </c>
      <c r="BZ120" s="25">
        <f>IF(AD120=1,0,BV120-(1-(1-(1/(1+EXP(-(BT120-BH120)))*Parameters!$B$3))^12)*100)</f>
        <v/>
      </c>
      <c r="CA120" s="25">
        <f>IF(AD120=1,0,BV120-(1-(1-(1/(1+EXP(-(BT120-BI120)))*Parameters!$B$3))^12)*100)</f>
        <v/>
      </c>
      <c r="CB120" s="25">
        <f>IF(AD120=1,0,BV120-(1-(1-(1/(1+EXP(-(BT120-BJ120)))*Parameters!$B$3))^12)*100)</f>
        <v/>
      </c>
      <c r="CC120" s="25">
        <f>IF(AD120=1,0,BV120-(1-(1-(1/(1+EXP(-(BT120-BK120)))*Parameters!$B$3))^12)*100)</f>
        <v/>
      </c>
      <c r="CD120" s="25">
        <f>IF(AD120=1,0,BV120-(1-(1-(1/(1+EXP(-(BT120-BL120)))*Parameters!$B$3))^12)*100)</f>
        <v/>
      </c>
      <c r="CE120" s="25">
        <f>IF(AD120=1,0,BV120-(1-(1-(1/(1+EXP(-(BT120-BM120)))*Parameters!$B$3))^12)*100)</f>
        <v/>
      </c>
      <c r="CF120" s="25">
        <f>IF(AD120=1,0,BV120-(1-(1-(1/(1+EXP(-(BT120-BN120)))*Parameters!$B$3))^12)*100)</f>
        <v/>
      </c>
      <c r="CG120" s="25">
        <f>IF(AD120=1,0,BV120-(1-(1-(1/(1+EXP(-(BT120-BO120)))*Parameters!$B$3))^12)*100)</f>
        <v/>
      </c>
      <c r="CH120" s="25">
        <f>IF(AD120=1,0,BV120-(1-(1-(1/(1+EXP(-(BT120-BP120)))*Parameters!$B$3))^12)*100)</f>
        <v/>
      </c>
      <c r="CI120" s="25">
        <f>IF(AD120=1,0,BV120-(1-(1-(1/(1+EXP(-(BT120-BQ120)))*Parameters!$B$3))^12)*100)</f>
        <v/>
      </c>
      <c r="CJ120" s="25">
        <f>IF(AD120=1,0,BV120-(1-(1-(1/(1+EXP(-(BT120-BR120)))*Parameters!$B$3))^12)*100)</f>
        <v/>
      </c>
    </row>
    <row r="121">
      <c r="A121" s="17" t="inlineStr">
        <is>
          <t>GNR_HC_2020</t>
        </is>
      </c>
      <c r="B121" s="17" t="inlineStr">
        <is>
          <t>3617UEWD2</t>
        </is>
      </c>
      <c r="C121" s="17" t="inlineStr">
        <is>
          <t>PN</t>
        </is>
      </c>
      <c r="D121" s="17" t="inlineStr">
        <is>
          <t>DWIGHT CAPITAL LLC</t>
        </is>
      </c>
      <c r="E121" s="17" t="inlineStr">
        <is>
          <t>3617UEWD2_000000004322147</t>
        </is>
      </c>
      <c r="F121" s="17" t="n">
        <v>202603</v>
      </c>
      <c r="G121" s="18" t="n">
        <v>2.36</v>
      </c>
      <c r="H121" s="19" t="n">
        <v>3268990.59</v>
      </c>
      <c r="I121" s="17" t="n">
        <v>405</v>
      </c>
      <c r="J121" s="17" t="n">
        <v>20210201</v>
      </c>
      <c r="K121" s="17" t="n">
        <v>20541201</v>
      </c>
      <c r="L121" s="17" t="n"/>
      <c r="M121" s="17" t="n">
        <v>20310401</v>
      </c>
      <c r="N121" s="17" t="n">
        <v>10</v>
      </c>
      <c r="O121" s="17" t="inlineStr">
        <is>
          <t>232/223(F)</t>
        </is>
      </c>
      <c r="P121" s="17" t="inlineStr">
        <is>
          <t>MKT</t>
        </is>
      </c>
      <c r="Q121" s="17" t="n"/>
      <c r="R121" s="17" t="n"/>
      <c r="S121" s="17" t="n"/>
      <c r="T121" s="17" t="inlineStr">
        <is>
          <t>OH</t>
        </is>
      </c>
      <c r="U121" s="17" t="n">
        <v>109</v>
      </c>
      <c r="V121" s="17" t="n">
        <v>490.5</v>
      </c>
      <c r="W121" s="17" t="n">
        <v>61</v>
      </c>
      <c r="X121" s="17" t="n">
        <v>2021</v>
      </c>
      <c r="Y121" s="17" t="n">
        <v>-22</v>
      </c>
      <c r="Z121" s="17" t="n">
        <v>6</v>
      </c>
      <c r="AA121" s="20">
        <f>IF(ISNUMBER(W121),W121,IFERROR(MAX(0,(VALUE(LEFT(F121,4))-VALUE(LEFT(TEXT(J121,"00000000"),4)))*12+(VALUE(MID(F121,5,2))-VALUE(MID(TEXT(J121,"00000000"),5,2)))),""))</f>
        <v/>
      </c>
      <c r="AB121" s="20">
        <f>IFERROR((VALUE(LEFT(TEXT(K121,"00000000"),4))-VALUE(LEFT(F121,4)))*12+(VALUE(MID(TEXT(K121,"00000000"),5,2))-VALUE(MID(F121,5,2))),"")</f>
        <v/>
      </c>
      <c r="AC121" s="20">
        <f>IF(OR(L121="",NOT(ISNUMBER(L121))),0,MAX(0,MIN(60,(VALUE(LEFT(F121,4))-VALUE(LEFT(TEXT(L121,"00000000"),4)))*12+(VALUE(MID(F121,5,2))-VALUE(MID(TEXT(L121,"00000000"),5,2))))))</f>
        <v/>
      </c>
      <c r="AD121" s="20">
        <f>IF(OR(L121="",NOT(ISNUMBER(L121))),0,IF(VALUE(F121)&lt;VALUE(LEFT(TEXT(L121,"00000000"),6)),1,0))</f>
        <v/>
      </c>
      <c r="AE121" s="20">
        <f>IF(OR(M121="",NOT(ISNUMBER(M121))),0,IF(VALUE(F121)&lt;VALUE(LEFT(TEXT(M121,"00000000"),6)),1,0))</f>
        <v/>
      </c>
      <c r="AF121" s="20">
        <f>IF(AND(AD121=0,AE121=0),1,0)</f>
        <v/>
      </c>
      <c r="AG121" s="20">
        <f>IF(ISNUMBER(X121),X121,IFERROR(VALUE(LEFT(TEXT(J121,"00000000"),4)),""))</f>
        <v/>
      </c>
      <c r="AH121" s="20">
        <f>IFERROR(XLOOKUP(AG121,Vintage_Rates!$A$2:$A$1000,Vintage_Rates!$B$2:$B$1000,""),"")</f>
        <v/>
      </c>
      <c r="AI121" s="20">
        <f>IF(ISNUMBER(Y121),Y121,IFERROR((G121-AH121)*100,""))</f>
        <v/>
      </c>
      <c r="AJ121" s="20">
        <f>IF(ISNUMBER(V121),V121,IFERROR(XLOOKUP(VALUE(F121),PLC_Rates!$A$2:$A$1000,PLC_Rates!$B$2:$B$1000,""),""))</f>
        <v/>
      </c>
      <c r="AK121" s="20">
        <f>IF(ISNUMBER(Z121),Z121,IF(AE121=0,0,MAX(0,MIN(10,((VALUE(LEFT(TEXT(M121,"00000000"),4))-VALUE(LEFT(F121,4)))*12+(VALUE(MID(TEXT(M121,"00000000"),5,2))-VALUE(MID(F121,5,2))))/12))))</f>
        <v/>
      </c>
      <c r="AL121" s="20">
        <f>IFERROR(G121*100-AJ121,"")</f>
        <v/>
      </c>
      <c r="AM121" s="20">
        <f>IFERROR(G121*100-(AJ121+(1+AK121)*12.5),"")</f>
        <v/>
      </c>
      <c r="AN121" s="21">
        <f>IFERROR(MIN(H121/1000000,100),"")</f>
        <v/>
      </c>
      <c r="AO121" s="20">
        <f>IFERROR(INDEX(FHA_Lookup!$B$2:$B$11,MATCH(TRUE,ISNUMBER(SEARCH(FHA_Lookup!$A$2:$A$11,UPPER(SUBSTITUTE(O121," ","")))),0)),"OTHER")</f>
        <v/>
      </c>
      <c r="AP121" s="20">
        <f>IFERROR(INDEX(FHA_Lookup!$C$2:$C$11,MATCH(TRUE,ISNUMBER(SEARCH(FHA_Lookup!$A$2:$A$11,UPPER(SUBSTITUTE(O121," ","")))),0)),"OTHER")</f>
        <v/>
      </c>
      <c r="AQ121" s="20">
        <f>IF(AP121="NC",1,0)</f>
        <v/>
      </c>
      <c r="AR121" s="20">
        <f>IF(UPPER(TRIM(P121))="AFF",1,0)</f>
        <v/>
      </c>
      <c r="AS121" s="20">
        <f>IF(UPPER(TRIM(P121))="BAF",1,0)</f>
        <v/>
      </c>
      <c r="AT121" s="20">
        <f>IF(UPPER(TRIM(P121))="MKT",1,0)</f>
        <v/>
      </c>
      <c r="AU121" s="20">
        <f>IF(AO121="221d4",1,0)</f>
        <v/>
      </c>
      <c r="AV121" s="20">
        <f>IF(AO121="223a7",1,0)</f>
        <v/>
      </c>
      <c r="AW121" s="20">
        <f>IF(AO121="232",1,0)</f>
        <v/>
      </c>
      <c r="AX121" s="20">
        <f>IF(AO121="538",1,0)</f>
        <v/>
      </c>
      <c r="AY121" s="20">
        <f>IF(AO121="241",1,0)</f>
        <v/>
      </c>
      <c r="AZ121" s="20">
        <f>IF(AO121="220",1,0)</f>
        <v/>
      </c>
      <c r="BA121" s="20">
        <f>IF(AO121="OTHER",1,0)</f>
        <v/>
      </c>
      <c r="BB121" s="20">
        <f>IF(UPPER(TRIM(C121))="LM",1,0)</f>
        <v/>
      </c>
      <c r="BC121" s="20">
        <f>IF(UPPER(TRIM(C121))="PN",1,0)</f>
        <v/>
      </c>
      <c r="BD121" s="20">
        <f>IF(UPPER(TRIM(C121))="LS",1,0)</f>
        <v/>
      </c>
      <c r="BE121" s="20">
        <f>IF(UPPER(TRIM(C121))="RX",1,0)</f>
        <v/>
      </c>
      <c r="BF121" s="22">
        <f>IFERROR((Parameters!$C$6*AM121+Parameters!$C$7*MAX(AM121-(-150),0)+Parameters!$C$8*MAX(AM121-(-50),0)+Parameters!$C$9*MAX(AM121-(0),0)+Parameters!$C$10*MAX(AM121-(50),0)+Parameters!$C$11*MAX(AM121-(100),0)+Parameters!$C$12*MAX(AM121-(150),0)+Parameters!$C$13*MAX(AM121-(250),0)),0)</f>
        <v/>
      </c>
      <c r="BG121" s="22">
        <f>IFERROR((Parameters!$C$14*AA121+Parameters!$C$15*MAX(AA121-(12),0)+Parameters!$C$16*MAX(AA121-(36),0)+Parameters!$C$17*MAX(AA121-(60),0)+Parameters!$C$18*MAX(AA121-(84),0)+Parameters!$C$19*MAX(AA121-(120),0)+Parameters!$C$20*MAX(AA121-(180),0)),0)</f>
        <v/>
      </c>
      <c r="BH121" s="22">
        <f>IFERROR((Parameters!$C$21*AK121+Parameters!$C$22*MAX(AK121-(0),0)+Parameters!$C$23*MAX(AK121-(2),0)+Parameters!$C$24*MAX(AK121-(5),0)+Parameters!$C$25*MAX(AK121-(8),0)),0)</f>
        <v/>
      </c>
      <c r="BI121" s="22">
        <f>IFERROR((Parameters!$C$26*AI121+Parameters!$C$27*MAX(AI121-(-100),0)+Parameters!$C$28*MAX(AI121-(-25),0)+Parameters!$C$29*MAX(AI121-(25),0)+Parameters!$C$30*MAX(AI121-(100),0)),0)</f>
        <v/>
      </c>
      <c r="BJ121" s="22">
        <f>IFERROR((Parameters!$C$31*AN121+Parameters!$C$32*MAX(AN121-(2),0)+Parameters!$C$33*MAX(AN121-(10),0)+Parameters!$C$34*MAX(AN121-(25),0)),0)</f>
        <v/>
      </c>
      <c r="BK121" s="22">
        <f>IFERROR((Parameters!$C$35*AB121+Parameters!$C$36*MAX(AB121-(12),0)+Parameters!$C$37*MAX(AB121-(24),0)+Parameters!$C$38*MAX(AB121-(60),0)),0)</f>
        <v/>
      </c>
      <c r="BL121" s="22">
        <f>IFERROR((Parameters!$C$39*AC121+Parameters!$C$40*MAX(AC121-(6),0)+Parameters!$C$41*MAX(AC121-(12),0)+Parameters!$C$42*MAX(AC121-(24),0)),0)</f>
        <v/>
      </c>
      <c r="BM121" s="22">
        <f>IFERROR(Parameters!$C$43*(MAX(AM121,0)*MIN(MAX(AK121,0),10))/100,0)</f>
        <v/>
      </c>
      <c r="BN121" s="22">
        <f>Parameters!$C$44*AE121</f>
        <v/>
      </c>
      <c r="BO121" s="22">
        <f>Parameters!$C$45*AU121 + Parameters!$C$46*AV121 + Parameters!$C$47*AW121 + Parameters!$C$48*AX121 + Parameters!$C$49*AY121 + Parameters!$C$50*AZ121 + Parameters!$C$51*BA121</f>
        <v/>
      </c>
      <c r="BP121" s="22">
        <f>Parameters!$C$52*AQ121</f>
        <v/>
      </c>
      <c r="BQ121" s="22">
        <f>Parameters!$C$53*AR121+Parameters!$C$54*AS121+Parameters!$C$55*AT121</f>
        <v/>
      </c>
      <c r="BR121" s="22">
        <f>Parameters!$C$56*BB121+Parameters!$C$57*BC121+Parameters!$C$58*BD121+Parameters!$C$59*BE121</f>
        <v/>
      </c>
      <c r="BS121" s="23">
        <f>Parameters!$B$2</f>
        <v/>
      </c>
      <c r="BT121" s="23">
        <f>BS121+BF121 + BG121 + BH121 + BI121 + BJ121 + BK121 + BL121 + BM121 + BN121 + BO121 + BP121 + BQ121 + BR121</f>
        <v/>
      </c>
      <c r="BU121" s="24">
        <f>IF(AD121=1,0,1/(1+EXP(-BT121))*Parameters!$B$3)</f>
        <v/>
      </c>
      <c r="BV121" s="25">
        <f>(1-(1-BU121)^12)*100</f>
        <v/>
      </c>
      <c r="BW121" s="25">
        <f>IF(AD121=1,0,(1-(1-1/(1+EXP(-Parameters!$B$2)))^12)*100)</f>
        <v/>
      </c>
      <c r="BX121" s="25">
        <f>IF(AD121=1,0,BV121-(1-(1-(1/(1+EXP(-(BT121-BF121)))*Parameters!$B$3))^12)*100)</f>
        <v/>
      </c>
      <c r="BY121" s="25">
        <f>IF(AD121=1,0,BV121-(1-(1-(1/(1+EXP(-(BT121-BG121)))*Parameters!$B$3))^12)*100)</f>
        <v/>
      </c>
      <c r="BZ121" s="25">
        <f>IF(AD121=1,0,BV121-(1-(1-(1/(1+EXP(-(BT121-BH121)))*Parameters!$B$3))^12)*100)</f>
        <v/>
      </c>
      <c r="CA121" s="25">
        <f>IF(AD121=1,0,BV121-(1-(1-(1/(1+EXP(-(BT121-BI121)))*Parameters!$B$3))^12)*100)</f>
        <v/>
      </c>
      <c r="CB121" s="25">
        <f>IF(AD121=1,0,BV121-(1-(1-(1/(1+EXP(-(BT121-BJ121)))*Parameters!$B$3))^12)*100)</f>
        <v/>
      </c>
      <c r="CC121" s="25">
        <f>IF(AD121=1,0,BV121-(1-(1-(1/(1+EXP(-(BT121-BK121)))*Parameters!$B$3))^12)*100)</f>
        <v/>
      </c>
      <c r="CD121" s="25">
        <f>IF(AD121=1,0,BV121-(1-(1-(1/(1+EXP(-(BT121-BL121)))*Parameters!$B$3))^12)*100)</f>
        <v/>
      </c>
      <c r="CE121" s="25">
        <f>IF(AD121=1,0,BV121-(1-(1-(1/(1+EXP(-(BT121-BM121)))*Parameters!$B$3))^12)*100)</f>
        <v/>
      </c>
      <c r="CF121" s="25">
        <f>IF(AD121=1,0,BV121-(1-(1-(1/(1+EXP(-(BT121-BN121)))*Parameters!$B$3))^12)*100)</f>
        <v/>
      </c>
      <c r="CG121" s="25">
        <f>IF(AD121=1,0,BV121-(1-(1-(1/(1+EXP(-(BT121-BO121)))*Parameters!$B$3))^12)*100)</f>
        <v/>
      </c>
      <c r="CH121" s="25">
        <f>IF(AD121=1,0,BV121-(1-(1-(1/(1+EXP(-(BT121-BP121)))*Parameters!$B$3))^12)*100)</f>
        <v/>
      </c>
      <c r="CI121" s="25">
        <f>IF(AD121=1,0,BV121-(1-(1-(1/(1+EXP(-(BT121-BQ121)))*Parameters!$B$3))^12)*100)</f>
        <v/>
      </c>
      <c r="CJ121" s="25">
        <f>IF(AD121=1,0,BV121-(1-(1-(1/(1+EXP(-(BT121-BR121)))*Parameters!$B$3))^12)*100)</f>
        <v/>
      </c>
    </row>
    <row r="122">
      <c r="A122" s="17" t="inlineStr">
        <is>
          <t>GNR_HC_2020</t>
        </is>
      </c>
      <c r="B122" s="17" t="inlineStr">
        <is>
          <t>3617MRHJ6</t>
        </is>
      </c>
      <c r="C122" s="17" t="inlineStr">
        <is>
          <t>PN</t>
        </is>
      </c>
      <c r="D122" s="17" t="inlineStr">
        <is>
          <t>WALKER &amp; DUNLOP, LLC</t>
        </is>
      </c>
      <c r="E122" s="17" t="inlineStr">
        <is>
          <t>3617MRHJ6_000000004422104</t>
        </is>
      </c>
      <c r="F122" s="17" t="n">
        <v>202603</v>
      </c>
      <c r="G122" s="18" t="n">
        <v>3.27</v>
      </c>
      <c r="H122" s="19" t="n">
        <v>13467212.69</v>
      </c>
      <c r="I122" s="17" t="n">
        <v>420</v>
      </c>
      <c r="J122" s="17" t="n">
        <v>20200330</v>
      </c>
      <c r="K122" s="17" t="n">
        <v>20550401</v>
      </c>
      <c r="L122" s="17" t="n"/>
      <c r="M122" s="17" t="n">
        <v>20300501</v>
      </c>
      <c r="N122" s="17" t="n">
        <v>10</v>
      </c>
      <c r="O122" s="17" t="inlineStr">
        <is>
          <t>232/223(F)</t>
        </is>
      </c>
      <c r="P122" s="17" t="inlineStr">
        <is>
          <t>MKT</t>
        </is>
      </c>
      <c r="Q122" s="17" t="n"/>
      <c r="R122" s="17" t="n"/>
      <c r="S122" s="17" t="n"/>
      <c r="T122" s="17" t="inlineStr">
        <is>
          <t>MI</t>
        </is>
      </c>
      <c r="U122" s="17" t="n">
        <v>190</v>
      </c>
      <c r="V122" s="17" t="n">
        <v>490.5</v>
      </c>
      <c r="W122" s="17" t="n">
        <v>72</v>
      </c>
      <c r="X122" s="17" t="n">
        <v>2020</v>
      </c>
      <c r="Y122" s="17" t="n">
        <v>42</v>
      </c>
      <c r="Z122" s="17" t="n">
        <v>5</v>
      </c>
      <c r="AA122" s="20">
        <f>IF(ISNUMBER(W122),W122,IFERROR(MAX(0,(VALUE(LEFT(F122,4))-VALUE(LEFT(TEXT(J122,"00000000"),4)))*12+(VALUE(MID(F122,5,2))-VALUE(MID(TEXT(J122,"00000000"),5,2)))),""))</f>
        <v/>
      </c>
      <c r="AB122" s="20">
        <f>IFERROR((VALUE(LEFT(TEXT(K122,"00000000"),4))-VALUE(LEFT(F122,4)))*12+(VALUE(MID(TEXT(K122,"00000000"),5,2))-VALUE(MID(F122,5,2))),"")</f>
        <v/>
      </c>
      <c r="AC122" s="20">
        <f>IF(OR(L122="",NOT(ISNUMBER(L122))),0,MAX(0,MIN(60,(VALUE(LEFT(F122,4))-VALUE(LEFT(TEXT(L122,"00000000"),4)))*12+(VALUE(MID(F122,5,2))-VALUE(MID(TEXT(L122,"00000000"),5,2))))))</f>
        <v/>
      </c>
      <c r="AD122" s="20">
        <f>IF(OR(L122="",NOT(ISNUMBER(L122))),0,IF(VALUE(F122)&lt;VALUE(LEFT(TEXT(L122,"00000000"),6)),1,0))</f>
        <v/>
      </c>
      <c r="AE122" s="20">
        <f>IF(OR(M122="",NOT(ISNUMBER(M122))),0,IF(VALUE(F122)&lt;VALUE(LEFT(TEXT(M122,"00000000"),6)),1,0))</f>
        <v/>
      </c>
      <c r="AF122" s="20">
        <f>IF(AND(AD122=0,AE122=0),1,0)</f>
        <v/>
      </c>
      <c r="AG122" s="20">
        <f>IF(ISNUMBER(X122),X122,IFERROR(VALUE(LEFT(TEXT(J122,"00000000"),4)),""))</f>
        <v/>
      </c>
      <c r="AH122" s="20">
        <f>IFERROR(XLOOKUP(AG122,Vintage_Rates!$A$2:$A$1000,Vintage_Rates!$B$2:$B$1000,""),"")</f>
        <v/>
      </c>
      <c r="AI122" s="20">
        <f>IF(ISNUMBER(Y122),Y122,IFERROR((G122-AH122)*100,""))</f>
        <v/>
      </c>
      <c r="AJ122" s="20">
        <f>IF(ISNUMBER(V122),V122,IFERROR(XLOOKUP(VALUE(F122),PLC_Rates!$A$2:$A$1000,PLC_Rates!$B$2:$B$1000,""),""))</f>
        <v/>
      </c>
      <c r="AK122" s="20">
        <f>IF(ISNUMBER(Z122),Z122,IF(AE122=0,0,MAX(0,MIN(10,((VALUE(LEFT(TEXT(M122,"00000000"),4))-VALUE(LEFT(F122,4)))*12+(VALUE(MID(TEXT(M122,"00000000"),5,2))-VALUE(MID(F122,5,2))))/12))))</f>
        <v/>
      </c>
      <c r="AL122" s="20">
        <f>IFERROR(G122*100-AJ122,"")</f>
        <v/>
      </c>
      <c r="AM122" s="20">
        <f>IFERROR(G122*100-(AJ122+(1+AK122)*12.5),"")</f>
        <v/>
      </c>
      <c r="AN122" s="21">
        <f>IFERROR(MIN(H122/1000000,100),"")</f>
        <v/>
      </c>
      <c r="AO122" s="20">
        <f>IFERROR(INDEX(FHA_Lookup!$B$2:$B$11,MATCH(TRUE,ISNUMBER(SEARCH(FHA_Lookup!$A$2:$A$11,UPPER(SUBSTITUTE(O122," ","")))),0)),"OTHER")</f>
        <v/>
      </c>
      <c r="AP122" s="20">
        <f>IFERROR(INDEX(FHA_Lookup!$C$2:$C$11,MATCH(TRUE,ISNUMBER(SEARCH(FHA_Lookup!$A$2:$A$11,UPPER(SUBSTITUTE(O122," ","")))),0)),"OTHER")</f>
        <v/>
      </c>
      <c r="AQ122" s="20">
        <f>IF(AP122="NC",1,0)</f>
        <v/>
      </c>
      <c r="AR122" s="20">
        <f>IF(UPPER(TRIM(P122))="AFF",1,0)</f>
        <v/>
      </c>
      <c r="AS122" s="20">
        <f>IF(UPPER(TRIM(P122))="BAF",1,0)</f>
        <v/>
      </c>
      <c r="AT122" s="20">
        <f>IF(UPPER(TRIM(P122))="MKT",1,0)</f>
        <v/>
      </c>
      <c r="AU122" s="20">
        <f>IF(AO122="221d4",1,0)</f>
        <v/>
      </c>
      <c r="AV122" s="20">
        <f>IF(AO122="223a7",1,0)</f>
        <v/>
      </c>
      <c r="AW122" s="20">
        <f>IF(AO122="232",1,0)</f>
        <v/>
      </c>
      <c r="AX122" s="20">
        <f>IF(AO122="538",1,0)</f>
        <v/>
      </c>
      <c r="AY122" s="20">
        <f>IF(AO122="241",1,0)</f>
        <v/>
      </c>
      <c r="AZ122" s="20">
        <f>IF(AO122="220",1,0)</f>
        <v/>
      </c>
      <c r="BA122" s="20">
        <f>IF(AO122="OTHER",1,0)</f>
        <v/>
      </c>
      <c r="BB122" s="20">
        <f>IF(UPPER(TRIM(C122))="LM",1,0)</f>
        <v/>
      </c>
      <c r="BC122" s="20">
        <f>IF(UPPER(TRIM(C122))="PN",1,0)</f>
        <v/>
      </c>
      <c r="BD122" s="20">
        <f>IF(UPPER(TRIM(C122))="LS",1,0)</f>
        <v/>
      </c>
      <c r="BE122" s="20">
        <f>IF(UPPER(TRIM(C122))="RX",1,0)</f>
        <v/>
      </c>
      <c r="BF122" s="22">
        <f>IFERROR((Parameters!$C$6*AM122+Parameters!$C$7*MAX(AM122-(-150),0)+Parameters!$C$8*MAX(AM122-(-50),0)+Parameters!$C$9*MAX(AM122-(0),0)+Parameters!$C$10*MAX(AM122-(50),0)+Parameters!$C$11*MAX(AM122-(100),0)+Parameters!$C$12*MAX(AM122-(150),0)+Parameters!$C$13*MAX(AM122-(250),0)),0)</f>
        <v/>
      </c>
      <c r="BG122" s="22">
        <f>IFERROR((Parameters!$C$14*AA122+Parameters!$C$15*MAX(AA122-(12),0)+Parameters!$C$16*MAX(AA122-(36),0)+Parameters!$C$17*MAX(AA122-(60),0)+Parameters!$C$18*MAX(AA122-(84),0)+Parameters!$C$19*MAX(AA122-(120),0)+Parameters!$C$20*MAX(AA122-(180),0)),0)</f>
        <v/>
      </c>
      <c r="BH122" s="22">
        <f>IFERROR((Parameters!$C$21*AK122+Parameters!$C$22*MAX(AK122-(0),0)+Parameters!$C$23*MAX(AK122-(2),0)+Parameters!$C$24*MAX(AK122-(5),0)+Parameters!$C$25*MAX(AK122-(8),0)),0)</f>
        <v/>
      </c>
      <c r="BI122" s="22">
        <f>IFERROR((Parameters!$C$26*AI122+Parameters!$C$27*MAX(AI122-(-100),0)+Parameters!$C$28*MAX(AI122-(-25),0)+Parameters!$C$29*MAX(AI122-(25),0)+Parameters!$C$30*MAX(AI122-(100),0)),0)</f>
        <v/>
      </c>
      <c r="BJ122" s="22">
        <f>IFERROR((Parameters!$C$31*AN122+Parameters!$C$32*MAX(AN122-(2),0)+Parameters!$C$33*MAX(AN122-(10),0)+Parameters!$C$34*MAX(AN122-(25),0)),0)</f>
        <v/>
      </c>
      <c r="BK122" s="22">
        <f>IFERROR((Parameters!$C$35*AB122+Parameters!$C$36*MAX(AB122-(12),0)+Parameters!$C$37*MAX(AB122-(24),0)+Parameters!$C$38*MAX(AB122-(60),0)),0)</f>
        <v/>
      </c>
      <c r="BL122" s="22">
        <f>IFERROR((Parameters!$C$39*AC122+Parameters!$C$40*MAX(AC122-(6),0)+Parameters!$C$41*MAX(AC122-(12),0)+Parameters!$C$42*MAX(AC122-(24),0)),0)</f>
        <v/>
      </c>
      <c r="BM122" s="22">
        <f>IFERROR(Parameters!$C$43*(MAX(AM122,0)*MIN(MAX(AK122,0),10))/100,0)</f>
        <v/>
      </c>
      <c r="BN122" s="22">
        <f>Parameters!$C$44*AE122</f>
        <v/>
      </c>
      <c r="BO122" s="22">
        <f>Parameters!$C$45*AU122 + Parameters!$C$46*AV122 + Parameters!$C$47*AW122 + Parameters!$C$48*AX122 + Parameters!$C$49*AY122 + Parameters!$C$50*AZ122 + Parameters!$C$51*BA122</f>
        <v/>
      </c>
      <c r="BP122" s="22">
        <f>Parameters!$C$52*AQ122</f>
        <v/>
      </c>
      <c r="BQ122" s="22">
        <f>Parameters!$C$53*AR122+Parameters!$C$54*AS122+Parameters!$C$55*AT122</f>
        <v/>
      </c>
      <c r="BR122" s="22">
        <f>Parameters!$C$56*BB122+Parameters!$C$57*BC122+Parameters!$C$58*BD122+Parameters!$C$59*BE122</f>
        <v/>
      </c>
      <c r="BS122" s="23">
        <f>Parameters!$B$2</f>
        <v/>
      </c>
      <c r="BT122" s="23">
        <f>BS122+BF122 + BG122 + BH122 + BI122 + BJ122 + BK122 + BL122 + BM122 + BN122 + BO122 + BP122 + BQ122 + BR122</f>
        <v/>
      </c>
      <c r="BU122" s="24">
        <f>IF(AD122=1,0,1/(1+EXP(-BT122))*Parameters!$B$3)</f>
        <v/>
      </c>
      <c r="BV122" s="25">
        <f>(1-(1-BU122)^12)*100</f>
        <v/>
      </c>
      <c r="BW122" s="25">
        <f>IF(AD122=1,0,(1-(1-1/(1+EXP(-Parameters!$B$2)))^12)*100)</f>
        <v/>
      </c>
      <c r="BX122" s="25">
        <f>IF(AD122=1,0,BV122-(1-(1-(1/(1+EXP(-(BT122-BF122)))*Parameters!$B$3))^12)*100)</f>
        <v/>
      </c>
      <c r="BY122" s="25">
        <f>IF(AD122=1,0,BV122-(1-(1-(1/(1+EXP(-(BT122-BG122)))*Parameters!$B$3))^12)*100)</f>
        <v/>
      </c>
      <c r="BZ122" s="25">
        <f>IF(AD122=1,0,BV122-(1-(1-(1/(1+EXP(-(BT122-BH122)))*Parameters!$B$3))^12)*100)</f>
        <v/>
      </c>
      <c r="CA122" s="25">
        <f>IF(AD122=1,0,BV122-(1-(1-(1/(1+EXP(-(BT122-BI122)))*Parameters!$B$3))^12)*100)</f>
        <v/>
      </c>
      <c r="CB122" s="25">
        <f>IF(AD122=1,0,BV122-(1-(1-(1/(1+EXP(-(BT122-BJ122)))*Parameters!$B$3))^12)*100)</f>
        <v/>
      </c>
      <c r="CC122" s="25">
        <f>IF(AD122=1,0,BV122-(1-(1-(1/(1+EXP(-(BT122-BK122)))*Parameters!$B$3))^12)*100)</f>
        <v/>
      </c>
      <c r="CD122" s="25">
        <f>IF(AD122=1,0,BV122-(1-(1-(1/(1+EXP(-(BT122-BL122)))*Parameters!$B$3))^12)*100)</f>
        <v/>
      </c>
      <c r="CE122" s="25">
        <f>IF(AD122=1,0,BV122-(1-(1-(1/(1+EXP(-(BT122-BM122)))*Parameters!$B$3))^12)*100)</f>
        <v/>
      </c>
      <c r="CF122" s="25">
        <f>IF(AD122=1,0,BV122-(1-(1-(1/(1+EXP(-(BT122-BN122)))*Parameters!$B$3))^12)*100)</f>
        <v/>
      </c>
      <c r="CG122" s="25">
        <f>IF(AD122=1,0,BV122-(1-(1-(1/(1+EXP(-(BT122-BO122)))*Parameters!$B$3))^12)*100)</f>
        <v/>
      </c>
      <c r="CH122" s="25">
        <f>IF(AD122=1,0,BV122-(1-(1-(1/(1+EXP(-(BT122-BP122)))*Parameters!$B$3))^12)*100)</f>
        <v/>
      </c>
      <c r="CI122" s="25">
        <f>IF(AD122=1,0,BV122-(1-(1-(1/(1+EXP(-(BT122-BQ122)))*Parameters!$B$3))^12)*100)</f>
        <v/>
      </c>
      <c r="CJ122" s="25">
        <f>IF(AD122=1,0,BV122-(1-(1-(1/(1+EXP(-(BT122-BR122)))*Parameters!$B$3))^12)*100)</f>
        <v/>
      </c>
    </row>
    <row r="123">
      <c r="A123" s="17" t="inlineStr">
        <is>
          <t>GNR_HC_2020</t>
        </is>
      </c>
      <c r="B123" s="17" t="inlineStr">
        <is>
          <t>3617BTYJ5</t>
        </is>
      </c>
      <c r="C123" s="17" t="inlineStr">
        <is>
          <t>PN</t>
        </is>
      </c>
      <c r="D123" s="17" t="inlineStr">
        <is>
          <t>CAPITAL FUNDING,LLC.</t>
        </is>
      </c>
      <c r="E123" s="17" t="inlineStr">
        <is>
          <t>3617BTYJ5_000000001722121</t>
        </is>
      </c>
      <c r="F123" s="17" t="n">
        <v>202603</v>
      </c>
      <c r="G123" s="18" t="n">
        <v>3.75</v>
      </c>
      <c r="H123" s="19" t="n">
        <v>7247435.09</v>
      </c>
      <c r="I123" s="17" t="n">
        <v>360</v>
      </c>
      <c r="J123" s="17" t="n">
        <v>20180426</v>
      </c>
      <c r="K123" s="17" t="n">
        <v>20480501</v>
      </c>
      <c r="L123" s="17" t="n"/>
      <c r="M123" s="17" t="n">
        <v>20280601</v>
      </c>
      <c r="N123" s="17" t="n">
        <v>10</v>
      </c>
      <c r="O123" s="17" t="inlineStr">
        <is>
          <t>232/223(F)</t>
        </is>
      </c>
      <c r="P123" s="17" t="inlineStr">
        <is>
          <t>MKT</t>
        </is>
      </c>
      <c r="Q123" s="17" t="n"/>
      <c r="R123" s="17" t="n"/>
      <c r="S123" s="17" t="n"/>
      <c r="T123" s="17" t="inlineStr">
        <is>
          <t>CT</t>
        </is>
      </c>
      <c r="U123" s="17" t="n">
        <v>90</v>
      </c>
      <c r="V123" s="17" t="n">
        <v>490.5</v>
      </c>
      <c r="W123" s="17" t="n">
        <v>95</v>
      </c>
      <c r="X123" s="17" t="n">
        <v>2018</v>
      </c>
      <c r="Y123" s="17" t="n">
        <v>-27</v>
      </c>
      <c r="Z123" s="17" t="n">
        <v>3</v>
      </c>
      <c r="AA123" s="20">
        <f>IF(ISNUMBER(W123),W123,IFERROR(MAX(0,(VALUE(LEFT(F123,4))-VALUE(LEFT(TEXT(J123,"00000000"),4)))*12+(VALUE(MID(F123,5,2))-VALUE(MID(TEXT(J123,"00000000"),5,2)))),""))</f>
        <v/>
      </c>
      <c r="AB123" s="20">
        <f>IFERROR((VALUE(LEFT(TEXT(K123,"00000000"),4))-VALUE(LEFT(F123,4)))*12+(VALUE(MID(TEXT(K123,"00000000"),5,2))-VALUE(MID(F123,5,2))),"")</f>
        <v/>
      </c>
      <c r="AC123" s="20">
        <f>IF(OR(L123="",NOT(ISNUMBER(L123))),0,MAX(0,MIN(60,(VALUE(LEFT(F123,4))-VALUE(LEFT(TEXT(L123,"00000000"),4)))*12+(VALUE(MID(F123,5,2))-VALUE(MID(TEXT(L123,"00000000"),5,2))))))</f>
        <v/>
      </c>
      <c r="AD123" s="20">
        <f>IF(OR(L123="",NOT(ISNUMBER(L123))),0,IF(VALUE(F123)&lt;VALUE(LEFT(TEXT(L123,"00000000"),6)),1,0))</f>
        <v/>
      </c>
      <c r="AE123" s="20">
        <f>IF(OR(M123="",NOT(ISNUMBER(M123))),0,IF(VALUE(F123)&lt;VALUE(LEFT(TEXT(M123,"00000000"),6)),1,0))</f>
        <v/>
      </c>
      <c r="AF123" s="20">
        <f>IF(AND(AD123=0,AE123=0),1,0)</f>
        <v/>
      </c>
      <c r="AG123" s="20">
        <f>IF(ISNUMBER(X123),X123,IFERROR(VALUE(LEFT(TEXT(J123,"00000000"),4)),""))</f>
        <v/>
      </c>
      <c r="AH123" s="20">
        <f>IFERROR(XLOOKUP(AG123,Vintage_Rates!$A$2:$A$1000,Vintage_Rates!$B$2:$B$1000,""),"")</f>
        <v/>
      </c>
      <c r="AI123" s="20">
        <f>IF(ISNUMBER(Y123),Y123,IFERROR((G123-AH123)*100,""))</f>
        <v/>
      </c>
      <c r="AJ123" s="20">
        <f>IF(ISNUMBER(V123),V123,IFERROR(XLOOKUP(VALUE(F123),PLC_Rates!$A$2:$A$1000,PLC_Rates!$B$2:$B$1000,""),""))</f>
        <v/>
      </c>
      <c r="AK123" s="20">
        <f>IF(ISNUMBER(Z123),Z123,IF(AE123=0,0,MAX(0,MIN(10,((VALUE(LEFT(TEXT(M123,"00000000"),4))-VALUE(LEFT(F123,4)))*12+(VALUE(MID(TEXT(M123,"00000000"),5,2))-VALUE(MID(F123,5,2))))/12))))</f>
        <v/>
      </c>
      <c r="AL123" s="20">
        <f>IFERROR(G123*100-AJ123,"")</f>
        <v/>
      </c>
      <c r="AM123" s="20">
        <f>IFERROR(G123*100-(AJ123+(1+AK123)*12.5),"")</f>
        <v/>
      </c>
      <c r="AN123" s="21">
        <f>IFERROR(MIN(H123/1000000,100),"")</f>
        <v/>
      </c>
      <c r="AO123" s="20">
        <f>IFERROR(INDEX(FHA_Lookup!$B$2:$B$11,MATCH(TRUE,ISNUMBER(SEARCH(FHA_Lookup!$A$2:$A$11,UPPER(SUBSTITUTE(O123," ","")))),0)),"OTHER")</f>
        <v/>
      </c>
      <c r="AP123" s="20">
        <f>IFERROR(INDEX(FHA_Lookup!$C$2:$C$11,MATCH(TRUE,ISNUMBER(SEARCH(FHA_Lookup!$A$2:$A$11,UPPER(SUBSTITUTE(O123," ","")))),0)),"OTHER")</f>
        <v/>
      </c>
      <c r="AQ123" s="20">
        <f>IF(AP123="NC",1,0)</f>
        <v/>
      </c>
      <c r="AR123" s="20">
        <f>IF(UPPER(TRIM(P123))="AFF",1,0)</f>
        <v/>
      </c>
      <c r="AS123" s="20">
        <f>IF(UPPER(TRIM(P123))="BAF",1,0)</f>
        <v/>
      </c>
      <c r="AT123" s="20">
        <f>IF(UPPER(TRIM(P123))="MKT",1,0)</f>
        <v/>
      </c>
      <c r="AU123" s="20">
        <f>IF(AO123="221d4",1,0)</f>
        <v/>
      </c>
      <c r="AV123" s="20">
        <f>IF(AO123="223a7",1,0)</f>
        <v/>
      </c>
      <c r="AW123" s="20">
        <f>IF(AO123="232",1,0)</f>
        <v/>
      </c>
      <c r="AX123" s="20">
        <f>IF(AO123="538",1,0)</f>
        <v/>
      </c>
      <c r="AY123" s="20">
        <f>IF(AO123="241",1,0)</f>
        <v/>
      </c>
      <c r="AZ123" s="20">
        <f>IF(AO123="220",1,0)</f>
        <v/>
      </c>
      <c r="BA123" s="20">
        <f>IF(AO123="OTHER",1,0)</f>
        <v/>
      </c>
      <c r="BB123" s="20">
        <f>IF(UPPER(TRIM(C123))="LM",1,0)</f>
        <v/>
      </c>
      <c r="BC123" s="20">
        <f>IF(UPPER(TRIM(C123))="PN",1,0)</f>
        <v/>
      </c>
      <c r="BD123" s="20">
        <f>IF(UPPER(TRIM(C123))="LS",1,0)</f>
        <v/>
      </c>
      <c r="BE123" s="20">
        <f>IF(UPPER(TRIM(C123))="RX",1,0)</f>
        <v/>
      </c>
      <c r="BF123" s="22">
        <f>IFERROR((Parameters!$C$6*AM123+Parameters!$C$7*MAX(AM123-(-150),0)+Parameters!$C$8*MAX(AM123-(-50),0)+Parameters!$C$9*MAX(AM123-(0),0)+Parameters!$C$10*MAX(AM123-(50),0)+Parameters!$C$11*MAX(AM123-(100),0)+Parameters!$C$12*MAX(AM123-(150),0)+Parameters!$C$13*MAX(AM123-(250),0)),0)</f>
        <v/>
      </c>
      <c r="BG123" s="22">
        <f>IFERROR((Parameters!$C$14*AA123+Parameters!$C$15*MAX(AA123-(12),0)+Parameters!$C$16*MAX(AA123-(36),0)+Parameters!$C$17*MAX(AA123-(60),0)+Parameters!$C$18*MAX(AA123-(84),0)+Parameters!$C$19*MAX(AA123-(120),0)+Parameters!$C$20*MAX(AA123-(180),0)),0)</f>
        <v/>
      </c>
      <c r="BH123" s="22">
        <f>IFERROR((Parameters!$C$21*AK123+Parameters!$C$22*MAX(AK123-(0),0)+Parameters!$C$23*MAX(AK123-(2),0)+Parameters!$C$24*MAX(AK123-(5),0)+Parameters!$C$25*MAX(AK123-(8),0)),0)</f>
        <v/>
      </c>
      <c r="BI123" s="22">
        <f>IFERROR((Parameters!$C$26*AI123+Parameters!$C$27*MAX(AI123-(-100),0)+Parameters!$C$28*MAX(AI123-(-25),0)+Parameters!$C$29*MAX(AI123-(25),0)+Parameters!$C$30*MAX(AI123-(100),0)),0)</f>
        <v/>
      </c>
      <c r="BJ123" s="22">
        <f>IFERROR((Parameters!$C$31*AN123+Parameters!$C$32*MAX(AN123-(2),0)+Parameters!$C$33*MAX(AN123-(10),0)+Parameters!$C$34*MAX(AN123-(25),0)),0)</f>
        <v/>
      </c>
      <c r="BK123" s="22">
        <f>IFERROR((Parameters!$C$35*AB123+Parameters!$C$36*MAX(AB123-(12),0)+Parameters!$C$37*MAX(AB123-(24),0)+Parameters!$C$38*MAX(AB123-(60),0)),0)</f>
        <v/>
      </c>
      <c r="BL123" s="22">
        <f>IFERROR((Parameters!$C$39*AC123+Parameters!$C$40*MAX(AC123-(6),0)+Parameters!$C$41*MAX(AC123-(12),0)+Parameters!$C$42*MAX(AC123-(24),0)),0)</f>
        <v/>
      </c>
      <c r="BM123" s="22">
        <f>IFERROR(Parameters!$C$43*(MAX(AM123,0)*MIN(MAX(AK123,0),10))/100,0)</f>
        <v/>
      </c>
      <c r="BN123" s="22">
        <f>Parameters!$C$44*AE123</f>
        <v/>
      </c>
      <c r="BO123" s="22">
        <f>Parameters!$C$45*AU123 + Parameters!$C$46*AV123 + Parameters!$C$47*AW123 + Parameters!$C$48*AX123 + Parameters!$C$49*AY123 + Parameters!$C$50*AZ123 + Parameters!$C$51*BA123</f>
        <v/>
      </c>
      <c r="BP123" s="22">
        <f>Parameters!$C$52*AQ123</f>
        <v/>
      </c>
      <c r="BQ123" s="22">
        <f>Parameters!$C$53*AR123+Parameters!$C$54*AS123+Parameters!$C$55*AT123</f>
        <v/>
      </c>
      <c r="BR123" s="22">
        <f>Parameters!$C$56*BB123+Parameters!$C$57*BC123+Parameters!$C$58*BD123+Parameters!$C$59*BE123</f>
        <v/>
      </c>
      <c r="BS123" s="23">
        <f>Parameters!$B$2</f>
        <v/>
      </c>
      <c r="BT123" s="23">
        <f>BS123+BF123 + BG123 + BH123 + BI123 + BJ123 + BK123 + BL123 + BM123 + BN123 + BO123 + BP123 + BQ123 + BR123</f>
        <v/>
      </c>
      <c r="BU123" s="24">
        <f>IF(AD123=1,0,1/(1+EXP(-BT123))*Parameters!$B$3)</f>
        <v/>
      </c>
      <c r="BV123" s="25">
        <f>(1-(1-BU123)^12)*100</f>
        <v/>
      </c>
      <c r="BW123" s="25">
        <f>IF(AD123=1,0,(1-(1-1/(1+EXP(-Parameters!$B$2)))^12)*100)</f>
        <v/>
      </c>
      <c r="BX123" s="25">
        <f>IF(AD123=1,0,BV123-(1-(1-(1/(1+EXP(-(BT123-BF123)))*Parameters!$B$3))^12)*100)</f>
        <v/>
      </c>
      <c r="BY123" s="25">
        <f>IF(AD123=1,0,BV123-(1-(1-(1/(1+EXP(-(BT123-BG123)))*Parameters!$B$3))^12)*100)</f>
        <v/>
      </c>
      <c r="BZ123" s="25">
        <f>IF(AD123=1,0,BV123-(1-(1-(1/(1+EXP(-(BT123-BH123)))*Parameters!$B$3))^12)*100)</f>
        <v/>
      </c>
      <c r="CA123" s="25">
        <f>IF(AD123=1,0,BV123-(1-(1-(1/(1+EXP(-(BT123-BI123)))*Parameters!$B$3))^12)*100)</f>
        <v/>
      </c>
      <c r="CB123" s="25">
        <f>IF(AD123=1,0,BV123-(1-(1-(1/(1+EXP(-(BT123-BJ123)))*Parameters!$B$3))^12)*100)</f>
        <v/>
      </c>
      <c r="CC123" s="25">
        <f>IF(AD123=1,0,BV123-(1-(1-(1/(1+EXP(-(BT123-BK123)))*Parameters!$B$3))^12)*100)</f>
        <v/>
      </c>
      <c r="CD123" s="25">
        <f>IF(AD123=1,0,BV123-(1-(1-(1/(1+EXP(-(BT123-BL123)))*Parameters!$B$3))^12)*100)</f>
        <v/>
      </c>
      <c r="CE123" s="25">
        <f>IF(AD123=1,0,BV123-(1-(1-(1/(1+EXP(-(BT123-BM123)))*Parameters!$B$3))^12)*100)</f>
        <v/>
      </c>
      <c r="CF123" s="25">
        <f>IF(AD123=1,0,BV123-(1-(1-(1/(1+EXP(-(BT123-BN123)))*Parameters!$B$3))^12)*100)</f>
        <v/>
      </c>
      <c r="CG123" s="25">
        <f>IF(AD123=1,0,BV123-(1-(1-(1/(1+EXP(-(BT123-BO123)))*Parameters!$B$3))^12)*100)</f>
        <v/>
      </c>
      <c r="CH123" s="25">
        <f>IF(AD123=1,0,BV123-(1-(1-(1/(1+EXP(-(BT123-BP123)))*Parameters!$B$3))^12)*100)</f>
        <v/>
      </c>
      <c r="CI123" s="25">
        <f>IF(AD123=1,0,BV123-(1-(1-(1/(1+EXP(-(BT123-BQ123)))*Parameters!$B$3))^12)*100)</f>
        <v/>
      </c>
      <c r="CJ123" s="25">
        <f>IF(AD123=1,0,BV123-(1-(1-(1/(1+EXP(-(BT123-BR123)))*Parameters!$B$3))^12)*100)</f>
        <v/>
      </c>
    </row>
    <row r="124">
      <c r="A124" s="17" t="inlineStr">
        <is>
          <t>GNR_HC_2020</t>
        </is>
      </c>
      <c r="B124" s="17" t="inlineStr">
        <is>
          <t>3617ACLV0</t>
        </is>
      </c>
      <c r="C124" s="17" t="inlineStr">
        <is>
          <t>PN</t>
        </is>
      </c>
      <c r="D124" s="17" t="inlineStr">
        <is>
          <t>ARBOR AGENCY LENDING, LLC</t>
        </is>
      </c>
      <c r="E124" s="17" t="inlineStr">
        <is>
          <t>3617ACLV0_000000004222274</t>
        </is>
      </c>
      <c r="F124" s="17" t="n">
        <v>202603</v>
      </c>
      <c r="G124" s="18" t="n">
        <v>4.45</v>
      </c>
      <c r="H124" s="19" t="n">
        <v>8632492.960000001</v>
      </c>
      <c r="I124" s="17" t="n">
        <v>420</v>
      </c>
      <c r="J124" s="17" t="n">
        <v>20180901</v>
      </c>
      <c r="K124" s="17" t="n">
        <v>20531001</v>
      </c>
      <c r="L124" s="17" t="n"/>
      <c r="M124" s="17" t="n">
        <v>20281101</v>
      </c>
      <c r="N124" s="17" t="n">
        <v>10</v>
      </c>
      <c r="O124" s="17" t="inlineStr">
        <is>
          <t>232/223(F)</t>
        </is>
      </c>
      <c r="P124" s="17" t="inlineStr">
        <is>
          <t>MKT</t>
        </is>
      </c>
      <c r="Q124" s="17" t="n"/>
      <c r="R124" s="17" t="n"/>
      <c r="S124" s="17" t="n"/>
      <c r="T124" s="17" t="inlineStr">
        <is>
          <t>OH</t>
        </is>
      </c>
      <c r="U124" s="17" t="n">
        <v>166</v>
      </c>
      <c r="V124" s="17" t="n">
        <v>490.5</v>
      </c>
      <c r="W124" s="17" t="n">
        <v>90</v>
      </c>
      <c r="X124" s="17" t="n">
        <v>2018</v>
      </c>
      <c r="Y124" s="17" t="n">
        <v>43</v>
      </c>
      <c r="Z124" s="17" t="n">
        <v>3</v>
      </c>
      <c r="AA124" s="20">
        <f>IF(ISNUMBER(W124),W124,IFERROR(MAX(0,(VALUE(LEFT(F124,4))-VALUE(LEFT(TEXT(J124,"00000000"),4)))*12+(VALUE(MID(F124,5,2))-VALUE(MID(TEXT(J124,"00000000"),5,2)))),""))</f>
        <v/>
      </c>
      <c r="AB124" s="20">
        <f>IFERROR((VALUE(LEFT(TEXT(K124,"00000000"),4))-VALUE(LEFT(F124,4)))*12+(VALUE(MID(TEXT(K124,"00000000"),5,2))-VALUE(MID(F124,5,2))),"")</f>
        <v/>
      </c>
      <c r="AC124" s="20">
        <f>IF(OR(L124="",NOT(ISNUMBER(L124))),0,MAX(0,MIN(60,(VALUE(LEFT(F124,4))-VALUE(LEFT(TEXT(L124,"00000000"),4)))*12+(VALUE(MID(F124,5,2))-VALUE(MID(TEXT(L124,"00000000"),5,2))))))</f>
        <v/>
      </c>
      <c r="AD124" s="20">
        <f>IF(OR(L124="",NOT(ISNUMBER(L124))),0,IF(VALUE(F124)&lt;VALUE(LEFT(TEXT(L124,"00000000"),6)),1,0))</f>
        <v/>
      </c>
      <c r="AE124" s="20">
        <f>IF(OR(M124="",NOT(ISNUMBER(M124))),0,IF(VALUE(F124)&lt;VALUE(LEFT(TEXT(M124,"00000000"),6)),1,0))</f>
        <v/>
      </c>
      <c r="AF124" s="20">
        <f>IF(AND(AD124=0,AE124=0),1,0)</f>
        <v/>
      </c>
      <c r="AG124" s="20">
        <f>IF(ISNUMBER(X124),X124,IFERROR(VALUE(LEFT(TEXT(J124,"00000000"),4)),""))</f>
        <v/>
      </c>
      <c r="AH124" s="20">
        <f>IFERROR(XLOOKUP(AG124,Vintage_Rates!$A$2:$A$1000,Vintage_Rates!$B$2:$B$1000,""),"")</f>
        <v/>
      </c>
      <c r="AI124" s="20">
        <f>IF(ISNUMBER(Y124),Y124,IFERROR((G124-AH124)*100,""))</f>
        <v/>
      </c>
      <c r="AJ124" s="20">
        <f>IF(ISNUMBER(V124),V124,IFERROR(XLOOKUP(VALUE(F124),PLC_Rates!$A$2:$A$1000,PLC_Rates!$B$2:$B$1000,""),""))</f>
        <v/>
      </c>
      <c r="AK124" s="20">
        <f>IF(ISNUMBER(Z124),Z124,IF(AE124=0,0,MAX(0,MIN(10,((VALUE(LEFT(TEXT(M124,"00000000"),4))-VALUE(LEFT(F124,4)))*12+(VALUE(MID(TEXT(M124,"00000000"),5,2))-VALUE(MID(F124,5,2))))/12))))</f>
        <v/>
      </c>
      <c r="AL124" s="20">
        <f>IFERROR(G124*100-AJ124,"")</f>
        <v/>
      </c>
      <c r="AM124" s="20">
        <f>IFERROR(G124*100-(AJ124+(1+AK124)*12.5),"")</f>
        <v/>
      </c>
      <c r="AN124" s="21">
        <f>IFERROR(MIN(H124/1000000,100),"")</f>
        <v/>
      </c>
      <c r="AO124" s="20">
        <f>IFERROR(INDEX(FHA_Lookup!$B$2:$B$11,MATCH(TRUE,ISNUMBER(SEARCH(FHA_Lookup!$A$2:$A$11,UPPER(SUBSTITUTE(O124," ","")))),0)),"OTHER")</f>
        <v/>
      </c>
      <c r="AP124" s="20">
        <f>IFERROR(INDEX(FHA_Lookup!$C$2:$C$11,MATCH(TRUE,ISNUMBER(SEARCH(FHA_Lookup!$A$2:$A$11,UPPER(SUBSTITUTE(O124," ","")))),0)),"OTHER")</f>
        <v/>
      </c>
      <c r="AQ124" s="20">
        <f>IF(AP124="NC",1,0)</f>
        <v/>
      </c>
      <c r="AR124" s="20">
        <f>IF(UPPER(TRIM(P124))="AFF",1,0)</f>
        <v/>
      </c>
      <c r="AS124" s="20">
        <f>IF(UPPER(TRIM(P124))="BAF",1,0)</f>
        <v/>
      </c>
      <c r="AT124" s="20">
        <f>IF(UPPER(TRIM(P124))="MKT",1,0)</f>
        <v/>
      </c>
      <c r="AU124" s="20">
        <f>IF(AO124="221d4",1,0)</f>
        <v/>
      </c>
      <c r="AV124" s="20">
        <f>IF(AO124="223a7",1,0)</f>
        <v/>
      </c>
      <c r="AW124" s="20">
        <f>IF(AO124="232",1,0)</f>
        <v/>
      </c>
      <c r="AX124" s="20">
        <f>IF(AO124="538",1,0)</f>
        <v/>
      </c>
      <c r="AY124" s="20">
        <f>IF(AO124="241",1,0)</f>
        <v/>
      </c>
      <c r="AZ124" s="20">
        <f>IF(AO124="220",1,0)</f>
        <v/>
      </c>
      <c r="BA124" s="20">
        <f>IF(AO124="OTHER",1,0)</f>
        <v/>
      </c>
      <c r="BB124" s="20">
        <f>IF(UPPER(TRIM(C124))="LM",1,0)</f>
        <v/>
      </c>
      <c r="BC124" s="20">
        <f>IF(UPPER(TRIM(C124))="PN",1,0)</f>
        <v/>
      </c>
      <c r="BD124" s="20">
        <f>IF(UPPER(TRIM(C124))="LS",1,0)</f>
        <v/>
      </c>
      <c r="BE124" s="20">
        <f>IF(UPPER(TRIM(C124))="RX",1,0)</f>
        <v/>
      </c>
      <c r="BF124" s="22">
        <f>IFERROR((Parameters!$C$6*AM124+Parameters!$C$7*MAX(AM124-(-150),0)+Parameters!$C$8*MAX(AM124-(-50),0)+Parameters!$C$9*MAX(AM124-(0),0)+Parameters!$C$10*MAX(AM124-(50),0)+Parameters!$C$11*MAX(AM124-(100),0)+Parameters!$C$12*MAX(AM124-(150),0)+Parameters!$C$13*MAX(AM124-(250),0)),0)</f>
        <v/>
      </c>
      <c r="BG124" s="22">
        <f>IFERROR((Parameters!$C$14*AA124+Parameters!$C$15*MAX(AA124-(12),0)+Parameters!$C$16*MAX(AA124-(36),0)+Parameters!$C$17*MAX(AA124-(60),0)+Parameters!$C$18*MAX(AA124-(84),0)+Parameters!$C$19*MAX(AA124-(120),0)+Parameters!$C$20*MAX(AA124-(180),0)),0)</f>
        <v/>
      </c>
      <c r="BH124" s="22">
        <f>IFERROR((Parameters!$C$21*AK124+Parameters!$C$22*MAX(AK124-(0),0)+Parameters!$C$23*MAX(AK124-(2),0)+Parameters!$C$24*MAX(AK124-(5),0)+Parameters!$C$25*MAX(AK124-(8),0)),0)</f>
        <v/>
      </c>
      <c r="BI124" s="22">
        <f>IFERROR((Parameters!$C$26*AI124+Parameters!$C$27*MAX(AI124-(-100),0)+Parameters!$C$28*MAX(AI124-(-25),0)+Parameters!$C$29*MAX(AI124-(25),0)+Parameters!$C$30*MAX(AI124-(100),0)),0)</f>
        <v/>
      </c>
      <c r="BJ124" s="22">
        <f>IFERROR((Parameters!$C$31*AN124+Parameters!$C$32*MAX(AN124-(2),0)+Parameters!$C$33*MAX(AN124-(10),0)+Parameters!$C$34*MAX(AN124-(25),0)),0)</f>
        <v/>
      </c>
      <c r="BK124" s="22">
        <f>IFERROR((Parameters!$C$35*AB124+Parameters!$C$36*MAX(AB124-(12),0)+Parameters!$C$37*MAX(AB124-(24),0)+Parameters!$C$38*MAX(AB124-(60),0)),0)</f>
        <v/>
      </c>
      <c r="BL124" s="22">
        <f>IFERROR((Parameters!$C$39*AC124+Parameters!$C$40*MAX(AC124-(6),0)+Parameters!$C$41*MAX(AC124-(12),0)+Parameters!$C$42*MAX(AC124-(24),0)),0)</f>
        <v/>
      </c>
      <c r="BM124" s="22">
        <f>IFERROR(Parameters!$C$43*(MAX(AM124,0)*MIN(MAX(AK124,0),10))/100,0)</f>
        <v/>
      </c>
      <c r="BN124" s="22">
        <f>Parameters!$C$44*AE124</f>
        <v/>
      </c>
      <c r="BO124" s="22">
        <f>Parameters!$C$45*AU124 + Parameters!$C$46*AV124 + Parameters!$C$47*AW124 + Parameters!$C$48*AX124 + Parameters!$C$49*AY124 + Parameters!$C$50*AZ124 + Parameters!$C$51*BA124</f>
        <v/>
      </c>
      <c r="BP124" s="22">
        <f>Parameters!$C$52*AQ124</f>
        <v/>
      </c>
      <c r="BQ124" s="22">
        <f>Parameters!$C$53*AR124+Parameters!$C$54*AS124+Parameters!$C$55*AT124</f>
        <v/>
      </c>
      <c r="BR124" s="22">
        <f>Parameters!$C$56*BB124+Parameters!$C$57*BC124+Parameters!$C$58*BD124+Parameters!$C$59*BE124</f>
        <v/>
      </c>
      <c r="BS124" s="23">
        <f>Parameters!$B$2</f>
        <v/>
      </c>
      <c r="BT124" s="23">
        <f>BS124+BF124 + BG124 + BH124 + BI124 + BJ124 + BK124 + BL124 + BM124 + BN124 + BO124 + BP124 + BQ124 + BR124</f>
        <v/>
      </c>
      <c r="BU124" s="24">
        <f>IF(AD124=1,0,1/(1+EXP(-BT124))*Parameters!$B$3)</f>
        <v/>
      </c>
      <c r="BV124" s="25">
        <f>(1-(1-BU124)^12)*100</f>
        <v/>
      </c>
      <c r="BW124" s="25">
        <f>IF(AD124=1,0,(1-(1-1/(1+EXP(-Parameters!$B$2)))^12)*100)</f>
        <v/>
      </c>
      <c r="BX124" s="25">
        <f>IF(AD124=1,0,BV124-(1-(1-(1/(1+EXP(-(BT124-BF124)))*Parameters!$B$3))^12)*100)</f>
        <v/>
      </c>
      <c r="BY124" s="25">
        <f>IF(AD124=1,0,BV124-(1-(1-(1/(1+EXP(-(BT124-BG124)))*Parameters!$B$3))^12)*100)</f>
        <v/>
      </c>
      <c r="BZ124" s="25">
        <f>IF(AD124=1,0,BV124-(1-(1-(1/(1+EXP(-(BT124-BH124)))*Parameters!$B$3))^12)*100)</f>
        <v/>
      </c>
      <c r="CA124" s="25">
        <f>IF(AD124=1,0,BV124-(1-(1-(1/(1+EXP(-(BT124-BI124)))*Parameters!$B$3))^12)*100)</f>
        <v/>
      </c>
      <c r="CB124" s="25">
        <f>IF(AD124=1,0,BV124-(1-(1-(1/(1+EXP(-(BT124-BJ124)))*Parameters!$B$3))^12)*100)</f>
        <v/>
      </c>
      <c r="CC124" s="25">
        <f>IF(AD124=1,0,BV124-(1-(1-(1/(1+EXP(-(BT124-BK124)))*Parameters!$B$3))^12)*100)</f>
        <v/>
      </c>
      <c r="CD124" s="25">
        <f>IF(AD124=1,0,BV124-(1-(1-(1/(1+EXP(-(BT124-BL124)))*Parameters!$B$3))^12)*100)</f>
        <v/>
      </c>
      <c r="CE124" s="25">
        <f>IF(AD124=1,0,BV124-(1-(1-(1/(1+EXP(-(BT124-BM124)))*Parameters!$B$3))^12)*100)</f>
        <v/>
      </c>
      <c r="CF124" s="25">
        <f>IF(AD124=1,0,BV124-(1-(1-(1/(1+EXP(-(BT124-BN124)))*Parameters!$B$3))^12)*100)</f>
        <v/>
      </c>
      <c r="CG124" s="25">
        <f>IF(AD124=1,0,BV124-(1-(1-(1/(1+EXP(-(BT124-BO124)))*Parameters!$B$3))^12)*100)</f>
        <v/>
      </c>
      <c r="CH124" s="25">
        <f>IF(AD124=1,0,BV124-(1-(1-(1/(1+EXP(-(BT124-BP124)))*Parameters!$B$3))^12)*100)</f>
        <v/>
      </c>
      <c r="CI124" s="25">
        <f>IF(AD124=1,0,BV124-(1-(1-(1/(1+EXP(-(BT124-BQ124)))*Parameters!$B$3))^12)*100)</f>
        <v/>
      </c>
      <c r="CJ124" s="25">
        <f>IF(AD124=1,0,BV124-(1-(1-(1/(1+EXP(-(BT124-BR124)))*Parameters!$B$3))^12)*100)</f>
        <v/>
      </c>
    </row>
    <row r="125">
      <c r="A125" s="17" t="inlineStr">
        <is>
          <t>GNR_HC_2020</t>
        </is>
      </c>
      <c r="B125" s="17" t="inlineStr">
        <is>
          <t>3617NDKV5</t>
        </is>
      </c>
      <c r="C125" s="17" t="inlineStr">
        <is>
          <t>PN</t>
        </is>
      </c>
      <c r="D125" s="17" t="inlineStr">
        <is>
          <t>WALKER &amp; DUNLOP, LLC</t>
        </is>
      </c>
      <c r="E125" s="17" t="inlineStr">
        <is>
          <t>3617NDKV5_000000001722159</t>
        </is>
      </c>
      <c r="F125" s="17" t="n">
        <v>202603</v>
      </c>
      <c r="G125" s="18" t="n">
        <v>2.98</v>
      </c>
      <c r="H125" s="19" t="n">
        <v>23977656.11</v>
      </c>
      <c r="I125" s="17" t="n">
        <v>457</v>
      </c>
      <c r="J125" s="17" t="n">
        <v>20200630</v>
      </c>
      <c r="K125" s="17" t="n">
        <v>20580801</v>
      </c>
      <c r="L125" s="17" t="n"/>
      <c r="M125" s="17" t="n">
        <v>20300801</v>
      </c>
      <c r="N125" s="17" t="n">
        <v>10</v>
      </c>
      <c r="O125" s="17" t="inlineStr">
        <is>
          <t>232/223(A)(7)</t>
        </is>
      </c>
      <c r="P125" s="17" t="inlineStr">
        <is>
          <t>MKT</t>
        </is>
      </c>
      <c r="Q125" s="17" t="n"/>
      <c r="R125" s="17" t="n"/>
      <c r="S125" s="17" t="n"/>
      <c r="T125" s="17" t="inlineStr">
        <is>
          <t>CT</t>
        </is>
      </c>
      <c r="U125" s="17" t="n">
        <v>343</v>
      </c>
      <c r="V125" s="17" t="n">
        <v>490.5</v>
      </c>
      <c r="W125" s="17" t="n">
        <v>69</v>
      </c>
      <c r="X125" s="17" t="n">
        <v>2020</v>
      </c>
      <c r="Y125" s="17" t="n">
        <v>13</v>
      </c>
      <c r="Z125" s="17" t="n">
        <v>5</v>
      </c>
      <c r="AA125" s="20">
        <f>IF(ISNUMBER(W125),W125,IFERROR(MAX(0,(VALUE(LEFT(F125,4))-VALUE(LEFT(TEXT(J125,"00000000"),4)))*12+(VALUE(MID(F125,5,2))-VALUE(MID(TEXT(J125,"00000000"),5,2)))),""))</f>
        <v/>
      </c>
      <c r="AB125" s="20">
        <f>IFERROR((VALUE(LEFT(TEXT(K125,"00000000"),4))-VALUE(LEFT(F125,4)))*12+(VALUE(MID(TEXT(K125,"00000000"),5,2))-VALUE(MID(F125,5,2))),"")</f>
        <v/>
      </c>
      <c r="AC125" s="20">
        <f>IF(OR(L125="",NOT(ISNUMBER(L125))),0,MAX(0,MIN(60,(VALUE(LEFT(F125,4))-VALUE(LEFT(TEXT(L125,"00000000"),4)))*12+(VALUE(MID(F125,5,2))-VALUE(MID(TEXT(L125,"00000000"),5,2))))))</f>
        <v/>
      </c>
      <c r="AD125" s="20">
        <f>IF(OR(L125="",NOT(ISNUMBER(L125))),0,IF(VALUE(F125)&lt;VALUE(LEFT(TEXT(L125,"00000000"),6)),1,0))</f>
        <v/>
      </c>
      <c r="AE125" s="20">
        <f>IF(OR(M125="",NOT(ISNUMBER(M125))),0,IF(VALUE(F125)&lt;VALUE(LEFT(TEXT(M125,"00000000"),6)),1,0))</f>
        <v/>
      </c>
      <c r="AF125" s="20">
        <f>IF(AND(AD125=0,AE125=0),1,0)</f>
        <v/>
      </c>
      <c r="AG125" s="20">
        <f>IF(ISNUMBER(X125),X125,IFERROR(VALUE(LEFT(TEXT(J125,"00000000"),4)),""))</f>
        <v/>
      </c>
      <c r="AH125" s="20">
        <f>IFERROR(XLOOKUP(AG125,Vintage_Rates!$A$2:$A$1000,Vintage_Rates!$B$2:$B$1000,""),"")</f>
        <v/>
      </c>
      <c r="AI125" s="20">
        <f>IF(ISNUMBER(Y125),Y125,IFERROR((G125-AH125)*100,""))</f>
        <v/>
      </c>
      <c r="AJ125" s="20">
        <f>IF(ISNUMBER(V125),V125,IFERROR(XLOOKUP(VALUE(F125),PLC_Rates!$A$2:$A$1000,PLC_Rates!$B$2:$B$1000,""),""))</f>
        <v/>
      </c>
      <c r="AK125" s="20">
        <f>IF(ISNUMBER(Z125),Z125,IF(AE125=0,0,MAX(0,MIN(10,((VALUE(LEFT(TEXT(M125,"00000000"),4))-VALUE(LEFT(F125,4)))*12+(VALUE(MID(TEXT(M125,"00000000"),5,2))-VALUE(MID(F125,5,2))))/12))))</f>
        <v/>
      </c>
      <c r="AL125" s="20">
        <f>IFERROR(G125*100-AJ125,"")</f>
        <v/>
      </c>
      <c r="AM125" s="20">
        <f>IFERROR(G125*100-(AJ125+(1+AK125)*12.5),"")</f>
        <v/>
      </c>
      <c r="AN125" s="21">
        <f>IFERROR(MIN(H125/1000000,100),"")</f>
        <v/>
      </c>
      <c r="AO125" s="20">
        <f>IFERROR(INDEX(FHA_Lookup!$B$2:$B$11,MATCH(TRUE,ISNUMBER(SEARCH(FHA_Lookup!$A$2:$A$11,UPPER(SUBSTITUTE(O125," ","")))),0)),"OTHER")</f>
        <v/>
      </c>
      <c r="AP125" s="20">
        <f>IFERROR(INDEX(FHA_Lookup!$C$2:$C$11,MATCH(TRUE,ISNUMBER(SEARCH(FHA_Lookup!$A$2:$A$11,UPPER(SUBSTITUTE(O125," ","")))),0)),"OTHER")</f>
        <v/>
      </c>
      <c r="AQ125" s="20">
        <f>IF(AP125="NC",1,0)</f>
        <v/>
      </c>
      <c r="AR125" s="20">
        <f>IF(UPPER(TRIM(P125))="AFF",1,0)</f>
        <v/>
      </c>
      <c r="AS125" s="20">
        <f>IF(UPPER(TRIM(P125))="BAF",1,0)</f>
        <v/>
      </c>
      <c r="AT125" s="20">
        <f>IF(UPPER(TRIM(P125))="MKT",1,0)</f>
        <v/>
      </c>
      <c r="AU125" s="20">
        <f>IF(AO125="221d4",1,0)</f>
        <v/>
      </c>
      <c r="AV125" s="20">
        <f>IF(AO125="223a7",1,0)</f>
        <v/>
      </c>
      <c r="AW125" s="20">
        <f>IF(AO125="232",1,0)</f>
        <v/>
      </c>
      <c r="AX125" s="20">
        <f>IF(AO125="538",1,0)</f>
        <v/>
      </c>
      <c r="AY125" s="20">
        <f>IF(AO125="241",1,0)</f>
        <v/>
      </c>
      <c r="AZ125" s="20">
        <f>IF(AO125="220",1,0)</f>
        <v/>
      </c>
      <c r="BA125" s="20">
        <f>IF(AO125="OTHER",1,0)</f>
        <v/>
      </c>
      <c r="BB125" s="20">
        <f>IF(UPPER(TRIM(C125))="LM",1,0)</f>
        <v/>
      </c>
      <c r="BC125" s="20">
        <f>IF(UPPER(TRIM(C125))="PN",1,0)</f>
        <v/>
      </c>
      <c r="BD125" s="20">
        <f>IF(UPPER(TRIM(C125))="LS",1,0)</f>
        <v/>
      </c>
      <c r="BE125" s="20">
        <f>IF(UPPER(TRIM(C125))="RX",1,0)</f>
        <v/>
      </c>
      <c r="BF125" s="22">
        <f>IFERROR((Parameters!$C$6*AM125+Parameters!$C$7*MAX(AM125-(-150),0)+Parameters!$C$8*MAX(AM125-(-50),0)+Parameters!$C$9*MAX(AM125-(0),0)+Parameters!$C$10*MAX(AM125-(50),0)+Parameters!$C$11*MAX(AM125-(100),0)+Parameters!$C$12*MAX(AM125-(150),0)+Parameters!$C$13*MAX(AM125-(250),0)),0)</f>
        <v/>
      </c>
      <c r="BG125" s="22">
        <f>IFERROR((Parameters!$C$14*AA125+Parameters!$C$15*MAX(AA125-(12),0)+Parameters!$C$16*MAX(AA125-(36),0)+Parameters!$C$17*MAX(AA125-(60),0)+Parameters!$C$18*MAX(AA125-(84),0)+Parameters!$C$19*MAX(AA125-(120),0)+Parameters!$C$20*MAX(AA125-(180),0)),0)</f>
        <v/>
      </c>
      <c r="BH125" s="22">
        <f>IFERROR((Parameters!$C$21*AK125+Parameters!$C$22*MAX(AK125-(0),0)+Parameters!$C$23*MAX(AK125-(2),0)+Parameters!$C$24*MAX(AK125-(5),0)+Parameters!$C$25*MAX(AK125-(8),0)),0)</f>
        <v/>
      </c>
      <c r="BI125" s="22">
        <f>IFERROR((Parameters!$C$26*AI125+Parameters!$C$27*MAX(AI125-(-100),0)+Parameters!$C$28*MAX(AI125-(-25),0)+Parameters!$C$29*MAX(AI125-(25),0)+Parameters!$C$30*MAX(AI125-(100),0)),0)</f>
        <v/>
      </c>
      <c r="BJ125" s="22">
        <f>IFERROR((Parameters!$C$31*AN125+Parameters!$C$32*MAX(AN125-(2),0)+Parameters!$C$33*MAX(AN125-(10),0)+Parameters!$C$34*MAX(AN125-(25),0)),0)</f>
        <v/>
      </c>
      <c r="BK125" s="22">
        <f>IFERROR((Parameters!$C$35*AB125+Parameters!$C$36*MAX(AB125-(12),0)+Parameters!$C$37*MAX(AB125-(24),0)+Parameters!$C$38*MAX(AB125-(60),0)),0)</f>
        <v/>
      </c>
      <c r="BL125" s="22">
        <f>IFERROR((Parameters!$C$39*AC125+Parameters!$C$40*MAX(AC125-(6),0)+Parameters!$C$41*MAX(AC125-(12),0)+Parameters!$C$42*MAX(AC125-(24),0)),0)</f>
        <v/>
      </c>
      <c r="BM125" s="22">
        <f>IFERROR(Parameters!$C$43*(MAX(AM125,0)*MIN(MAX(AK125,0),10))/100,0)</f>
        <v/>
      </c>
      <c r="BN125" s="22">
        <f>Parameters!$C$44*AE125</f>
        <v/>
      </c>
      <c r="BO125" s="22">
        <f>Parameters!$C$45*AU125 + Parameters!$C$46*AV125 + Parameters!$C$47*AW125 + Parameters!$C$48*AX125 + Parameters!$C$49*AY125 + Parameters!$C$50*AZ125 + Parameters!$C$51*BA125</f>
        <v/>
      </c>
      <c r="BP125" s="22">
        <f>Parameters!$C$52*AQ125</f>
        <v/>
      </c>
      <c r="BQ125" s="22">
        <f>Parameters!$C$53*AR125+Parameters!$C$54*AS125+Parameters!$C$55*AT125</f>
        <v/>
      </c>
      <c r="BR125" s="22">
        <f>Parameters!$C$56*BB125+Parameters!$C$57*BC125+Parameters!$C$58*BD125+Parameters!$C$59*BE125</f>
        <v/>
      </c>
      <c r="BS125" s="23">
        <f>Parameters!$B$2</f>
        <v/>
      </c>
      <c r="BT125" s="23">
        <f>BS125+BF125 + BG125 + BH125 + BI125 + BJ125 + BK125 + BL125 + BM125 + BN125 + BO125 + BP125 + BQ125 + BR125</f>
        <v/>
      </c>
      <c r="BU125" s="24">
        <f>IF(AD125=1,0,1/(1+EXP(-BT125))*Parameters!$B$3)</f>
        <v/>
      </c>
      <c r="BV125" s="25">
        <f>(1-(1-BU125)^12)*100</f>
        <v/>
      </c>
      <c r="BW125" s="25">
        <f>IF(AD125=1,0,(1-(1-1/(1+EXP(-Parameters!$B$2)))^12)*100)</f>
        <v/>
      </c>
      <c r="BX125" s="25">
        <f>IF(AD125=1,0,BV125-(1-(1-(1/(1+EXP(-(BT125-BF125)))*Parameters!$B$3))^12)*100)</f>
        <v/>
      </c>
      <c r="BY125" s="25">
        <f>IF(AD125=1,0,BV125-(1-(1-(1/(1+EXP(-(BT125-BG125)))*Parameters!$B$3))^12)*100)</f>
        <v/>
      </c>
      <c r="BZ125" s="25">
        <f>IF(AD125=1,0,BV125-(1-(1-(1/(1+EXP(-(BT125-BH125)))*Parameters!$B$3))^12)*100)</f>
        <v/>
      </c>
      <c r="CA125" s="25">
        <f>IF(AD125=1,0,BV125-(1-(1-(1/(1+EXP(-(BT125-BI125)))*Parameters!$B$3))^12)*100)</f>
        <v/>
      </c>
      <c r="CB125" s="25">
        <f>IF(AD125=1,0,BV125-(1-(1-(1/(1+EXP(-(BT125-BJ125)))*Parameters!$B$3))^12)*100)</f>
        <v/>
      </c>
      <c r="CC125" s="25">
        <f>IF(AD125=1,0,BV125-(1-(1-(1/(1+EXP(-(BT125-BK125)))*Parameters!$B$3))^12)*100)</f>
        <v/>
      </c>
      <c r="CD125" s="25">
        <f>IF(AD125=1,0,BV125-(1-(1-(1/(1+EXP(-(BT125-BL125)))*Parameters!$B$3))^12)*100)</f>
        <v/>
      </c>
      <c r="CE125" s="25">
        <f>IF(AD125=1,0,BV125-(1-(1-(1/(1+EXP(-(BT125-BM125)))*Parameters!$B$3))^12)*100)</f>
        <v/>
      </c>
      <c r="CF125" s="25">
        <f>IF(AD125=1,0,BV125-(1-(1-(1/(1+EXP(-(BT125-BN125)))*Parameters!$B$3))^12)*100)</f>
        <v/>
      </c>
      <c r="CG125" s="25">
        <f>IF(AD125=1,0,BV125-(1-(1-(1/(1+EXP(-(BT125-BO125)))*Parameters!$B$3))^12)*100)</f>
        <v/>
      </c>
      <c r="CH125" s="25">
        <f>IF(AD125=1,0,BV125-(1-(1-(1/(1+EXP(-(BT125-BP125)))*Parameters!$B$3))^12)*100)</f>
        <v/>
      </c>
      <c r="CI125" s="25">
        <f>IF(AD125=1,0,BV125-(1-(1-(1/(1+EXP(-(BT125-BQ125)))*Parameters!$B$3))^12)*100)</f>
        <v/>
      </c>
      <c r="CJ125" s="25">
        <f>IF(AD125=1,0,BV125-(1-(1-(1/(1+EXP(-(BT125-BR125)))*Parameters!$B$3))^12)*100)</f>
        <v/>
      </c>
    </row>
    <row r="126">
      <c r="A126" s="17" t="inlineStr">
        <is>
          <t>GNR_HC_2020</t>
        </is>
      </c>
      <c r="B126" s="17" t="inlineStr">
        <is>
          <t>3617HAGT8</t>
        </is>
      </c>
      <c r="C126" s="17" t="inlineStr">
        <is>
          <t>PN</t>
        </is>
      </c>
      <c r="D126" s="17" t="inlineStr">
        <is>
          <t>M&amp;T REALTY CAPITAL CORPORATION</t>
        </is>
      </c>
      <c r="E126" s="17" t="inlineStr">
        <is>
          <t>3617HAGT8_000000001422158</t>
        </is>
      </c>
      <c r="F126" s="17" t="n">
        <v>202603</v>
      </c>
      <c r="G126" s="18" t="n">
        <v>3.25</v>
      </c>
      <c r="H126" s="19" t="n">
        <v>13238485.98</v>
      </c>
      <c r="I126" s="17" t="n">
        <v>420</v>
      </c>
      <c r="J126" s="17" t="n">
        <v>20190801</v>
      </c>
      <c r="K126" s="17" t="n">
        <v>20540901</v>
      </c>
      <c r="L126" s="17" t="n"/>
      <c r="M126" s="17" t="n">
        <v>20290930</v>
      </c>
      <c r="N126" s="17" t="n">
        <v>10</v>
      </c>
      <c r="O126" s="17" t="inlineStr">
        <is>
          <t>232/223(F)</t>
        </is>
      </c>
      <c r="P126" s="17" t="inlineStr">
        <is>
          <t>MKT</t>
        </is>
      </c>
      <c r="Q126" s="17" t="n"/>
      <c r="R126" s="17" t="n"/>
      <c r="S126" s="17" t="n"/>
      <c r="T126" s="17" t="inlineStr">
        <is>
          <t>NY</t>
        </is>
      </c>
      <c r="U126" s="17" t="n">
        <v>272</v>
      </c>
      <c r="V126" s="17" t="n">
        <v>490.5</v>
      </c>
      <c r="W126" s="17" t="n">
        <v>79</v>
      </c>
      <c r="X126" s="17" t="n">
        <v>2019</v>
      </c>
      <c r="Y126" s="17" t="n">
        <v>-42</v>
      </c>
      <c r="Z126" s="17" t="n">
        <v>1</v>
      </c>
      <c r="AA126" s="20">
        <f>IF(ISNUMBER(W126),W126,IFERROR(MAX(0,(VALUE(LEFT(F126,4))-VALUE(LEFT(TEXT(J126,"00000000"),4)))*12+(VALUE(MID(F126,5,2))-VALUE(MID(TEXT(J126,"00000000"),5,2)))),""))</f>
        <v/>
      </c>
      <c r="AB126" s="20">
        <f>IFERROR((VALUE(LEFT(TEXT(K126,"00000000"),4))-VALUE(LEFT(F126,4)))*12+(VALUE(MID(TEXT(K126,"00000000"),5,2))-VALUE(MID(F126,5,2))),"")</f>
        <v/>
      </c>
      <c r="AC126" s="20">
        <f>IF(OR(L126="",NOT(ISNUMBER(L126))),0,MAX(0,MIN(60,(VALUE(LEFT(F126,4))-VALUE(LEFT(TEXT(L126,"00000000"),4)))*12+(VALUE(MID(F126,5,2))-VALUE(MID(TEXT(L126,"00000000"),5,2))))))</f>
        <v/>
      </c>
      <c r="AD126" s="20">
        <f>IF(OR(L126="",NOT(ISNUMBER(L126))),0,IF(VALUE(F126)&lt;VALUE(LEFT(TEXT(L126,"00000000"),6)),1,0))</f>
        <v/>
      </c>
      <c r="AE126" s="20">
        <f>IF(OR(M126="",NOT(ISNUMBER(M126))),0,IF(VALUE(F126)&lt;VALUE(LEFT(TEXT(M126,"00000000"),6)),1,0))</f>
        <v/>
      </c>
      <c r="AF126" s="20">
        <f>IF(AND(AD126=0,AE126=0),1,0)</f>
        <v/>
      </c>
      <c r="AG126" s="20">
        <f>IF(ISNUMBER(X126),X126,IFERROR(VALUE(LEFT(TEXT(J126,"00000000"),4)),""))</f>
        <v/>
      </c>
      <c r="AH126" s="20">
        <f>IFERROR(XLOOKUP(AG126,Vintage_Rates!$A$2:$A$1000,Vintage_Rates!$B$2:$B$1000,""),"")</f>
        <v/>
      </c>
      <c r="AI126" s="20">
        <f>IF(ISNUMBER(Y126),Y126,IFERROR((G126-AH126)*100,""))</f>
        <v/>
      </c>
      <c r="AJ126" s="20">
        <f>IF(ISNUMBER(V126),V126,IFERROR(XLOOKUP(VALUE(F126),PLC_Rates!$A$2:$A$1000,PLC_Rates!$B$2:$B$1000,""),""))</f>
        <v/>
      </c>
      <c r="AK126" s="20">
        <f>IF(ISNUMBER(Z126),Z126,IF(AE126=0,0,MAX(0,MIN(10,((VALUE(LEFT(TEXT(M126,"00000000"),4))-VALUE(LEFT(F126,4)))*12+(VALUE(MID(TEXT(M126,"00000000"),5,2))-VALUE(MID(F126,5,2))))/12))))</f>
        <v/>
      </c>
      <c r="AL126" s="20">
        <f>IFERROR(G126*100-AJ126,"")</f>
        <v/>
      </c>
      <c r="AM126" s="20">
        <f>IFERROR(G126*100-(AJ126+(1+AK126)*12.5),"")</f>
        <v/>
      </c>
      <c r="AN126" s="21">
        <f>IFERROR(MIN(H126/1000000,100),"")</f>
        <v/>
      </c>
      <c r="AO126" s="20">
        <f>IFERROR(INDEX(FHA_Lookup!$B$2:$B$11,MATCH(TRUE,ISNUMBER(SEARCH(FHA_Lookup!$A$2:$A$11,UPPER(SUBSTITUTE(O126," ","")))),0)),"OTHER")</f>
        <v/>
      </c>
      <c r="AP126" s="20">
        <f>IFERROR(INDEX(FHA_Lookup!$C$2:$C$11,MATCH(TRUE,ISNUMBER(SEARCH(FHA_Lookup!$A$2:$A$11,UPPER(SUBSTITUTE(O126," ","")))),0)),"OTHER")</f>
        <v/>
      </c>
      <c r="AQ126" s="20">
        <f>IF(AP126="NC",1,0)</f>
        <v/>
      </c>
      <c r="AR126" s="20">
        <f>IF(UPPER(TRIM(P126))="AFF",1,0)</f>
        <v/>
      </c>
      <c r="AS126" s="20">
        <f>IF(UPPER(TRIM(P126))="BAF",1,0)</f>
        <v/>
      </c>
      <c r="AT126" s="20">
        <f>IF(UPPER(TRIM(P126))="MKT",1,0)</f>
        <v/>
      </c>
      <c r="AU126" s="20">
        <f>IF(AO126="221d4",1,0)</f>
        <v/>
      </c>
      <c r="AV126" s="20">
        <f>IF(AO126="223a7",1,0)</f>
        <v/>
      </c>
      <c r="AW126" s="20">
        <f>IF(AO126="232",1,0)</f>
        <v/>
      </c>
      <c r="AX126" s="20">
        <f>IF(AO126="538",1,0)</f>
        <v/>
      </c>
      <c r="AY126" s="20">
        <f>IF(AO126="241",1,0)</f>
        <v/>
      </c>
      <c r="AZ126" s="20">
        <f>IF(AO126="220",1,0)</f>
        <v/>
      </c>
      <c r="BA126" s="20">
        <f>IF(AO126="OTHER",1,0)</f>
        <v/>
      </c>
      <c r="BB126" s="20">
        <f>IF(UPPER(TRIM(C126))="LM",1,0)</f>
        <v/>
      </c>
      <c r="BC126" s="20">
        <f>IF(UPPER(TRIM(C126))="PN",1,0)</f>
        <v/>
      </c>
      <c r="BD126" s="20">
        <f>IF(UPPER(TRIM(C126))="LS",1,0)</f>
        <v/>
      </c>
      <c r="BE126" s="20">
        <f>IF(UPPER(TRIM(C126))="RX",1,0)</f>
        <v/>
      </c>
      <c r="BF126" s="22">
        <f>IFERROR((Parameters!$C$6*AM126+Parameters!$C$7*MAX(AM126-(-150),0)+Parameters!$C$8*MAX(AM126-(-50),0)+Parameters!$C$9*MAX(AM126-(0),0)+Parameters!$C$10*MAX(AM126-(50),0)+Parameters!$C$11*MAX(AM126-(100),0)+Parameters!$C$12*MAX(AM126-(150),0)+Parameters!$C$13*MAX(AM126-(250),0)),0)</f>
        <v/>
      </c>
      <c r="BG126" s="22">
        <f>IFERROR((Parameters!$C$14*AA126+Parameters!$C$15*MAX(AA126-(12),0)+Parameters!$C$16*MAX(AA126-(36),0)+Parameters!$C$17*MAX(AA126-(60),0)+Parameters!$C$18*MAX(AA126-(84),0)+Parameters!$C$19*MAX(AA126-(120),0)+Parameters!$C$20*MAX(AA126-(180),0)),0)</f>
        <v/>
      </c>
      <c r="BH126" s="22">
        <f>IFERROR((Parameters!$C$21*AK126+Parameters!$C$22*MAX(AK126-(0),0)+Parameters!$C$23*MAX(AK126-(2),0)+Parameters!$C$24*MAX(AK126-(5),0)+Parameters!$C$25*MAX(AK126-(8),0)),0)</f>
        <v/>
      </c>
      <c r="BI126" s="22">
        <f>IFERROR((Parameters!$C$26*AI126+Parameters!$C$27*MAX(AI126-(-100),0)+Parameters!$C$28*MAX(AI126-(-25),0)+Parameters!$C$29*MAX(AI126-(25),0)+Parameters!$C$30*MAX(AI126-(100),0)),0)</f>
        <v/>
      </c>
      <c r="BJ126" s="22">
        <f>IFERROR((Parameters!$C$31*AN126+Parameters!$C$32*MAX(AN126-(2),0)+Parameters!$C$33*MAX(AN126-(10),0)+Parameters!$C$34*MAX(AN126-(25),0)),0)</f>
        <v/>
      </c>
      <c r="BK126" s="22">
        <f>IFERROR((Parameters!$C$35*AB126+Parameters!$C$36*MAX(AB126-(12),0)+Parameters!$C$37*MAX(AB126-(24),0)+Parameters!$C$38*MAX(AB126-(60),0)),0)</f>
        <v/>
      </c>
      <c r="BL126" s="22">
        <f>IFERROR((Parameters!$C$39*AC126+Parameters!$C$40*MAX(AC126-(6),0)+Parameters!$C$41*MAX(AC126-(12),0)+Parameters!$C$42*MAX(AC126-(24),0)),0)</f>
        <v/>
      </c>
      <c r="BM126" s="22">
        <f>IFERROR(Parameters!$C$43*(MAX(AM126,0)*MIN(MAX(AK126,0),10))/100,0)</f>
        <v/>
      </c>
      <c r="BN126" s="22">
        <f>Parameters!$C$44*AE126</f>
        <v/>
      </c>
      <c r="BO126" s="22">
        <f>Parameters!$C$45*AU126 + Parameters!$C$46*AV126 + Parameters!$C$47*AW126 + Parameters!$C$48*AX126 + Parameters!$C$49*AY126 + Parameters!$C$50*AZ126 + Parameters!$C$51*BA126</f>
        <v/>
      </c>
      <c r="BP126" s="22">
        <f>Parameters!$C$52*AQ126</f>
        <v/>
      </c>
      <c r="BQ126" s="22">
        <f>Parameters!$C$53*AR126+Parameters!$C$54*AS126+Parameters!$C$55*AT126</f>
        <v/>
      </c>
      <c r="BR126" s="22">
        <f>Parameters!$C$56*BB126+Parameters!$C$57*BC126+Parameters!$C$58*BD126+Parameters!$C$59*BE126</f>
        <v/>
      </c>
      <c r="BS126" s="23">
        <f>Parameters!$B$2</f>
        <v/>
      </c>
      <c r="BT126" s="23">
        <f>BS126+BF126 + BG126 + BH126 + BI126 + BJ126 + BK126 + BL126 + BM126 + BN126 + BO126 + BP126 + BQ126 + BR126</f>
        <v/>
      </c>
      <c r="BU126" s="24">
        <f>IF(AD126=1,0,1/(1+EXP(-BT126))*Parameters!$B$3)</f>
        <v/>
      </c>
      <c r="BV126" s="25">
        <f>(1-(1-BU126)^12)*100</f>
        <v/>
      </c>
      <c r="BW126" s="25">
        <f>IF(AD126=1,0,(1-(1-1/(1+EXP(-Parameters!$B$2)))^12)*100)</f>
        <v/>
      </c>
      <c r="BX126" s="25">
        <f>IF(AD126=1,0,BV126-(1-(1-(1/(1+EXP(-(BT126-BF126)))*Parameters!$B$3))^12)*100)</f>
        <v/>
      </c>
      <c r="BY126" s="25">
        <f>IF(AD126=1,0,BV126-(1-(1-(1/(1+EXP(-(BT126-BG126)))*Parameters!$B$3))^12)*100)</f>
        <v/>
      </c>
      <c r="BZ126" s="25">
        <f>IF(AD126=1,0,BV126-(1-(1-(1/(1+EXP(-(BT126-BH126)))*Parameters!$B$3))^12)*100)</f>
        <v/>
      </c>
      <c r="CA126" s="25">
        <f>IF(AD126=1,0,BV126-(1-(1-(1/(1+EXP(-(BT126-BI126)))*Parameters!$B$3))^12)*100)</f>
        <v/>
      </c>
      <c r="CB126" s="25">
        <f>IF(AD126=1,0,BV126-(1-(1-(1/(1+EXP(-(BT126-BJ126)))*Parameters!$B$3))^12)*100)</f>
        <v/>
      </c>
      <c r="CC126" s="25">
        <f>IF(AD126=1,0,BV126-(1-(1-(1/(1+EXP(-(BT126-BK126)))*Parameters!$B$3))^12)*100)</f>
        <v/>
      </c>
      <c r="CD126" s="25">
        <f>IF(AD126=1,0,BV126-(1-(1-(1/(1+EXP(-(BT126-BL126)))*Parameters!$B$3))^12)*100)</f>
        <v/>
      </c>
      <c r="CE126" s="25">
        <f>IF(AD126=1,0,BV126-(1-(1-(1/(1+EXP(-(BT126-BM126)))*Parameters!$B$3))^12)*100)</f>
        <v/>
      </c>
      <c r="CF126" s="25">
        <f>IF(AD126=1,0,BV126-(1-(1-(1/(1+EXP(-(BT126-BN126)))*Parameters!$B$3))^12)*100)</f>
        <v/>
      </c>
      <c r="CG126" s="25">
        <f>IF(AD126=1,0,BV126-(1-(1-(1/(1+EXP(-(BT126-BO126)))*Parameters!$B$3))^12)*100)</f>
        <v/>
      </c>
      <c r="CH126" s="25">
        <f>IF(AD126=1,0,BV126-(1-(1-(1/(1+EXP(-(BT126-BP126)))*Parameters!$B$3))^12)*100)</f>
        <v/>
      </c>
      <c r="CI126" s="25">
        <f>IF(AD126=1,0,BV126-(1-(1-(1/(1+EXP(-(BT126-BQ126)))*Parameters!$B$3))^12)*100)</f>
        <v/>
      </c>
      <c r="CJ126" s="25">
        <f>IF(AD126=1,0,BV126-(1-(1-(1/(1+EXP(-(BT126-BR126)))*Parameters!$B$3))^12)*100)</f>
        <v/>
      </c>
    </row>
    <row r="127">
      <c r="A127" s="17" t="inlineStr">
        <is>
          <t>GNR_HC_2020</t>
        </is>
      </c>
      <c r="B127" s="17" t="inlineStr">
        <is>
          <t>3617UEVH4</t>
        </is>
      </c>
      <c r="C127" s="17" t="inlineStr">
        <is>
          <t>PN</t>
        </is>
      </c>
      <c r="D127" s="17" t="inlineStr">
        <is>
          <t>DWIGHT CAPITAL LLC</t>
        </is>
      </c>
      <c r="E127" s="17" t="inlineStr">
        <is>
          <t>3617UEVH4_000000002322200</t>
        </is>
      </c>
      <c r="F127" s="17" t="n">
        <v>202603</v>
      </c>
      <c r="G127" s="18" t="n">
        <v>3.25</v>
      </c>
      <c r="H127" s="19" t="n">
        <v>6639091.25</v>
      </c>
      <c r="I127" s="17" t="n">
        <v>420</v>
      </c>
      <c r="J127" s="17" t="n">
        <v>20201201</v>
      </c>
      <c r="K127" s="17" t="n">
        <v>20560101</v>
      </c>
      <c r="L127" s="17" t="n"/>
      <c r="M127" s="17" t="n">
        <v>20250201</v>
      </c>
      <c r="N127" s="17" t="n">
        <v>4</v>
      </c>
      <c r="O127" s="17" t="inlineStr">
        <is>
          <t>232/223(F)</t>
        </is>
      </c>
      <c r="P127" s="17" t="inlineStr">
        <is>
          <t>MKT</t>
        </is>
      </c>
      <c r="Q127" s="17" t="n"/>
      <c r="R127" s="17" t="n"/>
      <c r="S127" s="17" t="n"/>
      <c r="T127" s="17" t="inlineStr">
        <is>
          <t>MA</t>
        </is>
      </c>
      <c r="U127" s="17" t="n">
        <v>124</v>
      </c>
      <c r="V127" s="17" t="n">
        <v>490.5</v>
      </c>
      <c r="W127" s="17" t="n">
        <v>63</v>
      </c>
      <c r="X127" s="17" t="n">
        <v>2020</v>
      </c>
      <c r="Y127" s="17" t="n">
        <v>40</v>
      </c>
      <c r="Z127" s="17" t="n">
        <v>0</v>
      </c>
      <c r="AA127" s="20">
        <f>IF(ISNUMBER(W127),W127,IFERROR(MAX(0,(VALUE(LEFT(F127,4))-VALUE(LEFT(TEXT(J127,"00000000"),4)))*12+(VALUE(MID(F127,5,2))-VALUE(MID(TEXT(J127,"00000000"),5,2)))),""))</f>
        <v/>
      </c>
      <c r="AB127" s="20">
        <f>IFERROR((VALUE(LEFT(TEXT(K127,"00000000"),4))-VALUE(LEFT(F127,4)))*12+(VALUE(MID(TEXT(K127,"00000000"),5,2))-VALUE(MID(F127,5,2))),"")</f>
        <v/>
      </c>
      <c r="AC127" s="20">
        <f>IF(OR(L127="",NOT(ISNUMBER(L127))),0,MAX(0,MIN(60,(VALUE(LEFT(F127,4))-VALUE(LEFT(TEXT(L127,"00000000"),4)))*12+(VALUE(MID(F127,5,2))-VALUE(MID(TEXT(L127,"00000000"),5,2))))))</f>
        <v/>
      </c>
      <c r="AD127" s="20">
        <f>IF(OR(L127="",NOT(ISNUMBER(L127))),0,IF(VALUE(F127)&lt;VALUE(LEFT(TEXT(L127,"00000000"),6)),1,0))</f>
        <v/>
      </c>
      <c r="AE127" s="20">
        <f>IF(OR(M127="",NOT(ISNUMBER(M127))),0,IF(VALUE(F127)&lt;VALUE(LEFT(TEXT(M127,"00000000"),6)),1,0))</f>
        <v/>
      </c>
      <c r="AF127" s="20">
        <f>IF(AND(AD127=0,AE127=0),1,0)</f>
        <v/>
      </c>
      <c r="AG127" s="20">
        <f>IF(ISNUMBER(X127),X127,IFERROR(VALUE(LEFT(TEXT(J127,"00000000"),4)),""))</f>
        <v/>
      </c>
      <c r="AH127" s="20">
        <f>IFERROR(XLOOKUP(AG127,Vintage_Rates!$A$2:$A$1000,Vintage_Rates!$B$2:$B$1000,""),"")</f>
        <v/>
      </c>
      <c r="AI127" s="20">
        <f>IF(ISNUMBER(Y127),Y127,IFERROR((G127-AH127)*100,""))</f>
        <v/>
      </c>
      <c r="AJ127" s="20">
        <f>IF(ISNUMBER(V127),V127,IFERROR(XLOOKUP(VALUE(F127),PLC_Rates!$A$2:$A$1000,PLC_Rates!$B$2:$B$1000,""),""))</f>
        <v/>
      </c>
      <c r="AK127" s="20">
        <f>IF(ISNUMBER(Z127),Z127,IF(AE127=0,0,MAX(0,MIN(10,((VALUE(LEFT(TEXT(M127,"00000000"),4))-VALUE(LEFT(F127,4)))*12+(VALUE(MID(TEXT(M127,"00000000"),5,2))-VALUE(MID(F127,5,2))))/12))))</f>
        <v/>
      </c>
      <c r="AL127" s="20">
        <f>IFERROR(G127*100-AJ127,"")</f>
        <v/>
      </c>
      <c r="AM127" s="20">
        <f>IFERROR(G127*100-(AJ127+(1+AK127)*12.5),"")</f>
        <v/>
      </c>
      <c r="AN127" s="21">
        <f>IFERROR(MIN(H127/1000000,100),"")</f>
        <v/>
      </c>
      <c r="AO127" s="20">
        <f>IFERROR(INDEX(FHA_Lookup!$B$2:$B$11,MATCH(TRUE,ISNUMBER(SEARCH(FHA_Lookup!$A$2:$A$11,UPPER(SUBSTITUTE(O127," ","")))),0)),"OTHER")</f>
        <v/>
      </c>
      <c r="AP127" s="20">
        <f>IFERROR(INDEX(FHA_Lookup!$C$2:$C$11,MATCH(TRUE,ISNUMBER(SEARCH(FHA_Lookup!$A$2:$A$11,UPPER(SUBSTITUTE(O127," ","")))),0)),"OTHER")</f>
        <v/>
      </c>
      <c r="AQ127" s="20">
        <f>IF(AP127="NC",1,0)</f>
        <v/>
      </c>
      <c r="AR127" s="20">
        <f>IF(UPPER(TRIM(P127))="AFF",1,0)</f>
        <v/>
      </c>
      <c r="AS127" s="20">
        <f>IF(UPPER(TRIM(P127))="BAF",1,0)</f>
        <v/>
      </c>
      <c r="AT127" s="20">
        <f>IF(UPPER(TRIM(P127))="MKT",1,0)</f>
        <v/>
      </c>
      <c r="AU127" s="20">
        <f>IF(AO127="221d4",1,0)</f>
        <v/>
      </c>
      <c r="AV127" s="20">
        <f>IF(AO127="223a7",1,0)</f>
        <v/>
      </c>
      <c r="AW127" s="20">
        <f>IF(AO127="232",1,0)</f>
        <v/>
      </c>
      <c r="AX127" s="20">
        <f>IF(AO127="538",1,0)</f>
        <v/>
      </c>
      <c r="AY127" s="20">
        <f>IF(AO127="241",1,0)</f>
        <v/>
      </c>
      <c r="AZ127" s="20">
        <f>IF(AO127="220",1,0)</f>
        <v/>
      </c>
      <c r="BA127" s="20">
        <f>IF(AO127="OTHER",1,0)</f>
        <v/>
      </c>
      <c r="BB127" s="20">
        <f>IF(UPPER(TRIM(C127))="LM",1,0)</f>
        <v/>
      </c>
      <c r="BC127" s="20">
        <f>IF(UPPER(TRIM(C127))="PN",1,0)</f>
        <v/>
      </c>
      <c r="BD127" s="20">
        <f>IF(UPPER(TRIM(C127))="LS",1,0)</f>
        <v/>
      </c>
      <c r="BE127" s="20">
        <f>IF(UPPER(TRIM(C127))="RX",1,0)</f>
        <v/>
      </c>
      <c r="BF127" s="22">
        <f>IFERROR((Parameters!$C$6*AM127+Parameters!$C$7*MAX(AM127-(-150),0)+Parameters!$C$8*MAX(AM127-(-50),0)+Parameters!$C$9*MAX(AM127-(0),0)+Parameters!$C$10*MAX(AM127-(50),0)+Parameters!$C$11*MAX(AM127-(100),0)+Parameters!$C$12*MAX(AM127-(150),0)+Parameters!$C$13*MAX(AM127-(250),0)),0)</f>
        <v/>
      </c>
      <c r="BG127" s="22">
        <f>IFERROR((Parameters!$C$14*AA127+Parameters!$C$15*MAX(AA127-(12),0)+Parameters!$C$16*MAX(AA127-(36),0)+Parameters!$C$17*MAX(AA127-(60),0)+Parameters!$C$18*MAX(AA127-(84),0)+Parameters!$C$19*MAX(AA127-(120),0)+Parameters!$C$20*MAX(AA127-(180),0)),0)</f>
        <v/>
      </c>
      <c r="BH127" s="22">
        <f>IFERROR((Parameters!$C$21*AK127+Parameters!$C$22*MAX(AK127-(0),0)+Parameters!$C$23*MAX(AK127-(2),0)+Parameters!$C$24*MAX(AK127-(5),0)+Parameters!$C$25*MAX(AK127-(8),0)),0)</f>
        <v/>
      </c>
      <c r="BI127" s="22">
        <f>IFERROR((Parameters!$C$26*AI127+Parameters!$C$27*MAX(AI127-(-100),0)+Parameters!$C$28*MAX(AI127-(-25),0)+Parameters!$C$29*MAX(AI127-(25),0)+Parameters!$C$30*MAX(AI127-(100),0)),0)</f>
        <v/>
      </c>
      <c r="BJ127" s="22">
        <f>IFERROR((Parameters!$C$31*AN127+Parameters!$C$32*MAX(AN127-(2),0)+Parameters!$C$33*MAX(AN127-(10),0)+Parameters!$C$34*MAX(AN127-(25),0)),0)</f>
        <v/>
      </c>
      <c r="BK127" s="22">
        <f>IFERROR((Parameters!$C$35*AB127+Parameters!$C$36*MAX(AB127-(12),0)+Parameters!$C$37*MAX(AB127-(24),0)+Parameters!$C$38*MAX(AB127-(60),0)),0)</f>
        <v/>
      </c>
      <c r="BL127" s="22">
        <f>IFERROR((Parameters!$C$39*AC127+Parameters!$C$40*MAX(AC127-(6),0)+Parameters!$C$41*MAX(AC127-(12),0)+Parameters!$C$42*MAX(AC127-(24),0)),0)</f>
        <v/>
      </c>
      <c r="BM127" s="22">
        <f>IFERROR(Parameters!$C$43*(MAX(AM127,0)*MIN(MAX(AK127,0),10))/100,0)</f>
        <v/>
      </c>
      <c r="BN127" s="22">
        <f>Parameters!$C$44*AE127</f>
        <v/>
      </c>
      <c r="BO127" s="22">
        <f>Parameters!$C$45*AU127 + Parameters!$C$46*AV127 + Parameters!$C$47*AW127 + Parameters!$C$48*AX127 + Parameters!$C$49*AY127 + Parameters!$C$50*AZ127 + Parameters!$C$51*BA127</f>
        <v/>
      </c>
      <c r="BP127" s="22">
        <f>Parameters!$C$52*AQ127</f>
        <v/>
      </c>
      <c r="BQ127" s="22">
        <f>Parameters!$C$53*AR127+Parameters!$C$54*AS127+Parameters!$C$55*AT127</f>
        <v/>
      </c>
      <c r="BR127" s="22">
        <f>Parameters!$C$56*BB127+Parameters!$C$57*BC127+Parameters!$C$58*BD127+Parameters!$C$59*BE127</f>
        <v/>
      </c>
      <c r="BS127" s="23">
        <f>Parameters!$B$2</f>
        <v/>
      </c>
      <c r="BT127" s="23">
        <f>BS127+BF127 + BG127 + BH127 + BI127 + BJ127 + BK127 + BL127 + BM127 + BN127 + BO127 + BP127 + BQ127 + BR127</f>
        <v/>
      </c>
      <c r="BU127" s="24">
        <f>IF(AD127=1,0,1/(1+EXP(-BT127))*Parameters!$B$3)</f>
        <v/>
      </c>
      <c r="BV127" s="25">
        <f>(1-(1-BU127)^12)*100</f>
        <v/>
      </c>
      <c r="BW127" s="25">
        <f>IF(AD127=1,0,(1-(1-1/(1+EXP(-Parameters!$B$2)))^12)*100)</f>
        <v/>
      </c>
      <c r="BX127" s="25">
        <f>IF(AD127=1,0,BV127-(1-(1-(1/(1+EXP(-(BT127-BF127)))*Parameters!$B$3))^12)*100)</f>
        <v/>
      </c>
      <c r="BY127" s="25">
        <f>IF(AD127=1,0,BV127-(1-(1-(1/(1+EXP(-(BT127-BG127)))*Parameters!$B$3))^12)*100)</f>
        <v/>
      </c>
      <c r="BZ127" s="25">
        <f>IF(AD127=1,0,BV127-(1-(1-(1/(1+EXP(-(BT127-BH127)))*Parameters!$B$3))^12)*100)</f>
        <v/>
      </c>
      <c r="CA127" s="25">
        <f>IF(AD127=1,0,BV127-(1-(1-(1/(1+EXP(-(BT127-BI127)))*Parameters!$B$3))^12)*100)</f>
        <v/>
      </c>
      <c r="CB127" s="25">
        <f>IF(AD127=1,0,BV127-(1-(1-(1/(1+EXP(-(BT127-BJ127)))*Parameters!$B$3))^12)*100)</f>
        <v/>
      </c>
      <c r="CC127" s="25">
        <f>IF(AD127=1,0,BV127-(1-(1-(1/(1+EXP(-(BT127-BK127)))*Parameters!$B$3))^12)*100)</f>
        <v/>
      </c>
      <c r="CD127" s="25">
        <f>IF(AD127=1,0,BV127-(1-(1-(1/(1+EXP(-(BT127-BL127)))*Parameters!$B$3))^12)*100)</f>
        <v/>
      </c>
      <c r="CE127" s="25">
        <f>IF(AD127=1,0,BV127-(1-(1-(1/(1+EXP(-(BT127-BM127)))*Parameters!$B$3))^12)*100)</f>
        <v/>
      </c>
      <c r="CF127" s="25">
        <f>IF(AD127=1,0,BV127-(1-(1-(1/(1+EXP(-(BT127-BN127)))*Parameters!$B$3))^12)*100)</f>
        <v/>
      </c>
      <c r="CG127" s="25">
        <f>IF(AD127=1,0,BV127-(1-(1-(1/(1+EXP(-(BT127-BO127)))*Parameters!$B$3))^12)*100)</f>
        <v/>
      </c>
      <c r="CH127" s="25">
        <f>IF(AD127=1,0,BV127-(1-(1-(1/(1+EXP(-(BT127-BP127)))*Parameters!$B$3))^12)*100)</f>
        <v/>
      </c>
      <c r="CI127" s="25">
        <f>IF(AD127=1,0,BV127-(1-(1-(1/(1+EXP(-(BT127-BQ127)))*Parameters!$B$3))^12)*100)</f>
        <v/>
      </c>
      <c r="CJ127" s="25">
        <f>IF(AD127=1,0,BV127-(1-(1-(1/(1+EXP(-(BT127-BR127)))*Parameters!$B$3))^12)*100)</f>
        <v/>
      </c>
    </row>
    <row r="128">
      <c r="A128" s="17" t="inlineStr">
        <is>
          <t>GNR_HC_2020</t>
        </is>
      </c>
      <c r="B128" s="17" t="inlineStr">
        <is>
          <t>3617NULL8</t>
        </is>
      </c>
      <c r="C128" s="17" t="inlineStr">
        <is>
          <t>PN</t>
        </is>
      </c>
      <c r="D128" s="17" t="inlineStr">
        <is>
          <t>DWIGHT CAPITAL LLC</t>
        </is>
      </c>
      <c r="E128" s="17" t="inlineStr">
        <is>
          <t>3617NULL8_000000004222315</t>
        </is>
      </c>
      <c r="F128" s="17" t="n">
        <v>202603</v>
      </c>
      <c r="G128" s="18" t="n">
        <v>3.14</v>
      </c>
      <c r="H128" s="19" t="n">
        <v>6947647.54</v>
      </c>
      <c r="I128" s="17" t="n">
        <v>360</v>
      </c>
      <c r="J128" s="17" t="n">
        <v>20200901</v>
      </c>
      <c r="K128" s="17" t="n">
        <v>20501001</v>
      </c>
      <c r="L128" s="17" t="n"/>
      <c r="M128" s="17" t="n">
        <v>20301101</v>
      </c>
      <c r="N128" s="17" t="n">
        <v>10</v>
      </c>
      <c r="O128" s="17" t="inlineStr">
        <is>
          <t>232/223(F)</t>
        </is>
      </c>
      <c r="P128" s="17" t="inlineStr">
        <is>
          <t>MKT</t>
        </is>
      </c>
      <c r="Q128" s="17" t="n"/>
      <c r="R128" s="17" t="n"/>
      <c r="S128" s="17" t="n"/>
      <c r="T128" s="17" t="inlineStr">
        <is>
          <t>OH</t>
        </is>
      </c>
      <c r="U128" s="17" t="n">
        <v>168</v>
      </c>
      <c r="V128" s="17" t="n">
        <v>490.5</v>
      </c>
      <c r="W128" s="17" t="n">
        <v>66</v>
      </c>
      <c r="X128" s="17" t="n">
        <v>2020</v>
      </c>
      <c r="Y128" s="17" t="n">
        <v>29</v>
      </c>
      <c r="Z128" s="17" t="n">
        <v>1</v>
      </c>
      <c r="AA128" s="20">
        <f>IF(ISNUMBER(W128),W128,IFERROR(MAX(0,(VALUE(LEFT(F128,4))-VALUE(LEFT(TEXT(J128,"00000000"),4)))*12+(VALUE(MID(F128,5,2))-VALUE(MID(TEXT(J128,"00000000"),5,2)))),""))</f>
        <v/>
      </c>
      <c r="AB128" s="20">
        <f>IFERROR((VALUE(LEFT(TEXT(K128,"00000000"),4))-VALUE(LEFT(F128,4)))*12+(VALUE(MID(TEXT(K128,"00000000"),5,2))-VALUE(MID(F128,5,2))),"")</f>
        <v/>
      </c>
      <c r="AC128" s="20">
        <f>IF(OR(L128="",NOT(ISNUMBER(L128))),0,MAX(0,MIN(60,(VALUE(LEFT(F128,4))-VALUE(LEFT(TEXT(L128,"00000000"),4)))*12+(VALUE(MID(F128,5,2))-VALUE(MID(TEXT(L128,"00000000"),5,2))))))</f>
        <v/>
      </c>
      <c r="AD128" s="20">
        <f>IF(OR(L128="",NOT(ISNUMBER(L128))),0,IF(VALUE(F128)&lt;VALUE(LEFT(TEXT(L128,"00000000"),6)),1,0))</f>
        <v/>
      </c>
      <c r="AE128" s="20">
        <f>IF(OR(M128="",NOT(ISNUMBER(M128))),0,IF(VALUE(F128)&lt;VALUE(LEFT(TEXT(M128,"00000000"),6)),1,0))</f>
        <v/>
      </c>
      <c r="AF128" s="20">
        <f>IF(AND(AD128=0,AE128=0),1,0)</f>
        <v/>
      </c>
      <c r="AG128" s="20">
        <f>IF(ISNUMBER(X128),X128,IFERROR(VALUE(LEFT(TEXT(J128,"00000000"),4)),""))</f>
        <v/>
      </c>
      <c r="AH128" s="20">
        <f>IFERROR(XLOOKUP(AG128,Vintage_Rates!$A$2:$A$1000,Vintage_Rates!$B$2:$B$1000,""),"")</f>
        <v/>
      </c>
      <c r="AI128" s="20">
        <f>IF(ISNUMBER(Y128),Y128,IFERROR((G128-AH128)*100,""))</f>
        <v/>
      </c>
      <c r="AJ128" s="20">
        <f>IF(ISNUMBER(V128),V128,IFERROR(XLOOKUP(VALUE(F128),PLC_Rates!$A$2:$A$1000,PLC_Rates!$B$2:$B$1000,""),""))</f>
        <v/>
      </c>
      <c r="AK128" s="20">
        <f>IF(ISNUMBER(Z128),Z128,IF(AE128=0,0,MAX(0,MIN(10,((VALUE(LEFT(TEXT(M128,"00000000"),4))-VALUE(LEFT(F128,4)))*12+(VALUE(MID(TEXT(M128,"00000000"),5,2))-VALUE(MID(F128,5,2))))/12))))</f>
        <v/>
      </c>
      <c r="AL128" s="20">
        <f>IFERROR(G128*100-AJ128,"")</f>
        <v/>
      </c>
      <c r="AM128" s="20">
        <f>IFERROR(G128*100-(AJ128+(1+AK128)*12.5),"")</f>
        <v/>
      </c>
      <c r="AN128" s="21">
        <f>IFERROR(MIN(H128/1000000,100),"")</f>
        <v/>
      </c>
      <c r="AO128" s="20">
        <f>IFERROR(INDEX(FHA_Lookup!$B$2:$B$11,MATCH(TRUE,ISNUMBER(SEARCH(FHA_Lookup!$A$2:$A$11,UPPER(SUBSTITUTE(O128," ","")))),0)),"OTHER")</f>
        <v/>
      </c>
      <c r="AP128" s="20">
        <f>IFERROR(INDEX(FHA_Lookup!$C$2:$C$11,MATCH(TRUE,ISNUMBER(SEARCH(FHA_Lookup!$A$2:$A$11,UPPER(SUBSTITUTE(O128," ","")))),0)),"OTHER")</f>
        <v/>
      </c>
      <c r="AQ128" s="20">
        <f>IF(AP128="NC",1,0)</f>
        <v/>
      </c>
      <c r="AR128" s="20">
        <f>IF(UPPER(TRIM(P128))="AFF",1,0)</f>
        <v/>
      </c>
      <c r="AS128" s="20">
        <f>IF(UPPER(TRIM(P128))="BAF",1,0)</f>
        <v/>
      </c>
      <c r="AT128" s="20">
        <f>IF(UPPER(TRIM(P128))="MKT",1,0)</f>
        <v/>
      </c>
      <c r="AU128" s="20">
        <f>IF(AO128="221d4",1,0)</f>
        <v/>
      </c>
      <c r="AV128" s="20">
        <f>IF(AO128="223a7",1,0)</f>
        <v/>
      </c>
      <c r="AW128" s="20">
        <f>IF(AO128="232",1,0)</f>
        <v/>
      </c>
      <c r="AX128" s="20">
        <f>IF(AO128="538",1,0)</f>
        <v/>
      </c>
      <c r="AY128" s="20">
        <f>IF(AO128="241",1,0)</f>
        <v/>
      </c>
      <c r="AZ128" s="20">
        <f>IF(AO128="220",1,0)</f>
        <v/>
      </c>
      <c r="BA128" s="20">
        <f>IF(AO128="OTHER",1,0)</f>
        <v/>
      </c>
      <c r="BB128" s="20">
        <f>IF(UPPER(TRIM(C128))="LM",1,0)</f>
        <v/>
      </c>
      <c r="BC128" s="20">
        <f>IF(UPPER(TRIM(C128))="PN",1,0)</f>
        <v/>
      </c>
      <c r="BD128" s="20">
        <f>IF(UPPER(TRIM(C128))="LS",1,0)</f>
        <v/>
      </c>
      <c r="BE128" s="20">
        <f>IF(UPPER(TRIM(C128))="RX",1,0)</f>
        <v/>
      </c>
      <c r="BF128" s="22">
        <f>IFERROR((Parameters!$C$6*AM128+Parameters!$C$7*MAX(AM128-(-150),0)+Parameters!$C$8*MAX(AM128-(-50),0)+Parameters!$C$9*MAX(AM128-(0),0)+Parameters!$C$10*MAX(AM128-(50),0)+Parameters!$C$11*MAX(AM128-(100),0)+Parameters!$C$12*MAX(AM128-(150),0)+Parameters!$C$13*MAX(AM128-(250),0)),0)</f>
        <v/>
      </c>
      <c r="BG128" s="22">
        <f>IFERROR((Parameters!$C$14*AA128+Parameters!$C$15*MAX(AA128-(12),0)+Parameters!$C$16*MAX(AA128-(36),0)+Parameters!$C$17*MAX(AA128-(60),0)+Parameters!$C$18*MAX(AA128-(84),0)+Parameters!$C$19*MAX(AA128-(120),0)+Parameters!$C$20*MAX(AA128-(180),0)),0)</f>
        <v/>
      </c>
      <c r="BH128" s="22">
        <f>IFERROR((Parameters!$C$21*AK128+Parameters!$C$22*MAX(AK128-(0),0)+Parameters!$C$23*MAX(AK128-(2),0)+Parameters!$C$24*MAX(AK128-(5),0)+Parameters!$C$25*MAX(AK128-(8),0)),0)</f>
        <v/>
      </c>
      <c r="BI128" s="22">
        <f>IFERROR((Parameters!$C$26*AI128+Parameters!$C$27*MAX(AI128-(-100),0)+Parameters!$C$28*MAX(AI128-(-25),0)+Parameters!$C$29*MAX(AI128-(25),0)+Parameters!$C$30*MAX(AI128-(100),0)),0)</f>
        <v/>
      </c>
      <c r="BJ128" s="22">
        <f>IFERROR((Parameters!$C$31*AN128+Parameters!$C$32*MAX(AN128-(2),0)+Parameters!$C$33*MAX(AN128-(10),0)+Parameters!$C$34*MAX(AN128-(25),0)),0)</f>
        <v/>
      </c>
      <c r="BK128" s="22">
        <f>IFERROR((Parameters!$C$35*AB128+Parameters!$C$36*MAX(AB128-(12),0)+Parameters!$C$37*MAX(AB128-(24),0)+Parameters!$C$38*MAX(AB128-(60),0)),0)</f>
        <v/>
      </c>
      <c r="BL128" s="22">
        <f>IFERROR((Parameters!$C$39*AC128+Parameters!$C$40*MAX(AC128-(6),0)+Parameters!$C$41*MAX(AC128-(12),0)+Parameters!$C$42*MAX(AC128-(24),0)),0)</f>
        <v/>
      </c>
      <c r="BM128" s="22">
        <f>IFERROR(Parameters!$C$43*(MAX(AM128,0)*MIN(MAX(AK128,0),10))/100,0)</f>
        <v/>
      </c>
      <c r="BN128" s="22">
        <f>Parameters!$C$44*AE128</f>
        <v/>
      </c>
      <c r="BO128" s="22">
        <f>Parameters!$C$45*AU128 + Parameters!$C$46*AV128 + Parameters!$C$47*AW128 + Parameters!$C$48*AX128 + Parameters!$C$49*AY128 + Parameters!$C$50*AZ128 + Parameters!$C$51*BA128</f>
        <v/>
      </c>
      <c r="BP128" s="22">
        <f>Parameters!$C$52*AQ128</f>
        <v/>
      </c>
      <c r="BQ128" s="22">
        <f>Parameters!$C$53*AR128+Parameters!$C$54*AS128+Parameters!$C$55*AT128</f>
        <v/>
      </c>
      <c r="BR128" s="22">
        <f>Parameters!$C$56*BB128+Parameters!$C$57*BC128+Parameters!$C$58*BD128+Parameters!$C$59*BE128</f>
        <v/>
      </c>
      <c r="BS128" s="23">
        <f>Parameters!$B$2</f>
        <v/>
      </c>
      <c r="BT128" s="23">
        <f>BS128+BF128 + BG128 + BH128 + BI128 + BJ128 + BK128 + BL128 + BM128 + BN128 + BO128 + BP128 + BQ128 + BR128</f>
        <v/>
      </c>
      <c r="BU128" s="24">
        <f>IF(AD128=1,0,1/(1+EXP(-BT128))*Parameters!$B$3)</f>
        <v/>
      </c>
      <c r="BV128" s="25">
        <f>(1-(1-BU128)^12)*100</f>
        <v/>
      </c>
      <c r="BW128" s="25">
        <f>IF(AD128=1,0,(1-(1-1/(1+EXP(-Parameters!$B$2)))^12)*100)</f>
        <v/>
      </c>
      <c r="BX128" s="25">
        <f>IF(AD128=1,0,BV128-(1-(1-(1/(1+EXP(-(BT128-BF128)))*Parameters!$B$3))^12)*100)</f>
        <v/>
      </c>
      <c r="BY128" s="25">
        <f>IF(AD128=1,0,BV128-(1-(1-(1/(1+EXP(-(BT128-BG128)))*Parameters!$B$3))^12)*100)</f>
        <v/>
      </c>
      <c r="BZ128" s="25">
        <f>IF(AD128=1,0,BV128-(1-(1-(1/(1+EXP(-(BT128-BH128)))*Parameters!$B$3))^12)*100)</f>
        <v/>
      </c>
      <c r="CA128" s="25">
        <f>IF(AD128=1,0,BV128-(1-(1-(1/(1+EXP(-(BT128-BI128)))*Parameters!$B$3))^12)*100)</f>
        <v/>
      </c>
      <c r="CB128" s="25">
        <f>IF(AD128=1,0,BV128-(1-(1-(1/(1+EXP(-(BT128-BJ128)))*Parameters!$B$3))^12)*100)</f>
        <v/>
      </c>
      <c r="CC128" s="25">
        <f>IF(AD128=1,0,BV128-(1-(1-(1/(1+EXP(-(BT128-BK128)))*Parameters!$B$3))^12)*100)</f>
        <v/>
      </c>
      <c r="CD128" s="25">
        <f>IF(AD128=1,0,BV128-(1-(1-(1/(1+EXP(-(BT128-BL128)))*Parameters!$B$3))^12)*100)</f>
        <v/>
      </c>
      <c r="CE128" s="25">
        <f>IF(AD128=1,0,BV128-(1-(1-(1/(1+EXP(-(BT128-BM128)))*Parameters!$B$3))^12)*100)</f>
        <v/>
      </c>
      <c r="CF128" s="25">
        <f>IF(AD128=1,0,BV128-(1-(1-(1/(1+EXP(-(BT128-BN128)))*Parameters!$B$3))^12)*100)</f>
        <v/>
      </c>
      <c r="CG128" s="25">
        <f>IF(AD128=1,0,BV128-(1-(1-(1/(1+EXP(-(BT128-BO128)))*Parameters!$B$3))^12)*100)</f>
        <v/>
      </c>
      <c r="CH128" s="25">
        <f>IF(AD128=1,0,BV128-(1-(1-(1/(1+EXP(-(BT128-BP128)))*Parameters!$B$3))^12)*100)</f>
        <v/>
      </c>
      <c r="CI128" s="25">
        <f>IF(AD128=1,0,BV128-(1-(1-(1/(1+EXP(-(BT128-BQ128)))*Parameters!$B$3))^12)*100)</f>
        <v/>
      </c>
      <c r="CJ128" s="25">
        <f>IF(AD128=1,0,BV128-(1-(1-(1/(1+EXP(-(BT128-BR128)))*Parameters!$B$3))^12)*100)</f>
        <v/>
      </c>
    </row>
    <row r="129">
      <c r="A129" s="17" t="inlineStr">
        <is>
          <t>GNR_HC_2020</t>
        </is>
      </c>
      <c r="B129" s="17" t="inlineStr">
        <is>
          <t>3617MPBR8</t>
        </is>
      </c>
      <c r="C129" s="17" t="inlineStr">
        <is>
          <t>LM</t>
        </is>
      </c>
      <c r="D129" s="17" t="inlineStr">
        <is>
          <t>CAPITAL ONE, N.A.</t>
        </is>
      </c>
      <c r="E129" s="17" t="inlineStr">
        <is>
          <t>3617MPBR8_000000007122325</t>
        </is>
      </c>
      <c r="F129" s="17" t="n">
        <v>202603</v>
      </c>
      <c r="G129" s="18" t="n">
        <v>3.2</v>
      </c>
      <c r="H129" s="19" t="n">
        <v>17009554.71</v>
      </c>
      <c r="I129" s="17" t="n">
        <v>420</v>
      </c>
      <c r="J129" s="17" t="n">
        <v>20200501</v>
      </c>
      <c r="K129" s="17" t="n">
        <v>20491101</v>
      </c>
      <c r="L129" s="17" t="n"/>
      <c r="M129" s="17" t="n">
        <v>20300701</v>
      </c>
      <c r="N129" s="17" t="n">
        <v>10</v>
      </c>
      <c r="O129" s="17" t="inlineStr">
        <is>
          <t>232/223(F)</t>
        </is>
      </c>
      <c r="P129" s="17" t="inlineStr">
        <is>
          <t>MKT</t>
        </is>
      </c>
      <c r="Q129" s="17" t="inlineStr">
        <is>
          <t>M</t>
        </is>
      </c>
      <c r="R129" s="17" t="n"/>
      <c r="S129" s="17" t="n">
        <v>1</v>
      </c>
      <c r="T129" s="17" t="inlineStr">
        <is>
          <t>IL</t>
        </is>
      </c>
      <c r="U129" s="17" t="n">
        <v>218</v>
      </c>
      <c r="V129" s="17" t="n">
        <v>490.5</v>
      </c>
      <c r="W129" s="17" t="n">
        <v>70</v>
      </c>
      <c r="X129" s="17" t="n">
        <v>2020</v>
      </c>
      <c r="Y129" s="17" t="n">
        <v>35</v>
      </c>
      <c r="Z129" s="17" t="n">
        <v>5</v>
      </c>
      <c r="AA129" s="20">
        <f>IF(ISNUMBER(W129),W129,IFERROR(MAX(0,(VALUE(LEFT(F129,4))-VALUE(LEFT(TEXT(J129,"00000000"),4)))*12+(VALUE(MID(F129,5,2))-VALUE(MID(TEXT(J129,"00000000"),5,2)))),""))</f>
        <v/>
      </c>
      <c r="AB129" s="20">
        <f>IFERROR((VALUE(LEFT(TEXT(K129,"00000000"),4))-VALUE(LEFT(F129,4)))*12+(VALUE(MID(TEXT(K129,"00000000"),5,2))-VALUE(MID(F129,5,2))),"")</f>
        <v/>
      </c>
      <c r="AC129" s="20">
        <f>IF(OR(L129="",NOT(ISNUMBER(L129))),0,MAX(0,MIN(60,(VALUE(LEFT(F129,4))-VALUE(LEFT(TEXT(L129,"00000000"),4)))*12+(VALUE(MID(F129,5,2))-VALUE(MID(TEXT(L129,"00000000"),5,2))))))</f>
        <v/>
      </c>
      <c r="AD129" s="20">
        <f>IF(OR(L129="",NOT(ISNUMBER(L129))),0,IF(VALUE(F129)&lt;VALUE(LEFT(TEXT(L129,"00000000"),6)),1,0))</f>
        <v/>
      </c>
      <c r="AE129" s="20">
        <f>IF(OR(M129="",NOT(ISNUMBER(M129))),0,IF(VALUE(F129)&lt;VALUE(LEFT(TEXT(M129,"00000000"),6)),1,0))</f>
        <v/>
      </c>
      <c r="AF129" s="20">
        <f>IF(AND(AD129=0,AE129=0),1,0)</f>
        <v/>
      </c>
      <c r="AG129" s="20">
        <f>IF(ISNUMBER(X129),X129,IFERROR(VALUE(LEFT(TEXT(J129,"00000000"),4)),""))</f>
        <v/>
      </c>
      <c r="AH129" s="20">
        <f>IFERROR(XLOOKUP(AG129,Vintage_Rates!$A$2:$A$1000,Vintage_Rates!$B$2:$B$1000,""),"")</f>
        <v/>
      </c>
      <c r="AI129" s="20">
        <f>IF(ISNUMBER(Y129),Y129,IFERROR((G129-AH129)*100,""))</f>
        <v/>
      </c>
      <c r="AJ129" s="20">
        <f>IF(ISNUMBER(V129),V129,IFERROR(XLOOKUP(VALUE(F129),PLC_Rates!$A$2:$A$1000,PLC_Rates!$B$2:$B$1000,""),""))</f>
        <v/>
      </c>
      <c r="AK129" s="20">
        <f>IF(ISNUMBER(Z129),Z129,IF(AE129=0,0,MAX(0,MIN(10,((VALUE(LEFT(TEXT(M129,"00000000"),4))-VALUE(LEFT(F129,4)))*12+(VALUE(MID(TEXT(M129,"00000000"),5,2))-VALUE(MID(F129,5,2))))/12))))</f>
        <v/>
      </c>
      <c r="AL129" s="20">
        <f>IFERROR(G129*100-AJ129,"")</f>
        <v/>
      </c>
      <c r="AM129" s="20">
        <f>IFERROR(G129*100-(AJ129+(1+AK129)*12.5),"")</f>
        <v/>
      </c>
      <c r="AN129" s="21">
        <f>IFERROR(MIN(H129/1000000,100),"")</f>
        <v/>
      </c>
      <c r="AO129" s="20">
        <f>IFERROR(INDEX(FHA_Lookup!$B$2:$B$11,MATCH(TRUE,ISNUMBER(SEARCH(FHA_Lookup!$A$2:$A$11,UPPER(SUBSTITUTE(O129," ","")))),0)),"OTHER")</f>
        <v/>
      </c>
      <c r="AP129" s="20">
        <f>IFERROR(INDEX(FHA_Lookup!$C$2:$C$11,MATCH(TRUE,ISNUMBER(SEARCH(FHA_Lookup!$A$2:$A$11,UPPER(SUBSTITUTE(O129," ","")))),0)),"OTHER")</f>
        <v/>
      </c>
      <c r="AQ129" s="20">
        <f>IF(AP129="NC",1,0)</f>
        <v/>
      </c>
      <c r="AR129" s="20">
        <f>IF(UPPER(TRIM(P129))="AFF",1,0)</f>
        <v/>
      </c>
      <c r="AS129" s="20">
        <f>IF(UPPER(TRIM(P129))="BAF",1,0)</f>
        <v/>
      </c>
      <c r="AT129" s="20">
        <f>IF(UPPER(TRIM(P129))="MKT",1,0)</f>
        <v/>
      </c>
      <c r="AU129" s="20">
        <f>IF(AO129="221d4",1,0)</f>
        <v/>
      </c>
      <c r="AV129" s="20">
        <f>IF(AO129="223a7",1,0)</f>
        <v/>
      </c>
      <c r="AW129" s="20">
        <f>IF(AO129="232",1,0)</f>
        <v/>
      </c>
      <c r="AX129" s="20">
        <f>IF(AO129="538",1,0)</f>
        <v/>
      </c>
      <c r="AY129" s="20">
        <f>IF(AO129="241",1,0)</f>
        <v/>
      </c>
      <c r="AZ129" s="20">
        <f>IF(AO129="220",1,0)</f>
        <v/>
      </c>
      <c r="BA129" s="20">
        <f>IF(AO129="OTHER",1,0)</f>
        <v/>
      </c>
      <c r="BB129" s="20">
        <f>IF(UPPER(TRIM(C129))="LM",1,0)</f>
        <v/>
      </c>
      <c r="BC129" s="20">
        <f>IF(UPPER(TRIM(C129))="PN",1,0)</f>
        <v/>
      </c>
      <c r="BD129" s="20">
        <f>IF(UPPER(TRIM(C129))="LS",1,0)</f>
        <v/>
      </c>
      <c r="BE129" s="20">
        <f>IF(UPPER(TRIM(C129))="RX",1,0)</f>
        <v/>
      </c>
      <c r="BF129" s="22">
        <f>IFERROR((Parameters!$C$6*AM129+Parameters!$C$7*MAX(AM129-(-150),0)+Parameters!$C$8*MAX(AM129-(-50),0)+Parameters!$C$9*MAX(AM129-(0),0)+Parameters!$C$10*MAX(AM129-(50),0)+Parameters!$C$11*MAX(AM129-(100),0)+Parameters!$C$12*MAX(AM129-(150),0)+Parameters!$C$13*MAX(AM129-(250),0)),0)</f>
        <v/>
      </c>
      <c r="BG129" s="22">
        <f>IFERROR((Parameters!$C$14*AA129+Parameters!$C$15*MAX(AA129-(12),0)+Parameters!$C$16*MAX(AA129-(36),0)+Parameters!$C$17*MAX(AA129-(60),0)+Parameters!$C$18*MAX(AA129-(84),0)+Parameters!$C$19*MAX(AA129-(120),0)+Parameters!$C$20*MAX(AA129-(180),0)),0)</f>
        <v/>
      </c>
      <c r="BH129" s="22">
        <f>IFERROR((Parameters!$C$21*AK129+Parameters!$C$22*MAX(AK129-(0),0)+Parameters!$C$23*MAX(AK129-(2),0)+Parameters!$C$24*MAX(AK129-(5),0)+Parameters!$C$25*MAX(AK129-(8),0)),0)</f>
        <v/>
      </c>
      <c r="BI129" s="22">
        <f>IFERROR((Parameters!$C$26*AI129+Parameters!$C$27*MAX(AI129-(-100),0)+Parameters!$C$28*MAX(AI129-(-25),0)+Parameters!$C$29*MAX(AI129-(25),0)+Parameters!$C$30*MAX(AI129-(100),0)),0)</f>
        <v/>
      </c>
      <c r="BJ129" s="22">
        <f>IFERROR((Parameters!$C$31*AN129+Parameters!$C$32*MAX(AN129-(2),0)+Parameters!$C$33*MAX(AN129-(10),0)+Parameters!$C$34*MAX(AN129-(25),0)),0)</f>
        <v/>
      </c>
      <c r="BK129" s="22">
        <f>IFERROR((Parameters!$C$35*AB129+Parameters!$C$36*MAX(AB129-(12),0)+Parameters!$C$37*MAX(AB129-(24),0)+Parameters!$C$38*MAX(AB129-(60),0)),0)</f>
        <v/>
      </c>
      <c r="BL129" s="22">
        <f>IFERROR((Parameters!$C$39*AC129+Parameters!$C$40*MAX(AC129-(6),0)+Parameters!$C$41*MAX(AC129-(12),0)+Parameters!$C$42*MAX(AC129-(24),0)),0)</f>
        <v/>
      </c>
      <c r="BM129" s="22">
        <f>IFERROR(Parameters!$C$43*(MAX(AM129,0)*MIN(MAX(AK129,0),10))/100,0)</f>
        <v/>
      </c>
      <c r="BN129" s="22">
        <f>Parameters!$C$44*AE129</f>
        <v/>
      </c>
      <c r="BO129" s="22">
        <f>Parameters!$C$45*AU129 + Parameters!$C$46*AV129 + Parameters!$C$47*AW129 + Parameters!$C$48*AX129 + Parameters!$C$49*AY129 + Parameters!$C$50*AZ129 + Parameters!$C$51*BA129</f>
        <v/>
      </c>
      <c r="BP129" s="22">
        <f>Parameters!$C$52*AQ129</f>
        <v/>
      </c>
      <c r="BQ129" s="22">
        <f>Parameters!$C$53*AR129+Parameters!$C$54*AS129+Parameters!$C$55*AT129</f>
        <v/>
      </c>
      <c r="BR129" s="22">
        <f>Parameters!$C$56*BB129+Parameters!$C$57*BC129+Parameters!$C$58*BD129+Parameters!$C$59*BE129</f>
        <v/>
      </c>
      <c r="BS129" s="23">
        <f>Parameters!$B$2</f>
        <v/>
      </c>
      <c r="BT129" s="23">
        <f>BS129+BF129 + BG129 + BH129 + BI129 + BJ129 + BK129 + BL129 + BM129 + BN129 + BO129 + BP129 + BQ129 + BR129</f>
        <v/>
      </c>
      <c r="BU129" s="24">
        <f>IF(AD129=1,0,1/(1+EXP(-BT129))*Parameters!$B$3)</f>
        <v/>
      </c>
      <c r="BV129" s="25">
        <f>(1-(1-BU129)^12)*100</f>
        <v/>
      </c>
      <c r="BW129" s="25">
        <f>IF(AD129=1,0,(1-(1-1/(1+EXP(-Parameters!$B$2)))^12)*100)</f>
        <v/>
      </c>
      <c r="BX129" s="25">
        <f>IF(AD129=1,0,BV129-(1-(1-(1/(1+EXP(-(BT129-BF129)))*Parameters!$B$3))^12)*100)</f>
        <v/>
      </c>
      <c r="BY129" s="25">
        <f>IF(AD129=1,0,BV129-(1-(1-(1/(1+EXP(-(BT129-BG129)))*Parameters!$B$3))^12)*100)</f>
        <v/>
      </c>
      <c r="BZ129" s="25">
        <f>IF(AD129=1,0,BV129-(1-(1-(1/(1+EXP(-(BT129-BH129)))*Parameters!$B$3))^12)*100)</f>
        <v/>
      </c>
      <c r="CA129" s="25">
        <f>IF(AD129=1,0,BV129-(1-(1-(1/(1+EXP(-(BT129-BI129)))*Parameters!$B$3))^12)*100)</f>
        <v/>
      </c>
      <c r="CB129" s="25">
        <f>IF(AD129=1,0,BV129-(1-(1-(1/(1+EXP(-(BT129-BJ129)))*Parameters!$B$3))^12)*100)</f>
        <v/>
      </c>
      <c r="CC129" s="25">
        <f>IF(AD129=1,0,BV129-(1-(1-(1/(1+EXP(-(BT129-BK129)))*Parameters!$B$3))^12)*100)</f>
        <v/>
      </c>
      <c r="CD129" s="25">
        <f>IF(AD129=1,0,BV129-(1-(1-(1/(1+EXP(-(BT129-BL129)))*Parameters!$B$3))^12)*100)</f>
        <v/>
      </c>
      <c r="CE129" s="25">
        <f>IF(AD129=1,0,BV129-(1-(1-(1/(1+EXP(-(BT129-BM129)))*Parameters!$B$3))^12)*100)</f>
        <v/>
      </c>
      <c r="CF129" s="25">
        <f>IF(AD129=1,0,BV129-(1-(1-(1/(1+EXP(-(BT129-BN129)))*Parameters!$B$3))^12)*100)</f>
        <v/>
      </c>
      <c r="CG129" s="25">
        <f>IF(AD129=1,0,BV129-(1-(1-(1/(1+EXP(-(BT129-BO129)))*Parameters!$B$3))^12)*100)</f>
        <v/>
      </c>
      <c r="CH129" s="25">
        <f>IF(AD129=1,0,BV129-(1-(1-(1/(1+EXP(-(BT129-BP129)))*Parameters!$B$3))^12)*100)</f>
        <v/>
      </c>
      <c r="CI129" s="25">
        <f>IF(AD129=1,0,BV129-(1-(1-(1/(1+EXP(-(BT129-BQ129)))*Parameters!$B$3))^12)*100)</f>
        <v/>
      </c>
      <c r="CJ129" s="25">
        <f>IF(AD129=1,0,BV129-(1-(1-(1/(1+EXP(-(BT129-BR129)))*Parameters!$B$3))^12)*100)</f>
        <v/>
      </c>
    </row>
    <row r="130">
      <c r="A130" s="17" t="inlineStr">
        <is>
          <t>GNR_HC_2020</t>
        </is>
      </c>
      <c r="B130" s="17" t="inlineStr">
        <is>
          <t>3617Q8LV2</t>
        </is>
      </c>
      <c r="C130" s="17" t="inlineStr">
        <is>
          <t>LM</t>
        </is>
      </c>
      <c r="D130" s="17" t="inlineStr">
        <is>
          <t>KEYBANK NATIONAL ASSOCIATION</t>
        </is>
      </c>
      <c r="E130" s="17" t="inlineStr">
        <is>
          <t>3617Q8LV2_000000001222341</t>
        </is>
      </c>
      <c r="F130" s="17" t="n">
        <v>202603</v>
      </c>
      <c r="G130" s="18" t="n">
        <v>3.6</v>
      </c>
      <c r="H130" s="19" t="n">
        <v>110888251.19</v>
      </c>
      <c r="I130" s="17" t="n">
        <v>420</v>
      </c>
      <c r="J130" s="17" t="n">
        <v>20180517</v>
      </c>
      <c r="K130" s="17" t="n">
        <v>20530601</v>
      </c>
      <c r="L130" s="17" t="n"/>
      <c r="M130" s="17" t="n">
        <v>20300831</v>
      </c>
      <c r="N130" s="17" t="n">
        <v>10</v>
      </c>
      <c r="O130" s="17" t="inlineStr">
        <is>
          <t>232/223(F)</t>
        </is>
      </c>
      <c r="P130" s="17" t="inlineStr">
        <is>
          <t>MKT</t>
        </is>
      </c>
      <c r="Q130" s="17" t="inlineStr">
        <is>
          <t>M</t>
        </is>
      </c>
      <c r="R130" s="17" t="n"/>
      <c r="S130" s="17" t="n">
        <v>1</v>
      </c>
      <c r="T130" s="17" t="inlineStr">
        <is>
          <t>NY</t>
        </is>
      </c>
      <c r="U130" s="17" t="n">
        <v>499</v>
      </c>
      <c r="V130" s="17" t="n">
        <v>490.5</v>
      </c>
      <c r="W130" s="17" t="n">
        <v>94</v>
      </c>
      <c r="X130" s="17" t="n">
        <v>2018</v>
      </c>
      <c r="Y130" s="17" t="n">
        <v>-42</v>
      </c>
      <c r="Z130" s="17" t="n">
        <v>5</v>
      </c>
      <c r="AA130" s="20">
        <f>IF(ISNUMBER(W130),W130,IFERROR(MAX(0,(VALUE(LEFT(F130,4))-VALUE(LEFT(TEXT(J130,"00000000"),4)))*12+(VALUE(MID(F130,5,2))-VALUE(MID(TEXT(J130,"00000000"),5,2)))),""))</f>
        <v/>
      </c>
      <c r="AB130" s="20">
        <f>IFERROR((VALUE(LEFT(TEXT(K130,"00000000"),4))-VALUE(LEFT(F130,4)))*12+(VALUE(MID(TEXT(K130,"00000000"),5,2))-VALUE(MID(F130,5,2))),"")</f>
        <v/>
      </c>
      <c r="AC130" s="20">
        <f>IF(OR(L130="",NOT(ISNUMBER(L130))),0,MAX(0,MIN(60,(VALUE(LEFT(F130,4))-VALUE(LEFT(TEXT(L130,"00000000"),4)))*12+(VALUE(MID(F130,5,2))-VALUE(MID(TEXT(L130,"00000000"),5,2))))))</f>
        <v/>
      </c>
      <c r="AD130" s="20">
        <f>IF(OR(L130="",NOT(ISNUMBER(L130))),0,IF(VALUE(F130)&lt;VALUE(LEFT(TEXT(L130,"00000000"),6)),1,0))</f>
        <v/>
      </c>
      <c r="AE130" s="20">
        <f>IF(OR(M130="",NOT(ISNUMBER(M130))),0,IF(VALUE(F130)&lt;VALUE(LEFT(TEXT(M130,"00000000"),6)),1,0))</f>
        <v/>
      </c>
      <c r="AF130" s="20">
        <f>IF(AND(AD130=0,AE130=0),1,0)</f>
        <v/>
      </c>
      <c r="AG130" s="20">
        <f>IF(ISNUMBER(X130),X130,IFERROR(VALUE(LEFT(TEXT(J130,"00000000"),4)),""))</f>
        <v/>
      </c>
      <c r="AH130" s="20">
        <f>IFERROR(XLOOKUP(AG130,Vintage_Rates!$A$2:$A$1000,Vintage_Rates!$B$2:$B$1000,""),"")</f>
        <v/>
      </c>
      <c r="AI130" s="20">
        <f>IF(ISNUMBER(Y130),Y130,IFERROR((G130-AH130)*100,""))</f>
        <v/>
      </c>
      <c r="AJ130" s="20">
        <f>IF(ISNUMBER(V130),V130,IFERROR(XLOOKUP(VALUE(F130),PLC_Rates!$A$2:$A$1000,PLC_Rates!$B$2:$B$1000,""),""))</f>
        <v/>
      </c>
      <c r="AK130" s="20">
        <f>IF(ISNUMBER(Z130),Z130,IF(AE130=0,0,MAX(0,MIN(10,((VALUE(LEFT(TEXT(M130,"00000000"),4))-VALUE(LEFT(F130,4)))*12+(VALUE(MID(TEXT(M130,"00000000"),5,2))-VALUE(MID(F130,5,2))))/12))))</f>
        <v/>
      </c>
      <c r="AL130" s="20">
        <f>IFERROR(G130*100-AJ130,"")</f>
        <v/>
      </c>
      <c r="AM130" s="20">
        <f>IFERROR(G130*100-(AJ130+(1+AK130)*12.5),"")</f>
        <v/>
      </c>
      <c r="AN130" s="21">
        <f>IFERROR(MIN(H130/1000000,100),"")</f>
        <v/>
      </c>
      <c r="AO130" s="20">
        <f>IFERROR(INDEX(FHA_Lookup!$B$2:$B$11,MATCH(TRUE,ISNUMBER(SEARCH(FHA_Lookup!$A$2:$A$11,UPPER(SUBSTITUTE(O130," ","")))),0)),"OTHER")</f>
        <v/>
      </c>
      <c r="AP130" s="20">
        <f>IFERROR(INDEX(FHA_Lookup!$C$2:$C$11,MATCH(TRUE,ISNUMBER(SEARCH(FHA_Lookup!$A$2:$A$11,UPPER(SUBSTITUTE(O130," ","")))),0)),"OTHER")</f>
        <v/>
      </c>
      <c r="AQ130" s="20">
        <f>IF(AP130="NC",1,0)</f>
        <v/>
      </c>
      <c r="AR130" s="20">
        <f>IF(UPPER(TRIM(P130))="AFF",1,0)</f>
        <v/>
      </c>
      <c r="AS130" s="20">
        <f>IF(UPPER(TRIM(P130))="BAF",1,0)</f>
        <v/>
      </c>
      <c r="AT130" s="20">
        <f>IF(UPPER(TRIM(P130))="MKT",1,0)</f>
        <v/>
      </c>
      <c r="AU130" s="20">
        <f>IF(AO130="221d4",1,0)</f>
        <v/>
      </c>
      <c r="AV130" s="20">
        <f>IF(AO130="223a7",1,0)</f>
        <v/>
      </c>
      <c r="AW130" s="20">
        <f>IF(AO130="232",1,0)</f>
        <v/>
      </c>
      <c r="AX130" s="20">
        <f>IF(AO130="538",1,0)</f>
        <v/>
      </c>
      <c r="AY130" s="20">
        <f>IF(AO130="241",1,0)</f>
        <v/>
      </c>
      <c r="AZ130" s="20">
        <f>IF(AO130="220",1,0)</f>
        <v/>
      </c>
      <c r="BA130" s="20">
        <f>IF(AO130="OTHER",1,0)</f>
        <v/>
      </c>
      <c r="BB130" s="20">
        <f>IF(UPPER(TRIM(C130))="LM",1,0)</f>
        <v/>
      </c>
      <c r="BC130" s="20">
        <f>IF(UPPER(TRIM(C130))="PN",1,0)</f>
        <v/>
      </c>
      <c r="BD130" s="20">
        <f>IF(UPPER(TRIM(C130))="LS",1,0)</f>
        <v/>
      </c>
      <c r="BE130" s="20">
        <f>IF(UPPER(TRIM(C130))="RX",1,0)</f>
        <v/>
      </c>
      <c r="BF130" s="22">
        <f>IFERROR((Parameters!$C$6*AM130+Parameters!$C$7*MAX(AM130-(-150),0)+Parameters!$C$8*MAX(AM130-(-50),0)+Parameters!$C$9*MAX(AM130-(0),0)+Parameters!$C$10*MAX(AM130-(50),0)+Parameters!$C$11*MAX(AM130-(100),0)+Parameters!$C$12*MAX(AM130-(150),0)+Parameters!$C$13*MAX(AM130-(250),0)),0)</f>
        <v/>
      </c>
      <c r="BG130" s="22">
        <f>IFERROR((Parameters!$C$14*AA130+Parameters!$C$15*MAX(AA130-(12),0)+Parameters!$C$16*MAX(AA130-(36),0)+Parameters!$C$17*MAX(AA130-(60),0)+Parameters!$C$18*MAX(AA130-(84),0)+Parameters!$C$19*MAX(AA130-(120),0)+Parameters!$C$20*MAX(AA130-(180),0)),0)</f>
        <v/>
      </c>
      <c r="BH130" s="22">
        <f>IFERROR((Parameters!$C$21*AK130+Parameters!$C$22*MAX(AK130-(0),0)+Parameters!$C$23*MAX(AK130-(2),0)+Parameters!$C$24*MAX(AK130-(5),0)+Parameters!$C$25*MAX(AK130-(8),0)),0)</f>
        <v/>
      </c>
      <c r="BI130" s="22">
        <f>IFERROR((Parameters!$C$26*AI130+Parameters!$C$27*MAX(AI130-(-100),0)+Parameters!$C$28*MAX(AI130-(-25),0)+Parameters!$C$29*MAX(AI130-(25),0)+Parameters!$C$30*MAX(AI130-(100),0)),0)</f>
        <v/>
      </c>
      <c r="BJ130" s="22">
        <f>IFERROR((Parameters!$C$31*AN130+Parameters!$C$32*MAX(AN130-(2),0)+Parameters!$C$33*MAX(AN130-(10),0)+Parameters!$C$34*MAX(AN130-(25),0)),0)</f>
        <v/>
      </c>
      <c r="BK130" s="22">
        <f>IFERROR((Parameters!$C$35*AB130+Parameters!$C$36*MAX(AB130-(12),0)+Parameters!$C$37*MAX(AB130-(24),0)+Parameters!$C$38*MAX(AB130-(60),0)),0)</f>
        <v/>
      </c>
      <c r="BL130" s="22">
        <f>IFERROR((Parameters!$C$39*AC130+Parameters!$C$40*MAX(AC130-(6),0)+Parameters!$C$41*MAX(AC130-(12),0)+Parameters!$C$42*MAX(AC130-(24),0)),0)</f>
        <v/>
      </c>
      <c r="BM130" s="22">
        <f>IFERROR(Parameters!$C$43*(MAX(AM130,0)*MIN(MAX(AK130,0),10))/100,0)</f>
        <v/>
      </c>
      <c r="BN130" s="22">
        <f>Parameters!$C$44*AE130</f>
        <v/>
      </c>
      <c r="BO130" s="22">
        <f>Parameters!$C$45*AU130 + Parameters!$C$46*AV130 + Parameters!$C$47*AW130 + Parameters!$C$48*AX130 + Parameters!$C$49*AY130 + Parameters!$C$50*AZ130 + Parameters!$C$51*BA130</f>
        <v/>
      </c>
      <c r="BP130" s="22">
        <f>Parameters!$C$52*AQ130</f>
        <v/>
      </c>
      <c r="BQ130" s="22">
        <f>Parameters!$C$53*AR130+Parameters!$C$54*AS130+Parameters!$C$55*AT130</f>
        <v/>
      </c>
      <c r="BR130" s="22">
        <f>Parameters!$C$56*BB130+Parameters!$C$57*BC130+Parameters!$C$58*BD130+Parameters!$C$59*BE130</f>
        <v/>
      </c>
      <c r="BS130" s="23">
        <f>Parameters!$B$2</f>
        <v/>
      </c>
      <c r="BT130" s="23">
        <f>BS130+BF130 + BG130 + BH130 + BI130 + BJ130 + BK130 + BL130 + BM130 + BN130 + BO130 + BP130 + BQ130 + BR130</f>
        <v/>
      </c>
      <c r="BU130" s="24">
        <f>IF(AD130=1,0,1/(1+EXP(-BT130))*Parameters!$B$3)</f>
        <v/>
      </c>
      <c r="BV130" s="25">
        <f>(1-(1-BU130)^12)*100</f>
        <v/>
      </c>
      <c r="BW130" s="25">
        <f>IF(AD130=1,0,(1-(1-1/(1+EXP(-Parameters!$B$2)))^12)*100)</f>
        <v/>
      </c>
      <c r="BX130" s="25">
        <f>IF(AD130=1,0,BV130-(1-(1-(1/(1+EXP(-(BT130-BF130)))*Parameters!$B$3))^12)*100)</f>
        <v/>
      </c>
      <c r="BY130" s="25">
        <f>IF(AD130=1,0,BV130-(1-(1-(1/(1+EXP(-(BT130-BG130)))*Parameters!$B$3))^12)*100)</f>
        <v/>
      </c>
      <c r="BZ130" s="25">
        <f>IF(AD130=1,0,BV130-(1-(1-(1/(1+EXP(-(BT130-BH130)))*Parameters!$B$3))^12)*100)</f>
        <v/>
      </c>
      <c r="CA130" s="25">
        <f>IF(AD130=1,0,BV130-(1-(1-(1/(1+EXP(-(BT130-BI130)))*Parameters!$B$3))^12)*100)</f>
        <v/>
      </c>
      <c r="CB130" s="25">
        <f>IF(AD130=1,0,BV130-(1-(1-(1/(1+EXP(-(BT130-BJ130)))*Parameters!$B$3))^12)*100)</f>
        <v/>
      </c>
      <c r="CC130" s="25">
        <f>IF(AD130=1,0,BV130-(1-(1-(1/(1+EXP(-(BT130-BK130)))*Parameters!$B$3))^12)*100)</f>
        <v/>
      </c>
      <c r="CD130" s="25">
        <f>IF(AD130=1,0,BV130-(1-(1-(1/(1+EXP(-(BT130-BL130)))*Parameters!$B$3))^12)*100)</f>
        <v/>
      </c>
      <c r="CE130" s="25">
        <f>IF(AD130=1,0,BV130-(1-(1-(1/(1+EXP(-(BT130-BM130)))*Parameters!$B$3))^12)*100)</f>
        <v/>
      </c>
      <c r="CF130" s="25">
        <f>IF(AD130=1,0,BV130-(1-(1-(1/(1+EXP(-(BT130-BN130)))*Parameters!$B$3))^12)*100)</f>
        <v/>
      </c>
      <c r="CG130" s="25">
        <f>IF(AD130=1,0,BV130-(1-(1-(1/(1+EXP(-(BT130-BO130)))*Parameters!$B$3))^12)*100)</f>
        <v/>
      </c>
      <c r="CH130" s="25">
        <f>IF(AD130=1,0,BV130-(1-(1-(1/(1+EXP(-(BT130-BP130)))*Parameters!$B$3))^12)*100)</f>
        <v/>
      </c>
      <c r="CI130" s="25">
        <f>IF(AD130=1,0,BV130-(1-(1-(1/(1+EXP(-(BT130-BQ130)))*Parameters!$B$3))^12)*100)</f>
        <v/>
      </c>
      <c r="CJ130" s="25">
        <f>IF(AD130=1,0,BV130-(1-(1-(1/(1+EXP(-(BT130-BR130)))*Parameters!$B$3))^12)*100)</f>
        <v/>
      </c>
    </row>
    <row r="131">
      <c r="A131" s="17" t="inlineStr">
        <is>
          <t>GNR_HC_2020</t>
        </is>
      </c>
      <c r="B131" s="17" t="inlineStr">
        <is>
          <t>3617WAR44</t>
        </is>
      </c>
      <c r="C131" s="17" t="inlineStr">
        <is>
          <t>PN</t>
        </is>
      </c>
      <c r="D131" s="17" t="inlineStr">
        <is>
          <t>MERCHANTS CAPITAL CORP.</t>
        </is>
      </c>
      <c r="E131" s="17" t="inlineStr">
        <is>
          <t>3617WAR44_000000011422132</t>
        </is>
      </c>
      <c r="F131" s="17" t="n">
        <v>202603</v>
      </c>
      <c r="G131" s="18" t="n">
        <v>2.41</v>
      </c>
      <c r="H131" s="19" t="n">
        <v>11327121.45</v>
      </c>
      <c r="I131" s="17" t="n">
        <v>420</v>
      </c>
      <c r="J131" s="17" t="n">
        <v>20210801</v>
      </c>
      <c r="K131" s="17" t="n">
        <v>20560901</v>
      </c>
      <c r="L131" s="17" t="n"/>
      <c r="M131" s="17" t="n">
        <v>20310930</v>
      </c>
      <c r="N131" s="17" t="n">
        <v>10</v>
      </c>
      <c r="O131" s="17" t="inlineStr">
        <is>
          <t>232/223(F)</t>
        </is>
      </c>
      <c r="P131" s="17" t="inlineStr">
        <is>
          <t>MKT</t>
        </is>
      </c>
      <c r="Q131" s="17" t="n"/>
      <c r="R131" s="17" t="n"/>
      <c r="S131" s="17" t="n"/>
      <c r="T131" s="17" t="inlineStr">
        <is>
          <t>TX</t>
        </is>
      </c>
      <c r="U131" s="17" t="n">
        <v>63</v>
      </c>
      <c r="V131" s="17" t="n">
        <v>490.5</v>
      </c>
      <c r="W131" s="17" t="n">
        <v>55</v>
      </c>
      <c r="X131" s="17" t="n">
        <v>2021</v>
      </c>
      <c r="Y131" s="17" t="n">
        <v>-17</v>
      </c>
      <c r="Z131" s="17" t="n">
        <v>6</v>
      </c>
      <c r="AA131" s="20">
        <f>IF(ISNUMBER(W131),W131,IFERROR(MAX(0,(VALUE(LEFT(F131,4))-VALUE(LEFT(TEXT(J131,"00000000"),4)))*12+(VALUE(MID(F131,5,2))-VALUE(MID(TEXT(J131,"00000000"),5,2)))),""))</f>
        <v/>
      </c>
      <c r="AB131" s="20">
        <f>IFERROR((VALUE(LEFT(TEXT(K131,"00000000"),4))-VALUE(LEFT(F131,4)))*12+(VALUE(MID(TEXT(K131,"00000000"),5,2))-VALUE(MID(F131,5,2))),"")</f>
        <v/>
      </c>
      <c r="AC131" s="20">
        <f>IF(OR(L131="",NOT(ISNUMBER(L131))),0,MAX(0,MIN(60,(VALUE(LEFT(F131,4))-VALUE(LEFT(TEXT(L131,"00000000"),4)))*12+(VALUE(MID(F131,5,2))-VALUE(MID(TEXT(L131,"00000000"),5,2))))))</f>
        <v/>
      </c>
      <c r="AD131" s="20">
        <f>IF(OR(L131="",NOT(ISNUMBER(L131))),0,IF(VALUE(F131)&lt;VALUE(LEFT(TEXT(L131,"00000000"),6)),1,0))</f>
        <v/>
      </c>
      <c r="AE131" s="20">
        <f>IF(OR(M131="",NOT(ISNUMBER(M131))),0,IF(VALUE(F131)&lt;VALUE(LEFT(TEXT(M131,"00000000"),6)),1,0))</f>
        <v/>
      </c>
      <c r="AF131" s="20">
        <f>IF(AND(AD131=0,AE131=0),1,0)</f>
        <v/>
      </c>
      <c r="AG131" s="20">
        <f>IF(ISNUMBER(X131),X131,IFERROR(VALUE(LEFT(TEXT(J131,"00000000"),4)),""))</f>
        <v/>
      </c>
      <c r="AH131" s="20">
        <f>IFERROR(XLOOKUP(AG131,Vintage_Rates!$A$2:$A$1000,Vintage_Rates!$B$2:$B$1000,""),"")</f>
        <v/>
      </c>
      <c r="AI131" s="20">
        <f>IF(ISNUMBER(Y131),Y131,IFERROR((G131-AH131)*100,""))</f>
        <v/>
      </c>
      <c r="AJ131" s="20">
        <f>IF(ISNUMBER(V131),V131,IFERROR(XLOOKUP(VALUE(F131),PLC_Rates!$A$2:$A$1000,PLC_Rates!$B$2:$B$1000,""),""))</f>
        <v/>
      </c>
      <c r="AK131" s="20">
        <f>IF(ISNUMBER(Z131),Z131,IF(AE131=0,0,MAX(0,MIN(10,((VALUE(LEFT(TEXT(M131,"00000000"),4))-VALUE(LEFT(F131,4)))*12+(VALUE(MID(TEXT(M131,"00000000"),5,2))-VALUE(MID(F131,5,2))))/12))))</f>
        <v/>
      </c>
      <c r="AL131" s="20">
        <f>IFERROR(G131*100-AJ131,"")</f>
        <v/>
      </c>
      <c r="AM131" s="20">
        <f>IFERROR(G131*100-(AJ131+(1+AK131)*12.5),"")</f>
        <v/>
      </c>
      <c r="AN131" s="21">
        <f>IFERROR(MIN(H131/1000000,100),"")</f>
        <v/>
      </c>
      <c r="AO131" s="20">
        <f>IFERROR(INDEX(FHA_Lookup!$B$2:$B$11,MATCH(TRUE,ISNUMBER(SEARCH(FHA_Lookup!$A$2:$A$11,UPPER(SUBSTITUTE(O131," ","")))),0)),"OTHER")</f>
        <v/>
      </c>
      <c r="AP131" s="20">
        <f>IFERROR(INDEX(FHA_Lookup!$C$2:$C$11,MATCH(TRUE,ISNUMBER(SEARCH(FHA_Lookup!$A$2:$A$11,UPPER(SUBSTITUTE(O131," ","")))),0)),"OTHER")</f>
        <v/>
      </c>
      <c r="AQ131" s="20">
        <f>IF(AP131="NC",1,0)</f>
        <v/>
      </c>
      <c r="AR131" s="20">
        <f>IF(UPPER(TRIM(P131))="AFF",1,0)</f>
        <v/>
      </c>
      <c r="AS131" s="20">
        <f>IF(UPPER(TRIM(P131))="BAF",1,0)</f>
        <v/>
      </c>
      <c r="AT131" s="20">
        <f>IF(UPPER(TRIM(P131))="MKT",1,0)</f>
        <v/>
      </c>
      <c r="AU131" s="20">
        <f>IF(AO131="221d4",1,0)</f>
        <v/>
      </c>
      <c r="AV131" s="20">
        <f>IF(AO131="223a7",1,0)</f>
        <v/>
      </c>
      <c r="AW131" s="20">
        <f>IF(AO131="232",1,0)</f>
        <v/>
      </c>
      <c r="AX131" s="20">
        <f>IF(AO131="538",1,0)</f>
        <v/>
      </c>
      <c r="AY131" s="20">
        <f>IF(AO131="241",1,0)</f>
        <v/>
      </c>
      <c r="AZ131" s="20">
        <f>IF(AO131="220",1,0)</f>
        <v/>
      </c>
      <c r="BA131" s="20">
        <f>IF(AO131="OTHER",1,0)</f>
        <v/>
      </c>
      <c r="BB131" s="20">
        <f>IF(UPPER(TRIM(C131))="LM",1,0)</f>
        <v/>
      </c>
      <c r="BC131" s="20">
        <f>IF(UPPER(TRIM(C131))="PN",1,0)</f>
        <v/>
      </c>
      <c r="BD131" s="20">
        <f>IF(UPPER(TRIM(C131))="LS",1,0)</f>
        <v/>
      </c>
      <c r="BE131" s="20">
        <f>IF(UPPER(TRIM(C131))="RX",1,0)</f>
        <v/>
      </c>
      <c r="BF131" s="22">
        <f>IFERROR((Parameters!$C$6*AM131+Parameters!$C$7*MAX(AM131-(-150),0)+Parameters!$C$8*MAX(AM131-(-50),0)+Parameters!$C$9*MAX(AM131-(0),0)+Parameters!$C$10*MAX(AM131-(50),0)+Parameters!$C$11*MAX(AM131-(100),0)+Parameters!$C$12*MAX(AM131-(150),0)+Parameters!$C$13*MAX(AM131-(250),0)),0)</f>
        <v/>
      </c>
      <c r="BG131" s="22">
        <f>IFERROR((Parameters!$C$14*AA131+Parameters!$C$15*MAX(AA131-(12),0)+Parameters!$C$16*MAX(AA131-(36),0)+Parameters!$C$17*MAX(AA131-(60),0)+Parameters!$C$18*MAX(AA131-(84),0)+Parameters!$C$19*MAX(AA131-(120),0)+Parameters!$C$20*MAX(AA131-(180),0)),0)</f>
        <v/>
      </c>
      <c r="BH131" s="22">
        <f>IFERROR((Parameters!$C$21*AK131+Parameters!$C$22*MAX(AK131-(0),0)+Parameters!$C$23*MAX(AK131-(2),0)+Parameters!$C$24*MAX(AK131-(5),0)+Parameters!$C$25*MAX(AK131-(8),0)),0)</f>
        <v/>
      </c>
      <c r="BI131" s="22">
        <f>IFERROR((Parameters!$C$26*AI131+Parameters!$C$27*MAX(AI131-(-100),0)+Parameters!$C$28*MAX(AI131-(-25),0)+Parameters!$C$29*MAX(AI131-(25),0)+Parameters!$C$30*MAX(AI131-(100),0)),0)</f>
        <v/>
      </c>
      <c r="BJ131" s="22">
        <f>IFERROR((Parameters!$C$31*AN131+Parameters!$C$32*MAX(AN131-(2),0)+Parameters!$C$33*MAX(AN131-(10),0)+Parameters!$C$34*MAX(AN131-(25),0)),0)</f>
        <v/>
      </c>
      <c r="BK131" s="22">
        <f>IFERROR((Parameters!$C$35*AB131+Parameters!$C$36*MAX(AB131-(12),0)+Parameters!$C$37*MAX(AB131-(24),0)+Parameters!$C$38*MAX(AB131-(60),0)),0)</f>
        <v/>
      </c>
      <c r="BL131" s="22">
        <f>IFERROR((Parameters!$C$39*AC131+Parameters!$C$40*MAX(AC131-(6),0)+Parameters!$C$41*MAX(AC131-(12),0)+Parameters!$C$42*MAX(AC131-(24),0)),0)</f>
        <v/>
      </c>
      <c r="BM131" s="22">
        <f>IFERROR(Parameters!$C$43*(MAX(AM131,0)*MIN(MAX(AK131,0),10))/100,0)</f>
        <v/>
      </c>
      <c r="BN131" s="22">
        <f>Parameters!$C$44*AE131</f>
        <v/>
      </c>
      <c r="BO131" s="22">
        <f>Parameters!$C$45*AU131 + Parameters!$C$46*AV131 + Parameters!$C$47*AW131 + Parameters!$C$48*AX131 + Parameters!$C$49*AY131 + Parameters!$C$50*AZ131 + Parameters!$C$51*BA131</f>
        <v/>
      </c>
      <c r="BP131" s="22">
        <f>Parameters!$C$52*AQ131</f>
        <v/>
      </c>
      <c r="BQ131" s="22">
        <f>Parameters!$C$53*AR131+Parameters!$C$54*AS131+Parameters!$C$55*AT131</f>
        <v/>
      </c>
      <c r="BR131" s="22">
        <f>Parameters!$C$56*BB131+Parameters!$C$57*BC131+Parameters!$C$58*BD131+Parameters!$C$59*BE131</f>
        <v/>
      </c>
      <c r="BS131" s="23">
        <f>Parameters!$B$2</f>
        <v/>
      </c>
      <c r="BT131" s="23">
        <f>BS131+BF131 + BG131 + BH131 + BI131 + BJ131 + BK131 + BL131 + BM131 + BN131 + BO131 + BP131 + BQ131 + BR131</f>
        <v/>
      </c>
      <c r="BU131" s="24">
        <f>IF(AD131=1,0,1/(1+EXP(-BT131))*Parameters!$B$3)</f>
        <v/>
      </c>
      <c r="BV131" s="25">
        <f>(1-(1-BU131)^12)*100</f>
        <v/>
      </c>
      <c r="BW131" s="25">
        <f>IF(AD131=1,0,(1-(1-1/(1+EXP(-Parameters!$B$2)))^12)*100)</f>
        <v/>
      </c>
      <c r="BX131" s="25">
        <f>IF(AD131=1,0,BV131-(1-(1-(1/(1+EXP(-(BT131-BF131)))*Parameters!$B$3))^12)*100)</f>
        <v/>
      </c>
      <c r="BY131" s="25">
        <f>IF(AD131=1,0,BV131-(1-(1-(1/(1+EXP(-(BT131-BG131)))*Parameters!$B$3))^12)*100)</f>
        <v/>
      </c>
      <c r="BZ131" s="25">
        <f>IF(AD131=1,0,BV131-(1-(1-(1/(1+EXP(-(BT131-BH131)))*Parameters!$B$3))^12)*100)</f>
        <v/>
      </c>
      <c r="CA131" s="25">
        <f>IF(AD131=1,0,BV131-(1-(1-(1/(1+EXP(-(BT131-BI131)))*Parameters!$B$3))^12)*100)</f>
        <v/>
      </c>
      <c r="CB131" s="25">
        <f>IF(AD131=1,0,BV131-(1-(1-(1/(1+EXP(-(BT131-BJ131)))*Parameters!$B$3))^12)*100)</f>
        <v/>
      </c>
      <c r="CC131" s="25">
        <f>IF(AD131=1,0,BV131-(1-(1-(1/(1+EXP(-(BT131-BK131)))*Parameters!$B$3))^12)*100)</f>
        <v/>
      </c>
      <c r="CD131" s="25">
        <f>IF(AD131=1,0,BV131-(1-(1-(1/(1+EXP(-(BT131-BL131)))*Parameters!$B$3))^12)*100)</f>
        <v/>
      </c>
      <c r="CE131" s="25">
        <f>IF(AD131=1,0,BV131-(1-(1-(1/(1+EXP(-(BT131-BM131)))*Parameters!$B$3))^12)*100)</f>
        <v/>
      </c>
      <c r="CF131" s="25">
        <f>IF(AD131=1,0,BV131-(1-(1-(1/(1+EXP(-(BT131-BN131)))*Parameters!$B$3))^12)*100)</f>
        <v/>
      </c>
      <c r="CG131" s="25">
        <f>IF(AD131=1,0,BV131-(1-(1-(1/(1+EXP(-(BT131-BO131)))*Parameters!$B$3))^12)*100)</f>
        <v/>
      </c>
      <c r="CH131" s="25">
        <f>IF(AD131=1,0,BV131-(1-(1-(1/(1+EXP(-(BT131-BP131)))*Parameters!$B$3))^12)*100)</f>
        <v/>
      </c>
      <c r="CI131" s="25">
        <f>IF(AD131=1,0,BV131-(1-(1-(1/(1+EXP(-(BT131-BQ131)))*Parameters!$B$3))^12)*100)</f>
        <v/>
      </c>
      <c r="CJ131" s="25">
        <f>IF(AD131=1,0,BV131-(1-(1-(1/(1+EXP(-(BT131-BR131)))*Parameters!$B$3))^12)*100)</f>
        <v/>
      </c>
    </row>
    <row r="132">
      <c r="A132" s="17" t="inlineStr">
        <is>
          <t>GNR_HC_2020</t>
        </is>
      </c>
      <c r="B132" s="17" t="inlineStr">
        <is>
          <t>3617LWF58</t>
        </is>
      </c>
      <c r="C132" s="17" t="inlineStr">
        <is>
          <t>LM</t>
        </is>
      </c>
      <c r="D132" s="17" t="inlineStr">
        <is>
          <t>M&amp;T REALTY CAPITAL CORPORATION</t>
        </is>
      </c>
      <c r="E132" s="17" t="inlineStr">
        <is>
          <t>3617LWF58_000000001422152</t>
        </is>
      </c>
      <c r="F132" s="17" t="n">
        <v>202603</v>
      </c>
      <c r="G132" s="18" t="n">
        <v>4.05</v>
      </c>
      <c r="H132" s="19" t="n">
        <v>9228687.68</v>
      </c>
      <c r="I132" s="17" t="n">
        <v>420</v>
      </c>
      <c r="J132" s="17" t="n">
        <v>20181001</v>
      </c>
      <c r="K132" s="17" t="n">
        <v>20531101</v>
      </c>
      <c r="L132" s="17" t="n"/>
      <c r="M132" s="17" t="n">
        <v>20300601</v>
      </c>
      <c r="N132" s="17" t="n">
        <v>10</v>
      </c>
      <c r="O132" s="17" t="inlineStr">
        <is>
          <t>232/223(F)</t>
        </is>
      </c>
      <c r="P132" s="17" t="inlineStr">
        <is>
          <t>MKT</t>
        </is>
      </c>
      <c r="Q132" s="17" t="inlineStr">
        <is>
          <t>M</t>
        </is>
      </c>
      <c r="R132" s="17" t="n"/>
      <c r="S132" s="17" t="n">
        <v>1</v>
      </c>
      <c r="T132" s="17" t="inlineStr">
        <is>
          <t>NY</t>
        </is>
      </c>
      <c r="U132" s="17" t="n">
        <v>139</v>
      </c>
      <c r="V132" s="17" t="n">
        <v>490.5</v>
      </c>
      <c r="W132" s="17" t="n">
        <v>89</v>
      </c>
      <c r="X132" s="17" t="n">
        <v>2018</v>
      </c>
      <c r="Y132" s="17" t="n">
        <v>3</v>
      </c>
      <c r="Z132" s="17" t="n">
        <v>6</v>
      </c>
      <c r="AA132" s="20">
        <f>IF(ISNUMBER(W132),W132,IFERROR(MAX(0,(VALUE(LEFT(F132,4))-VALUE(LEFT(TEXT(J132,"00000000"),4)))*12+(VALUE(MID(F132,5,2))-VALUE(MID(TEXT(J132,"00000000"),5,2)))),""))</f>
        <v/>
      </c>
      <c r="AB132" s="20">
        <f>IFERROR((VALUE(LEFT(TEXT(K132,"00000000"),4))-VALUE(LEFT(F132,4)))*12+(VALUE(MID(TEXT(K132,"00000000"),5,2))-VALUE(MID(F132,5,2))),"")</f>
        <v/>
      </c>
      <c r="AC132" s="20">
        <f>IF(OR(L132="",NOT(ISNUMBER(L132))),0,MAX(0,MIN(60,(VALUE(LEFT(F132,4))-VALUE(LEFT(TEXT(L132,"00000000"),4)))*12+(VALUE(MID(F132,5,2))-VALUE(MID(TEXT(L132,"00000000"),5,2))))))</f>
        <v/>
      </c>
      <c r="AD132" s="20">
        <f>IF(OR(L132="",NOT(ISNUMBER(L132))),0,IF(VALUE(F132)&lt;VALUE(LEFT(TEXT(L132,"00000000"),6)),1,0))</f>
        <v/>
      </c>
      <c r="AE132" s="20">
        <f>IF(OR(M132="",NOT(ISNUMBER(M132))),0,IF(VALUE(F132)&lt;VALUE(LEFT(TEXT(M132,"00000000"),6)),1,0))</f>
        <v/>
      </c>
      <c r="AF132" s="20">
        <f>IF(AND(AD132=0,AE132=0),1,0)</f>
        <v/>
      </c>
      <c r="AG132" s="20">
        <f>IF(ISNUMBER(X132),X132,IFERROR(VALUE(LEFT(TEXT(J132,"00000000"),4)),""))</f>
        <v/>
      </c>
      <c r="AH132" s="20">
        <f>IFERROR(XLOOKUP(AG132,Vintage_Rates!$A$2:$A$1000,Vintage_Rates!$B$2:$B$1000,""),"")</f>
        <v/>
      </c>
      <c r="AI132" s="20">
        <f>IF(ISNUMBER(Y132),Y132,IFERROR((G132-AH132)*100,""))</f>
        <v/>
      </c>
      <c r="AJ132" s="20">
        <f>IF(ISNUMBER(V132),V132,IFERROR(XLOOKUP(VALUE(F132),PLC_Rates!$A$2:$A$1000,PLC_Rates!$B$2:$B$1000,""),""))</f>
        <v/>
      </c>
      <c r="AK132" s="20">
        <f>IF(ISNUMBER(Z132),Z132,IF(AE132=0,0,MAX(0,MIN(10,((VALUE(LEFT(TEXT(M132,"00000000"),4))-VALUE(LEFT(F132,4)))*12+(VALUE(MID(TEXT(M132,"00000000"),5,2))-VALUE(MID(F132,5,2))))/12))))</f>
        <v/>
      </c>
      <c r="AL132" s="20">
        <f>IFERROR(G132*100-AJ132,"")</f>
        <v/>
      </c>
      <c r="AM132" s="20">
        <f>IFERROR(G132*100-(AJ132+(1+AK132)*12.5),"")</f>
        <v/>
      </c>
      <c r="AN132" s="21">
        <f>IFERROR(MIN(H132/1000000,100),"")</f>
        <v/>
      </c>
      <c r="AO132" s="20">
        <f>IFERROR(INDEX(FHA_Lookup!$B$2:$B$11,MATCH(TRUE,ISNUMBER(SEARCH(FHA_Lookup!$A$2:$A$11,UPPER(SUBSTITUTE(O132," ","")))),0)),"OTHER")</f>
        <v/>
      </c>
      <c r="AP132" s="20">
        <f>IFERROR(INDEX(FHA_Lookup!$C$2:$C$11,MATCH(TRUE,ISNUMBER(SEARCH(FHA_Lookup!$A$2:$A$11,UPPER(SUBSTITUTE(O132," ","")))),0)),"OTHER")</f>
        <v/>
      </c>
      <c r="AQ132" s="20">
        <f>IF(AP132="NC",1,0)</f>
        <v/>
      </c>
      <c r="AR132" s="20">
        <f>IF(UPPER(TRIM(P132))="AFF",1,0)</f>
        <v/>
      </c>
      <c r="AS132" s="20">
        <f>IF(UPPER(TRIM(P132))="BAF",1,0)</f>
        <v/>
      </c>
      <c r="AT132" s="20">
        <f>IF(UPPER(TRIM(P132))="MKT",1,0)</f>
        <v/>
      </c>
      <c r="AU132" s="20">
        <f>IF(AO132="221d4",1,0)</f>
        <v/>
      </c>
      <c r="AV132" s="20">
        <f>IF(AO132="223a7",1,0)</f>
        <v/>
      </c>
      <c r="AW132" s="20">
        <f>IF(AO132="232",1,0)</f>
        <v/>
      </c>
      <c r="AX132" s="20">
        <f>IF(AO132="538",1,0)</f>
        <v/>
      </c>
      <c r="AY132" s="20">
        <f>IF(AO132="241",1,0)</f>
        <v/>
      </c>
      <c r="AZ132" s="20">
        <f>IF(AO132="220",1,0)</f>
        <v/>
      </c>
      <c r="BA132" s="20">
        <f>IF(AO132="OTHER",1,0)</f>
        <v/>
      </c>
      <c r="BB132" s="20">
        <f>IF(UPPER(TRIM(C132))="LM",1,0)</f>
        <v/>
      </c>
      <c r="BC132" s="20">
        <f>IF(UPPER(TRIM(C132))="PN",1,0)</f>
        <v/>
      </c>
      <c r="BD132" s="20">
        <f>IF(UPPER(TRIM(C132))="LS",1,0)</f>
        <v/>
      </c>
      <c r="BE132" s="20">
        <f>IF(UPPER(TRIM(C132))="RX",1,0)</f>
        <v/>
      </c>
      <c r="BF132" s="22">
        <f>IFERROR((Parameters!$C$6*AM132+Parameters!$C$7*MAX(AM132-(-150),0)+Parameters!$C$8*MAX(AM132-(-50),0)+Parameters!$C$9*MAX(AM132-(0),0)+Parameters!$C$10*MAX(AM132-(50),0)+Parameters!$C$11*MAX(AM132-(100),0)+Parameters!$C$12*MAX(AM132-(150),0)+Parameters!$C$13*MAX(AM132-(250),0)),0)</f>
        <v/>
      </c>
      <c r="BG132" s="22">
        <f>IFERROR((Parameters!$C$14*AA132+Parameters!$C$15*MAX(AA132-(12),0)+Parameters!$C$16*MAX(AA132-(36),0)+Parameters!$C$17*MAX(AA132-(60),0)+Parameters!$C$18*MAX(AA132-(84),0)+Parameters!$C$19*MAX(AA132-(120),0)+Parameters!$C$20*MAX(AA132-(180),0)),0)</f>
        <v/>
      </c>
      <c r="BH132" s="22">
        <f>IFERROR((Parameters!$C$21*AK132+Parameters!$C$22*MAX(AK132-(0),0)+Parameters!$C$23*MAX(AK132-(2),0)+Parameters!$C$24*MAX(AK132-(5),0)+Parameters!$C$25*MAX(AK132-(8),0)),0)</f>
        <v/>
      </c>
      <c r="BI132" s="22">
        <f>IFERROR((Parameters!$C$26*AI132+Parameters!$C$27*MAX(AI132-(-100),0)+Parameters!$C$28*MAX(AI132-(-25),0)+Parameters!$C$29*MAX(AI132-(25),0)+Parameters!$C$30*MAX(AI132-(100),0)),0)</f>
        <v/>
      </c>
      <c r="BJ132" s="22">
        <f>IFERROR((Parameters!$C$31*AN132+Parameters!$C$32*MAX(AN132-(2),0)+Parameters!$C$33*MAX(AN132-(10),0)+Parameters!$C$34*MAX(AN132-(25),0)),0)</f>
        <v/>
      </c>
      <c r="BK132" s="22">
        <f>IFERROR((Parameters!$C$35*AB132+Parameters!$C$36*MAX(AB132-(12),0)+Parameters!$C$37*MAX(AB132-(24),0)+Parameters!$C$38*MAX(AB132-(60),0)),0)</f>
        <v/>
      </c>
      <c r="BL132" s="22">
        <f>IFERROR((Parameters!$C$39*AC132+Parameters!$C$40*MAX(AC132-(6),0)+Parameters!$C$41*MAX(AC132-(12),0)+Parameters!$C$42*MAX(AC132-(24),0)),0)</f>
        <v/>
      </c>
      <c r="BM132" s="22">
        <f>IFERROR(Parameters!$C$43*(MAX(AM132,0)*MIN(MAX(AK132,0),10))/100,0)</f>
        <v/>
      </c>
      <c r="BN132" s="22">
        <f>Parameters!$C$44*AE132</f>
        <v/>
      </c>
      <c r="BO132" s="22">
        <f>Parameters!$C$45*AU132 + Parameters!$C$46*AV132 + Parameters!$C$47*AW132 + Parameters!$C$48*AX132 + Parameters!$C$49*AY132 + Parameters!$C$50*AZ132 + Parameters!$C$51*BA132</f>
        <v/>
      </c>
      <c r="BP132" s="22">
        <f>Parameters!$C$52*AQ132</f>
        <v/>
      </c>
      <c r="BQ132" s="22">
        <f>Parameters!$C$53*AR132+Parameters!$C$54*AS132+Parameters!$C$55*AT132</f>
        <v/>
      </c>
      <c r="BR132" s="22">
        <f>Parameters!$C$56*BB132+Parameters!$C$57*BC132+Parameters!$C$58*BD132+Parameters!$C$59*BE132</f>
        <v/>
      </c>
      <c r="BS132" s="23">
        <f>Parameters!$B$2</f>
        <v/>
      </c>
      <c r="BT132" s="23">
        <f>BS132+BF132 + BG132 + BH132 + BI132 + BJ132 + BK132 + BL132 + BM132 + BN132 + BO132 + BP132 + BQ132 + BR132</f>
        <v/>
      </c>
      <c r="BU132" s="24">
        <f>IF(AD132=1,0,1/(1+EXP(-BT132))*Parameters!$B$3)</f>
        <v/>
      </c>
      <c r="BV132" s="25">
        <f>(1-(1-BU132)^12)*100</f>
        <v/>
      </c>
      <c r="BW132" s="25">
        <f>IF(AD132=1,0,(1-(1-1/(1+EXP(-Parameters!$B$2)))^12)*100)</f>
        <v/>
      </c>
      <c r="BX132" s="25">
        <f>IF(AD132=1,0,BV132-(1-(1-(1/(1+EXP(-(BT132-BF132)))*Parameters!$B$3))^12)*100)</f>
        <v/>
      </c>
      <c r="BY132" s="25">
        <f>IF(AD132=1,0,BV132-(1-(1-(1/(1+EXP(-(BT132-BG132)))*Parameters!$B$3))^12)*100)</f>
        <v/>
      </c>
      <c r="BZ132" s="25">
        <f>IF(AD132=1,0,BV132-(1-(1-(1/(1+EXP(-(BT132-BH132)))*Parameters!$B$3))^12)*100)</f>
        <v/>
      </c>
      <c r="CA132" s="25">
        <f>IF(AD132=1,0,BV132-(1-(1-(1/(1+EXP(-(BT132-BI132)))*Parameters!$B$3))^12)*100)</f>
        <v/>
      </c>
      <c r="CB132" s="25">
        <f>IF(AD132=1,0,BV132-(1-(1-(1/(1+EXP(-(BT132-BJ132)))*Parameters!$B$3))^12)*100)</f>
        <v/>
      </c>
      <c r="CC132" s="25">
        <f>IF(AD132=1,0,BV132-(1-(1-(1/(1+EXP(-(BT132-BK132)))*Parameters!$B$3))^12)*100)</f>
        <v/>
      </c>
      <c r="CD132" s="25">
        <f>IF(AD132=1,0,BV132-(1-(1-(1/(1+EXP(-(BT132-BL132)))*Parameters!$B$3))^12)*100)</f>
        <v/>
      </c>
      <c r="CE132" s="25">
        <f>IF(AD132=1,0,BV132-(1-(1-(1/(1+EXP(-(BT132-BM132)))*Parameters!$B$3))^12)*100)</f>
        <v/>
      </c>
      <c r="CF132" s="25">
        <f>IF(AD132=1,0,BV132-(1-(1-(1/(1+EXP(-(BT132-BN132)))*Parameters!$B$3))^12)*100)</f>
        <v/>
      </c>
      <c r="CG132" s="25">
        <f>IF(AD132=1,0,BV132-(1-(1-(1/(1+EXP(-(BT132-BO132)))*Parameters!$B$3))^12)*100)</f>
        <v/>
      </c>
      <c r="CH132" s="25">
        <f>IF(AD132=1,0,BV132-(1-(1-(1/(1+EXP(-(BT132-BP132)))*Parameters!$B$3))^12)*100)</f>
        <v/>
      </c>
      <c r="CI132" s="25">
        <f>IF(AD132=1,0,BV132-(1-(1-(1/(1+EXP(-(BT132-BQ132)))*Parameters!$B$3))^12)*100)</f>
        <v/>
      </c>
      <c r="CJ132" s="25">
        <f>IF(AD132=1,0,BV132-(1-(1-(1/(1+EXP(-(BT132-BR132)))*Parameters!$B$3))^12)*100)</f>
        <v/>
      </c>
    </row>
    <row r="133">
      <c r="A133" s="17" t="inlineStr">
        <is>
          <t>GNR_HC_2020</t>
        </is>
      </c>
      <c r="B133" s="17" t="inlineStr">
        <is>
          <t>3617ULT99</t>
        </is>
      </c>
      <c r="C133" s="17" t="inlineStr">
        <is>
          <t>PN</t>
        </is>
      </c>
      <c r="D133" s="17" t="inlineStr">
        <is>
          <t>GERSHMAN INVESTMENT CORP.</t>
        </is>
      </c>
      <c r="E133" s="17" t="inlineStr">
        <is>
          <t>3617ULT99_000000007222201</t>
        </is>
      </c>
      <c r="F133" s="17" t="n">
        <v>202603</v>
      </c>
      <c r="G133" s="18" t="n">
        <v>2.6</v>
      </c>
      <c r="H133" s="19" t="n">
        <v>6073079.87</v>
      </c>
      <c r="I133" s="17" t="n">
        <v>420</v>
      </c>
      <c r="J133" s="17" t="n">
        <v>20210428</v>
      </c>
      <c r="K133" s="17" t="n">
        <v>20560501</v>
      </c>
      <c r="L133" s="17" t="n"/>
      <c r="M133" s="17" t="n">
        <v>20310601</v>
      </c>
      <c r="N133" s="17" t="n">
        <v>10</v>
      </c>
      <c r="O133" s="17" t="inlineStr">
        <is>
          <t>223(A)(7)/232/223(F)</t>
        </is>
      </c>
      <c r="P133" s="17" t="inlineStr">
        <is>
          <t>MKT</t>
        </is>
      </c>
      <c r="Q133" s="17" t="n"/>
      <c r="R133" s="17" t="n"/>
      <c r="S133" s="17" t="n"/>
      <c r="T133" s="17" t="inlineStr">
        <is>
          <t>IL</t>
        </is>
      </c>
      <c r="U133" s="17" t="n">
        <v>206</v>
      </c>
      <c r="V133" s="17" t="n">
        <v>490.5</v>
      </c>
      <c r="W133" s="17" t="n">
        <v>59</v>
      </c>
      <c r="X133" s="17" t="n">
        <v>2021</v>
      </c>
      <c r="Y133" s="17" t="n">
        <v>2</v>
      </c>
      <c r="Z133" s="17" t="n">
        <v>10</v>
      </c>
      <c r="AA133" s="20">
        <f>IF(ISNUMBER(W133),W133,IFERROR(MAX(0,(VALUE(LEFT(F133,4))-VALUE(LEFT(TEXT(J133,"00000000"),4)))*12+(VALUE(MID(F133,5,2))-VALUE(MID(TEXT(J133,"00000000"),5,2)))),""))</f>
        <v/>
      </c>
      <c r="AB133" s="20">
        <f>IFERROR((VALUE(LEFT(TEXT(K133,"00000000"),4))-VALUE(LEFT(F133,4)))*12+(VALUE(MID(TEXT(K133,"00000000"),5,2))-VALUE(MID(F133,5,2))),"")</f>
        <v/>
      </c>
      <c r="AC133" s="20">
        <f>IF(OR(L133="",NOT(ISNUMBER(L133))),0,MAX(0,MIN(60,(VALUE(LEFT(F133,4))-VALUE(LEFT(TEXT(L133,"00000000"),4)))*12+(VALUE(MID(F133,5,2))-VALUE(MID(TEXT(L133,"00000000"),5,2))))))</f>
        <v/>
      </c>
      <c r="AD133" s="20">
        <f>IF(OR(L133="",NOT(ISNUMBER(L133))),0,IF(VALUE(F133)&lt;VALUE(LEFT(TEXT(L133,"00000000"),6)),1,0))</f>
        <v/>
      </c>
      <c r="AE133" s="20">
        <f>IF(OR(M133="",NOT(ISNUMBER(M133))),0,IF(VALUE(F133)&lt;VALUE(LEFT(TEXT(M133,"00000000"),6)),1,0))</f>
        <v/>
      </c>
      <c r="AF133" s="20">
        <f>IF(AND(AD133=0,AE133=0),1,0)</f>
        <v/>
      </c>
      <c r="AG133" s="20">
        <f>IF(ISNUMBER(X133),X133,IFERROR(VALUE(LEFT(TEXT(J133,"00000000"),4)),""))</f>
        <v/>
      </c>
      <c r="AH133" s="20">
        <f>IFERROR(XLOOKUP(AG133,Vintage_Rates!$A$2:$A$1000,Vintage_Rates!$B$2:$B$1000,""),"")</f>
        <v/>
      </c>
      <c r="AI133" s="20">
        <f>IF(ISNUMBER(Y133),Y133,IFERROR((G133-AH133)*100,""))</f>
        <v/>
      </c>
      <c r="AJ133" s="20">
        <f>IF(ISNUMBER(V133),V133,IFERROR(XLOOKUP(VALUE(F133),PLC_Rates!$A$2:$A$1000,PLC_Rates!$B$2:$B$1000,""),""))</f>
        <v/>
      </c>
      <c r="AK133" s="20">
        <f>IF(ISNUMBER(Z133),Z133,IF(AE133=0,0,MAX(0,MIN(10,((VALUE(LEFT(TEXT(M133,"00000000"),4))-VALUE(LEFT(F133,4)))*12+(VALUE(MID(TEXT(M133,"00000000"),5,2))-VALUE(MID(F133,5,2))))/12))))</f>
        <v/>
      </c>
      <c r="AL133" s="20">
        <f>IFERROR(G133*100-AJ133,"")</f>
        <v/>
      </c>
      <c r="AM133" s="20">
        <f>IFERROR(G133*100-(AJ133+(1+AK133)*12.5),"")</f>
        <v/>
      </c>
      <c r="AN133" s="21">
        <f>IFERROR(MIN(H133/1000000,100),"")</f>
        <v/>
      </c>
      <c r="AO133" s="20">
        <f>IFERROR(INDEX(FHA_Lookup!$B$2:$B$11,MATCH(TRUE,ISNUMBER(SEARCH(FHA_Lookup!$A$2:$A$11,UPPER(SUBSTITUTE(O133," ","")))),0)),"OTHER")</f>
        <v/>
      </c>
      <c r="AP133" s="20">
        <f>IFERROR(INDEX(FHA_Lookup!$C$2:$C$11,MATCH(TRUE,ISNUMBER(SEARCH(FHA_Lookup!$A$2:$A$11,UPPER(SUBSTITUTE(O133," ","")))),0)),"OTHER")</f>
        <v/>
      </c>
      <c r="AQ133" s="20">
        <f>IF(AP133="NC",1,0)</f>
        <v/>
      </c>
      <c r="AR133" s="20">
        <f>IF(UPPER(TRIM(P133))="AFF",1,0)</f>
        <v/>
      </c>
      <c r="AS133" s="20">
        <f>IF(UPPER(TRIM(P133))="BAF",1,0)</f>
        <v/>
      </c>
      <c r="AT133" s="20">
        <f>IF(UPPER(TRIM(P133))="MKT",1,0)</f>
        <v/>
      </c>
      <c r="AU133" s="20">
        <f>IF(AO133="221d4",1,0)</f>
        <v/>
      </c>
      <c r="AV133" s="20">
        <f>IF(AO133="223a7",1,0)</f>
        <v/>
      </c>
      <c r="AW133" s="20">
        <f>IF(AO133="232",1,0)</f>
        <v/>
      </c>
      <c r="AX133" s="20">
        <f>IF(AO133="538",1,0)</f>
        <v/>
      </c>
      <c r="AY133" s="20">
        <f>IF(AO133="241",1,0)</f>
        <v/>
      </c>
      <c r="AZ133" s="20">
        <f>IF(AO133="220",1,0)</f>
        <v/>
      </c>
      <c r="BA133" s="20">
        <f>IF(AO133="OTHER",1,0)</f>
        <v/>
      </c>
      <c r="BB133" s="20">
        <f>IF(UPPER(TRIM(C133))="LM",1,0)</f>
        <v/>
      </c>
      <c r="BC133" s="20">
        <f>IF(UPPER(TRIM(C133))="PN",1,0)</f>
        <v/>
      </c>
      <c r="BD133" s="20">
        <f>IF(UPPER(TRIM(C133))="LS",1,0)</f>
        <v/>
      </c>
      <c r="BE133" s="20">
        <f>IF(UPPER(TRIM(C133))="RX",1,0)</f>
        <v/>
      </c>
      <c r="BF133" s="22">
        <f>IFERROR((Parameters!$C$6*AM133+Parameters!$C$7*MAX(AM133-(-150),0)+Parameters!$C$8*MAX(AM133-(-50),0)+Parameters!$C$9*MAX(AM133-(0),0)+Parameters!$C$10*MAX(AM133-(50),0)+Parameters!$C$11*MAX(AM133-(100),0)+Parameters!$C$12*MAX(AM133-(150),0)+Parameters!$C$13*MAX(AM133-(250),0)),0)</f>
        <v/>
      </c>
      <c r="BG133" s="22">
        <f>IFERROR((Parameters!$C$14*AA133+Parameters!$C$15*MAX(AA133-(12),0)+Parameters!$C$16*MAX(AA133-(36),0)+Parameters!$C$17*MAX(AA133-(60),0)+Parameters!$C$18*MAX(AA133-(84),0)+Parameters!$C$19*MAX(AA133-(120),0)+Parameters!$C$20*MAX(AA133-(180),0)),0)</f>
        <v/>
      </c>
      <c r="BH133" s="22">
        <f>IFERROR((Parameters!$C$21*AK133+Parameters!$C$22*MAX(AK133-(0),0)+Parameters!$C$23*MAX(AK133-(2),0)+Parameters!$C$24*MAX(AK133-(5),0)+Parameters!$C$25*MAX(AK133-(8),0)),0)</f>
        <v/>
      </c>
      <c r="BI133" s="22">
        <f>IFERROR((Parameters!$C$26*AI133+Parameters!$C$27*MAX(AI133-(-100),0)+Parameters!$C$28*MAX(AI133-(-25),0)+Parameters!$C$29*MAX(AI133-(25),0)+Parameters!$C$30*MAX(AI133-(100),0)),0)</f>
        <v/>
      </c>
      <c r="BJ133" s="22">
        <f>IFERROR((Parameters!$C$31*AN133+Parameters!$C$32*MAX(AN133-(2),0)+Parameters!$C$33*MAX(AN133-(10),0)+Parameters!$C$34*MAX(AN133-(25),0)),0)</f>
        <v/>
      </c>
      <c r="BK133" s="22">
        <f>IFERROR((Parameters!$C$35*AB133+Parameters!$C$36*MAX(AB133-(12),0)+Parameters!$C$37*MAX(AB133-(24),0)+Parameters!$C$38*MAX(AB133-(60),0)),0)</f>
        <v/>
      </c>
      <c r="BL133" s="22">
        <f>IFERROR((Parameters!$C$39*AC133+Parameters!$C$40*MAX(AC133-(6),0)+Parameters!$C$41*MAX(AC133-(12),0)+Parameters!$C$42*MAX(AC133-(24),0)),0)</f>
        <v/>
      </c>
      <c r="BM133" s="22">
        <f>IFERROR(Parameters!$C$43*(MAX(AM133,0)*MIN(MAX(AK133,0),10))/100,0)</f>
        <v/>
      </c>
      <c r="BN133" s="22">
        <f>Parameters!$C$44*AE133</f>
        <v/>
      </c>
      <c r="BO133" s="22">
        <f>Parameters!$C$45*AU133 + Parameters!$C$46*AV133 + Parameters!$C$47*AW133 + Parameters!$C$48*AX133 + Parameters!$C$49*AY133 + Parameters!$C$50*AZ133 + Parameters!$C$51*BA133</f>
        <v/>
      </c>
      <c r="BP133" s="22">
        <f>Parameters!$C$52*AQ133</f>
        <v/>
      </c>
      <c r="BQ133" s="22">
        <f>Parameters!$C$53*AR133+Parameters!$C$54*AS133+Parameters!$C$55*AT133</f>
        <v/>
      </c>
      <c r="BR133" s="22">
        <f>Parameters!$C$56*BB133+Parameters!$C$57*BC133+Parameters!$C$58*BD133+Parameters!$C$59*BE133</f>
        <v/>
      </c>
      <c r="BS133" s="23">
        <f>Parameters!$B$2</f>
        <v/>
      </c>
      <c r="BT133" s="23">
        <f>BS133+BF133 + BG133 + BH133 + BI133 + BJ133 + BK133 + BL133 + BM133 + BN133 + BO133 + BP133 + BQ133 + BR133</f>
        <v/>
      </c>
      <c r="BU133" s="24">
        <f>IF(AD133=1,0,1/(1+EXP(-BT133))*Parameters!$B$3)</f>
        <v/>
      </c>
      <c r="BV133" s="25">
        <f>(1-(1-BU133)^12)*100</f>
        <v/>
      </c>
      <c r="BW133" s="25">
        <f>IF(AD133=1,0,(1-(1-1/(1+EXP(-Parameters!$B$2)))^12)*100)</f>
        <v/>
      </c>
      <c r="BX133" s="25">
        <f>IF(AD133=1,0,BV133-(1-(1-(1/(1+EXP(-(BT133-BF133)))*Parameters!$B$3))^12)*100)</f>
        <v/>
      </c>
      <c r="BY133" s="25">
        <f>IF(AD133=1,0,BV133-(1-(1-(1/(1+EXP(-(BT133-BG133)))*Parameters!$B$3))^12)*100)</f>
        <v/>
      </c>
      <c r="BZ133" s="25">
        <f>IF(AD133=1,0,BV133-(1-(1-(1/(1+EXP(-(BT133-BH133)))*Parameters!$B$3))^12)*100)</f>
        <v/>
      </c>
      <c r="CA133" s="25">
        <f>IF(AD133=1,0,BV133-(1-(1-(1/(1+EXP(-(BT133-BI133)))*Parameters!$B$3))^12)*100)</f>
        <v/>
      </c>
      <c r="CB133" s="25">
        <f>IF(AD133=1,0,BV133-(1-(1-(1/(1+EXP(-(BT133-BJ133)))*Parameters!$B$3))^12)*100)</f>
        <v/>
      </c>
      <c r="CC133" s="25">
        <f>IF(AD133=1,0,BV133-(1-(1-(1/(1+EXP(-(BT133-BK133)))*Parameters!$B$3))^12)*100)</f>
        <v/>
      </c>
      <c r="CD133" s="25">
        <f>IF(AD133=1,0,BV133-(1-(1-(1/(1+EXP(-(BT133-BL133)))*Parameters!$B$3))^12)*100)</f>
        <v/>
      </c>
      <c r="CE133" s="25">
        <f>IF(AD133=1,0,BV133-(1-(1-(1/(1+EXP(-(BT133-BM133)))*Parameters!$B$3))^12)*100)</f>
        <v/>
      </c>
      <c r="CF133" s="25">
        <f>IF(AD133=1,0,BV133-(1-(1-(1/(1+EXP(-(BT133-BN133)))*Parameters!$B$3))^12)*100)</f>
        <v/>
      </c>
      <c r="CG133" s="25">
        <f>IF(AD133=1,0,BV133-(1-(1-(1/(1+EXP(-(BT133-BO133)))*Parameters!$B$3))^12)*100)</f>
        <v/>
      </c>
      <c r="CH133" s="25">
        <f>IF(AD133=1,0,BV133-(1-(1-(1/(1+EXP(-(BT133-BP133)))*Parameters!$B$3))^12)*100)</f>
        <v/>
      </c>
      <c r="CI133" s="25">
        <f>IF(AD133=1,0,BV133-(1-(1-(1/(1+EXP(-(BT133-BQ133)))*Parameters!$B$3))^12)*100)</f>
        <v/>
      </c>
      <c r="CJ133" s="25">
        <f>IF(AD133=1,0,BV133-(1-(1-(1/(1+EXP(-(BT133-BR133)))*Parameters!$B$3))^12)*100)</f>
        <v/>
      </c>
    </row>
    <row r="134">
      <c r="A134" s="17" t="inlineStr">
        <is>
          <t>GNR_HC_2020</t>
        </is>
      </c>
      <c r="B134" s="17" t="inlineStr">
        <is>
          <t>3617HJ3F3</t>
        </is>
      </c>
      <c r="C134" s="17" t="inlineStr">
        <is>
          <t>PN</t>
        </is>
      </c>
      <c r="D134" s="17" t="inlineStr">
        <is>
          <t>X-CALIBER CAPITAL LLC</t>
        </is>
      </c>
      <c r="E134" s="17" t="inlineStr">
        <is>
          <t>3617HJ3F3_000000005322221</t>
        </is>
      </c>
      <c r="F134" s="17" t="n">
        <v>202603</v>
      </c>
      <c r="G134" s="18" t="n">
        <v>4.6</v>
      </c>
      <c r="H134" s="19" t="n">
        <v>6188689.66</v>
      </c>
      <c r="I134" s="17" t="n">
        <v>420</v>
      </c>
      <c r="J134" s="17" t="n">
        <v>20180821</v>
      </c>
      <c r="K134" s="17" t="n">
        <v>20530901</v>
      </c>
      <c r="L134" s="17" t="n"/>
      <c r="M134" s="17" t="n">
        <v>20281001</v>
      </c>
      <c r="N134" s="17" t="n">
        <v>10</v>
      </c>
      <c r="O134" s="17" t="inlineStr">
        <is>
          <t>232/223(F)</t>
        </is>
      </c>
      <c r="P134" s="17" t="inlineStr">
        <is>
          <t>MKT</t>
        </is>
      </c>
      <c r="Q134" s="17" t="n"/>
      <c r="R134" s="17" t="n"/>
      <c r="S134" s="17" t="n"/>
      <c r="T134" s="17" t="inlineStr">
        <is>
          <t>NC</t>
        </is>
      </c>
      <c r="U134" s="17" t="n">
        <v>94</v>
      </c>
      <c r="V134" s="17" t="n">
        <v>490.5</v>
      </c>
      <c r="W134" s="17" t="n">
        <v>91</v>
      </c>
      <c r="X134" s="17" t="n">
        <v>2018</v>
      </c>
      <c r="Y134" s="17" t="n">
        <v>58</v>
      </c>
      <c r="Z134" s="17" t="n">
        <v>3</v>
      </c>
      <c r="AA134" s="20">
        <f>IF(ISNUMBER(W134),W134,IFERROR(MAX(0,(VALUE(LEFT(F134,4))-VALUE(LEFT(TEXT(J134,"00000000"),4)))*12+(VALUE(MID(F134,5,2))-VALUE(MID(TEXT(J134,"00000000"),5,2)))),""))</f>
        <v/>
      </c>
      <c r="AB134" s="20">
        <f>IFERROR((VALUE(LEFT(TEXT(K134,"00000000"),4))-VALUE(LEFT(F134,4)))*12+(VALUE(MID(TEXT(K134,"00000000"),5,2))-VALUE(MID(F134,5,2))),"")</f>
        <v/>
      </c>
      <c r="AC134" s="20">
        <f>IF(OR(L134="",NOT(ISNUMBER(L134))),0,MAX(0,MIN(60,(VALUE(LEFT(F134,4))-VALUE(LEFT(TEXT(L134,"00000000"),4)))*12+(VALUE(MID(F134,5,2))-VALUE(MID(TEXT(L134,"00000000"),5,2))))))</f>
        <v/>
      </c>
      <c r="AD134" s="20">
        <f>IF(OR(L134="",NOT(ISNUMBER(L134))),0,IF(VALUE(F134)&lt;VALUE(LEFT(TEXT(L134,"00000000"),6)),1,0))</f>
        <v/>
      </c>
      <c r="AE134" s="20">
        <f>IF(OR(M134="",NOT(ISNUMBER(M134))),0,IF(VALUE(F134)&lt;VALUE(LEFT(TEXT(M134,"00000000"),6)),1,0))</f>
        <v/>
      </c>
      <c r="AF134" s="20">
        <f>IF(AND(AD134=0,AE134=0),1,0)</f>
        <v/>
      </c>
      <c r="AG134" s="20">
        <f>IF(ISNUMBER(X134),X134,IFERROR(VALUE(LEFT(TEXT(J134,"00000000"),4)),""))</f>
        <v/>
      </c>
      <c r="AH134" s="20">
        <f>IFERROR(XLOOKUP(AG134,Vintage_Rates!$A$2:$A$1000,Vintage_Rates!$B$2:$B$1000,""),"")</f>
        <v/>
      </c>
      <c r="AI134" s="20">
        <f>IF(ISNUMBER(Y134),Y134,IFERROR((G134-AH134)*100,""))</f>
        <v/>
      </c>
      <c r="AJ134" s="20">
        <f>IF(ISNUMBER(V134),V134,IFERROR(XLOOKUP(VALUE(F134),PLC_Rates!$A$2:$A$1000,PLC_Rates!$B$2:$B$1000,""),""))</f>
        <v/>
      </c>
      <c r="AK134" s="20">
        <f>IF(ISNUMBER(Z134),Z134,IF(AE134=0,0,MAX(0,MIN(10,((VALUE(LEFT(TEXT(M134,"00000000"),4))-VALUE(LEFT(F134,4)))*12+(VALUE(MID(TEXT(M134,"00000000"),5,2))-VALUE(MID(F134,5,2))))/12))))</f>
        <v/>
      </c>
      <c r="AL134" s="20">
        <f>IFERROR(G134*100-AJ134,"")</f>
        <v/>
      </c>
      <c r="AM134" s="20">
        <f>IFERROR(G134*100-(AJ134+(1+AK134)*12.5),"")</f>
        <v/>
      </c>
      <c r="AN134" s="21">
        <f>IFERROR(MIN(H134/1000000,100),"")</f>
        <v/>
      </c>
      <c r="AO134" s="20">
        <f>IFERROR(INDEX(FHA_Lookup!$B$2:$B$11,MATCH(TRUE,ISNUMBER(SEARCH(FHA_Lookup!$A$2:$A$11,UPPER(SUBSTITUTE(O134," ","")))),0)),"OTHER")</f>
        <v/>
      </c>
      <c r="AP134" s="20">
        <f>IFERROR(INDEX(FHA_Lookup!$C$2:$C$11,MATCH(TRUE,ISNUMBER(SEARCH(FHA_Lookup!$A$2:$A$11,UPPER(SUBSTITUTE(O134," ","")))),0)),"OTHER")</f>
        <v/>
      </c>
      <c r="AQ134" s="20">
        <f>IF(AP134="NC",1,0)</f>
        <v/>
      </c>
      <c r="AR134" s="20">
        <f>IF(UPPER(TRIM(P134))="AFF",1,0)</f>
        <v/>
      </c>
      <c r="AS134" s="20">
        <f>IF(UPPER(TRIM(P134))="BAF",1,0)</f>
        <v/>
      </c>
      <c r="AT134" s="20">
        <f>IF(UPPER(TRIM(P134))="MKT",1,0)</f>
        <v/>
      </c>
      <c r="AU134" s="20">
        <f>IF(AO134="221d4",1,0)</f>
        <v/>
      </c>
      <c r="AV134" s="20">
        <f>IF(AO134="223a7",1,0)</f>
        <v/>
      </c>
      <c r="AW134" s="20">
        <f>IF(AO134="232",1,0)</f>
        <v/>
      </c>
      <c r="AX134" s="20">
        <f>IF(AO134="538",1,0)</f>
        <v/>
      </c>
      <c r="AY134" s="20">
        <f>IF(AO134="241",1,0)</f>
        <v/>
      </c>
      <c r="AZ134" s="20">
        <f>IF(AO134="220",1,0)</f>
        <v/>
      </c>
      <c r="BA134" s="20">
        <f>IF(AO134="OTHER",1,0)</f>
        <v/>
      </c>
      <c r="BB134" s="20">
        <f>IF(UPPER(TRIM(C134))="LM",1,0)</f>
        <v/>
      </c>
      <c r="BC134" s="20">
        <f>IF(UPPER(TRIM(C134))="PN",1,0)</f>
        <v/>
      </c>
      <c r="BD134" s="20">
        <f>IF(UPPER(TRIM(C134))="LS",1,0)</f>
        <v/>
      </c>
      <c r="BE134" s="20">
        <f>IF(UPPER(TRIM(C134))="RX",1,0)</f>
        <v/>
      </c>
      <c r="BF134" s="22">
        <f>IFERROR((Parameters!$C$6*AM134+Parameters!$C$7*MAX(AM134-(-150),0)+Parameters!$C$8*MAX(AM134-(-50),0)+Parameters!$C$9*MAX(AM134-(0),0)+Parameters!$C$10*MAX(AM134-(50),0)+Parameters!$C$11*MAX(AM134-(100),0)+Parameters!$C$12*MAX(AM134-(150),0)+Parameters!$C$13*MAX(AM134-(250),0)),0)</f>
        <v/>
      </c>
      <c r="BG134" s="22">
        <f>IFERROR((Parameters!$C$14*AA134+Parameters!$C$15*MAX(AA134-(12),0)+Parameters!$C$16*MAX(AA134-(36),0)+Parameters!$C$17*MAX(AA134-(60),0)+Parameters!$C$18*MAX(AA134-(84),0)+Parameters!$C$19*MAX(AA134-(120),0)+Parameters!$C$20*MAX(AA134-(180),0)),0)</f>
        <v/>
      </c>
      <c r="BH134" s="22">
        <f>IFERROR((Parameters!$C$21*AK134+Parameters!$C$22*MAX(AK134-(0),0)+Parameters!$C$23*MAX(AK134-(2),0)+Parameters!$C$24*MAX(AK134-(5),0)+Parameters!$C$25*MAX(AK134-(8),0)),0)</f>
        <v/>
      </c>
      <c r="BI134" s="22">
        <f>IFERROR((Parameters!$C$26*AI134+Parameters!$C$27*MAX(AI134-(-100),0)+Parameters!$C$28*MAX(AI134-(-25),0)+Parameters!$C$29*MAX(AI134-(25),0)+Parameters!$C$30*MAX(AI134-(100),0)),0)</f>
        <v/>
      </c>
      <c r="BJ134" s="22">
        <f>IFERROR((Parameters!$C$31*AN134+Parameters!$C$32*MAX(AN134-(2),0)+Parameters!$C$33*MAX(AN134-(10),0)+Parameters!$C$34*MAX(AN134-(25),0)),0)</f>
        <v/>
      </c>
      <c r="BK134" s="22">
        <f>IFERROR((Parameters!$C$35*AB134+Parameters!$C$36*MAX(AB134-(12),0)+Parameters!$C$37*MAX(AB134-(24),0)+Parameters!$C$38*MAX(AB134-(60),0)),0)</f>
        <v/>
      </c>
      <c r="BL134" s="22">
        <f>IFERROR((Parameters!$C$39*AC134+Parameters!$C$40*MAX(AC134-(6),0)+Parameters!$C$41*MAX(AC134-(12),0)+Parameters!$C$42*MAX(AC134-(24),0)),0)</f>
        <v/>
      </c>
      <c r="BM134" s="22">
        <f>IFERROR(Parameters!$C$43*(MAX(AM134,0)*MIN(MAX(AK134,0),10))/100,0)</f>
        <v/>
      </c>
      <c r="BN134" s="22">
        <f>Parameters!$C$44*AE134</f>
        <v/>
      </c>
      <c r="BO134" s="22">
        <f>Parameters!$C$45*AU134 + Parameters!$C$46*AV134 + Parameters!$C$47*AW134 + Parameters!$C$48*AX134 + Parameters!$C$49*AY134 + Parameters!$C$50*AZ134 + Parameters!$C$51*BA134</f>
        <v/>
      </c>
      <c r="BP134" s="22">
        <f>Parameters!$C$52*AQ134</f>
        <v/>
      </c>
      <c r="BQ134" s="22">
        <f>Parameters!$C$53*AR134+Parameters!$C$54*AS134+Parameters!$C$55*AT134</f>
        <v/>
      </c>
      <c r="BR134" s="22">
        <f>Parameters!$C$56*BB134+Parameters!$C$57*BC134+Parameters!$C$58*BD134+Parameters!$C$59*BE134</f>
        <v/>
      </c>
      <c r="BS134" s="23">
        <f>Parameters!$B$2</f>
        <v/>
      </c>
      <c r="BT134" s="23">
        <f>BS134+BF134 + BG134 + BH134 + BI134 + BJ134 + BK134 + BL134 + BM134 + BN134 + BO134 + BP134 + BQ134 + BR134</f>
        <v/>
      </c>
      <c r="BU134" s="24">
        <f>IF(AD134=1,0,1/(1+EXP(-BT134))*Parameters!$B$3)</f>
        <v/>
      </c>
      <c r="BV134" s="25">
        <f>(1-(1-BU134)^12)*100</f>
        <v/>
      </c>
      <c r="BW134" s="25">
        <f>IF(AD134=1,0,(1-(1-1/(1+EXP(-Parameters!$B$2)))^12)*100)</f>
        <v/>
      </c>
      <c r="BX134" s="25">
        <f>IF(AD134=1,0,BV134-(1-(1-(1/(1+EXP(-(BT134-BF134)))*Parameters!$B$3))^12)*100)</f>
        <v/>
      </c>
      <c r="BY134" s="25">
        <f>IF(AD134=1,0,BV134-(1-(1-(1/(1+EXP(-(BT134-BG134)))*Parameters!$B$3))^12)*100)</f>
        <v/>
      </c>
      <c r="BZ134" s="25">
        <f>IF(AD134=1,0,BV134-(1-(1-(1/(1+EXP(-(BT134-BH134)))*Parameters!$B$3))^12)*100)</f>
        <v/>
      </c>
      <c r="CA134" s="25">
        <f>IF(AD134=1,0,BV134-(1-(1-(1/(1+EXP(-(BT134-BI134)))*Parameters!$B$3))^12)*100)</f>
        <v/>
      </c>
      <c r="CB134" s="25">
        <f>IF(AD134=1,0,BV134-(1-(1-(1/(1+EXP(-(BT134-BJ134)))*Parameters!$B$3))^12)*100)</f>
        <v/>
      </c>
      <c r="CC134" s="25">
        <f>IF(AD134=1,0,BV134-(1-(1-(1/(1+EXP(-(BT134-BK134)))*Parameters!$B$3))^12)*100)</f>
        <v/>
      </c>
      <c r="CD134" s="25">
        <f>IF(AD134=1,0,BV134-(1-(1-(1/(1+EXP(-(BT134-BL134)))*Parameters!$B$3))^12)*100)</f>
        <v/>
      </c>
      <c r="CE134" s="25">
        <f>IF(AD134=1,0,BV134-(1-(1-(1/(1+EXP(-(BT134-BM134)))*Parameters!$B$3))^12)*100)</f>
        <v/>
      </c>
      <c r="CF134" s="25">
        <f>IF(AD134=1,0,BV134-(1-(1-(1/(1+EXP(-(BT134-BN134)))*Parameters!$B$3))^12)*100)</f>
        <v/>
      </c>
      <c r="CG134" s="25">
        <f>IF(AD134=1,0,BV134-(1-(1-(1/(1+EXP(-(BT134-BO134)))*Parameters!$B$3))^12)*100)</f>
        <v/>
      </c>
      <c r="CH134" s="25">
        <f>IF(AD134=1,0,BV134-(1-(1-(1/(1+EXP(-(BT134-BP134)))*Parameters!$B$3))^12)*100)</f>
        <v/>
      </c>
      <c r="CI134" s="25">
        <f>IF(AD134=1,0,BV134-(1-(1-(1/(1+EXP(-(BT134-BQ134)))*Parameters!$B$3))^12)*100)</f>
        <v/>
      </c>
      <c r="CJ134" s="25">
        <f>IF(AD134=1,0,BV134-(1-(1-(1/(1+EXP(-(BT134-BR134)))*Parameters!$B$3))^12)*100)</f>
        <v/>
      </c>
    </row>
    <row r="135">
      <c r="A135" s="17" t="inlineStr">
        <is>
          <t>GNR_HC_2020</t>
        </is>
      </c>
      <c r="B135" s="17" t="inlineStr">
        <is>
          <t>3617H2D85</t>
        </is>
      </c>
      <c r="C135" s="17" t="inlineStr">
        <is>
          <t>PN</t>
        </is>
      </c>
      <c r="D135" s="17" t="inlineStr">
        <is>
          <t>CAPITAL FUNDING,LLC.</t>
        </is>
      </c>
      <c r="E135" s="17" t="inlineStr">
        <is>
          <t>3617H2D85_000000012722142</t>
        </is>
      </c>
      <c r="F135" s="17" t="n">
        <v>202603</v>
      </c>
      <c r="G135" s="18" t="n">
        <v>4.65</v>
      </c>
      <c r="H135" s="19" t="n">
        <v>1701494.2</v>
      </c>
      <c r="I135" s="17" t="n">
        <v>360</v>
      </c>
      <c r="J135" s="17" t="n">
        <v>20180613</v>
      </c>
      <c r="K135" s="17" t="n">
        <v>20480701</v>
      </c>
      <c r="L135" s="17" t="n"/>
      <c r="M135" s="17" t="n">
        <v>20230801</v>
      </c>
      <c r="N135" s="17" t="n">
        <v>5</v>
      </c>
      <c r="O135" s="17" t="inlineStr">
        <is>
          <t>232/223(F)</t>
        </is>
      </c>
      <c r="P135" s="17" t="inlineStr">
        <is>
          <t>MKT</t>
        </is>
      </c>
      <c r="Q135" s="17" t="n"/>
      <c r="R135" s="17" t="n"/>
      <c r="S135" s="17" t="n"/>
      <c r="T135" s="17" t="inlineStr">
        <is>
          <t>WA</t>
        </is>
      </c>
      <c r="U135" s="17" t="n">
        <v>97</v>
      </c>
      <c r="V135" s="17" t="n">
        <v>490.5</v>
      </c>
      <c r="W135" s="17" t="n">
        <v>93</v>
      </c>
      <c r="X135" s="17" t="n">
        <v>2018</v>
      </c>
      <c r="Y135" s="17" t="n">
        <v>63</v>
      </c>
      <c r="Z135" s="17" t="n">
        <v>0</v>
      </c>
      <c r="AA135" s="20">
        <f>IF(ISNUMBER(W135),W135,IFERROR(MAX(0,(VALUE(LEFT(F135,4))-VALUE(LEFT(TEXT(J135,"00000000"),4)))*12+(VALUE(MID(F135,5,2))-VALUE(MID(TEXT(J135,"00000000"),5,2)))),""))</f>
        <v/>
      </c>
      <c r="AB135" s="20">
        <f>IFERROR((VALUE(LEFT(TEXT(K135,"00000000"),4))-VALUE(LEFT(F135,4)))*12+(VALUE(MID(TEXT(K135,"00000000"),5,2))-VALUE(MID(F135,5,2))),"")</f>
        <v/>
      </c>
      <c r="AC135" s="20">
        <f>IF(OR(L135="",NOT(ISNUMBER(L135))),0,MAX(0,MIN(60,(VALUE(LEFT(F135,4))-VALUE(LEFT(TEXT(L135,"00000000"),4)))*12+(VALUE(MID(F135,5,2))-VALUE(MID(TEXT(L135,"00000000"),5,2))))))</f>
        <v/>
      </c>
      <c r="AD135" s="20">
        <f>IF(OR(L135="",NOT(ISNUMBER(L135))),0,IF(VALUE(F135)&lt;VALUE(LEFT(TEXT(L135,"00000000"),6)),1,0))</f>
        <v/>
      </c>
      <c r="AE135" s="20">
        <f>IF(OR(M135="",NOT(ISNUMBER(M135))),0,IF(VALUE(F135)&lt;VALUE(LEFT(TEXT(M135,"00000000"),6)),1,0))</f>
        <v/>
      </c>
      <c r="AF135" s="20">
        <f>IF(AND(AD135=0,AE135=0),1,0)</f>
        <v/>
      </c>
      <c r="AG135" s="20">
        <f>IF(ISNUMBER(X135),X135,IFERROR(VALUE(LEFT(TEXT(J135,"00000000"),4)),""))</f>
        <v/>
      </c>
      <c r="AH135" s="20">
        <f>IFERROR(XLOOKUP(AG135,Vintage_Rates!$A$2:$A$1000,Vintage_Rates!$B$2:$B$1000,""),"")</f>
        <v/>
      </c>
      <c r="AI135" s="20">
        <f>IF(ISNUMBER(Y135),Y135,IFERROR((G135-AH135)*100,""))</f>
        <v/>
      </c>
      <c r="AJ135" s="20">
        <f>IF(ISNUMBER(V135),V135,IFERROR(XLOOKUP(VALUE(F135),PLC_Rates!$A$2:$A$1000,PLC_Rates!$B$2:$B$1000,""),""))</f>
        <v/>
      </c>
      <c r="AK135" s="20">
        <f>IF(ISNUMBER(Z135),Z135,IF(AE135=0,0,MAX(0,MIN(10,((VALUE(LEFT(TEXT(M135,"00000000"),4))-VALUE(LEFT(F135,4)))*12+(VALUE(MID(TEXT(M135,"00000000"),5,2))-VALUE(MID(F135,5,2))))/12))))</f>
        <v/>
      </c>
      <c r="AL135" s="20">
        <f>IFERROR(G135*100-AJ135,"")</f>
        <v/>
      </c>
      <c r="AM135" s="20">
        <f>IFERROR(G135*100-(AJ135+(1+AK135)*12.5),"")</f>
        <v/>
      </c>
      <c r="AN135" s="21">
        <f>IFERROR(MIN(H135/1000000,100),"")</f>
        <v/>
      </c>
      <c r="AO135" s="20">
        <f>IFERROR(INDEX(FHA_Lookup!$B$2:$B$11,MATCH(TRUE,ISNUMBER(SEARCH(FHA_Lookup!$A$2:$A$11,UPPER(SUBSTITUTE(O135," ","")))),0)),"OTHER")</f>
        <v/>
      </c>
      <c r="AP135" s="20">
        <f>IFERROR(INDEX(FHA_Lookup!$C$2:$C$11,MATCH(TRUE,ISNUMBER(SEARCH(FHA_Lookup!$A$2:$A$11,UPPER(SUBSTITUTE(O135," ","")))),0)),"OTHER")</f>
        <v/>
      </c>
      <c r="AQ135" s="20">
        <f>IF(AP135="NC",1,0)</f>
        <v/>
      </c>
      <c r="AR135" s="20">
        <f>IF(UPPER(TRIM(P135))="AFF",1,0)</f>
        <v/>
      </c>
      <c r="AS135" s="20">
        <f>IF(UPPER(TRIM(P135))="BAF",1,0)</f>
        <v/>
      </c>
      <c r="AT135" s="20">
        <f>IF(UPPER(TRIM(P135))="MKT",1,0)</f>
        <v/>
      </c>
      <c r="AU135" s="20">
        <f>IF(AO135="221d4",1,0)</f>
        <v/>
      </c>
      <c r="AV135" s="20">
        <f>IF(AO135="223a7",1,0)</f>
        <v/>
      </c>
      <c r="AW135" s="20">
        <f>IF(AO135="232",1,0)</f>
        <v/>
      </c>
      <c r="AX135" s="20">
        <f>IF(AO135="538",1,0)</f>
        <v/>
      </c>
      <c r="AY135" s="20">
        <f>IF(AO135="241",1,0)</f>
        <v/>
      </c>
      <c r="AZ135" s="20">
        <f>IF(AO135="220",1,0)</f>
        <v/>
      </c>
      <c r="BA135" s="20">
        <f>IF(AO135="OTHER",1,0)</f>
        <v/>
      </c>
      <c r="BB135" s="20">
        <f>IF(UPPER(TRIM(C135))="LM",1,0)</f>
        <v/>
      </c>
      <c r="BC135" s="20">
        <f>IF(UPPER(TRIM(C135))="PN",1,0)</f>
        <v/>
      </c>
      <c r="BD135" s="20">
        <f>IF(UPPER(TRIM(C135))="LS",1,0)</f>
        <v/>
      </c>
      <c r="BE135" s="20">
        <f>IF(UPPER(TRIM(C135))="RX",1,0)</f>
        <v/>
      </c>
      <c r="BF135" s="22">
        <f>IFERROR((Parameters!$C$6*AM135+Parameters!$C$7*MAX(AM135-(-150),0)+Parameters!$C$8*MAX(AM135-(-50),0)+Parameters!$C$9*MAX(AM135-(0),0)+Parameters!$C$10*MAX(AM135-(50),0)+Parameters!$C$11*MAX(AM135-(100),0)+Parameters!$C$12*MAX(AM135-(150),0)+Parameters!$C$13*MAX(AM135-(250),0)),0)</f>
        <v/>
      </c>
      <c r="BG135" s="22">
        <f>IFERROR((Parameters!$C$14*AA135+Parameters!$C$15*MAX(AA135-(12),0)+Parameters!$C$16*MAX(AA135-(36),0)+Parameters!$C$17*MAX(AA135-(60),0)+Parameters!$C$18*MAX(AA135-(84),0)+Parameters!$C$19*MAX(AA135-(120),0)+Parameters!$C$20*MAX(AA135-(180),0)),0)</f>
        <v/>
      </c>
      <c r="BH135" s="22">
        <f>IFERROR((Parameters!$C$21*AK135+Parameters!$C$22*MAX(AK135-(0),0)+Parameters!$C$23*MAX(AK135-(2),0)+Parameters!$C$24*MAX(AK135-(5),0)+Parameters!$C$25*MAX(AK135-(8),0)),0)</f>
        <v/>
      </c>
      <c r="BI135" s="22">
        <f>IFERROR((Parameters!$C$26*AI135+Parameters!$C$27*MAX(AI135-(-100),0)+Parameters!$C$28*MAX(AI135-(-25),0)+Parameters!$C$29*MAX(AI135-(25),0)+Parameters!$C$30*MAX(AI135-(100),0)),0)</f>
        <v/>
      </c>
      <c r="BJ135" s="22">
        <f>IFERROR((Parameters!$C$31*AN135+Parameters!$C$32*MAX(AN135-(2),0)+Parameters!$C$33*MAX(AN135-(10),0)+Parameters!$C$34*MAX(AN135-(25),0)),0)</f>
        <v/>
      </c>
      <c r="BK135" s="22">
        <f>IFERROR((Parameters!$C$35*AB135+Parameters!$C$36*MAX(AB135-(12),0)+Parameters!$C$37*MAX(AB135-(24),0)+Parameters!$C$38*MAX(AB135-(60),0)),0)</f>
        <v/>
      </c>
      <c r="BL135" s="22">
        <f>IFERROR((Parameters!$C$39*AC135+Parameters!$C$40*MAX(AC135-(6),0)+Parameters!$C$41*MAX(AC135-(12),0)+Parameters!$C$42*MAX(AC135-(24),0)),0)</f>
        <v/>
      </c>
      <c r="BM135" s="22">
        <f>IFERROR(Parameters!$C$43*(MAX(AM135,0)*MIN(MAX(AK135,0),10))/100,0)</f>
        <v/>
      </c>
      <c r="BN135" s="22">
        <f>Parameters!$C$44*AE135</f>
        <v/>
      </c>
      <c r="BO135" s="22">
        <f>Parameters!$C$45*AU135 + Parameters!$C$46*AV135 + Parameters!$C$47*AW135 + Parameters!$C$48*AX135 + Parameters!$C$49*AY135 + Parameters!$C$50*AZ135 + Parameters!$C$51*BA135</f>
        <v/>
      </c>
      <c r="BP135" s="22">
        <f>Parameters!$C$52*AQ135</f>
        <v/>
      </c>
      <c r="BQ135" s="22">
        <f>Parameters!$C$53*AR135+Parameters!$C$54*AS135+Parameters!$C$55*AT135</f>
        <v/>
      </c>
      <c r="BR135" s="22">
        <f>Parameters!$C$56*BB135+Parameters!$C$57*BC135+Parameters!$C$58*BD135+Parameters!$C$59*BE135</f>
        <v/>
      </c>
      <c r="BS135" s="23">
        <f>Parameters!$B$2</f>
        <v/>
      </c>
      <c r="BT135" s="23">
        <f>BS135+BF135 + BG135 + BH135 + BI135 + BJ135 + BK135 + BL135 + BM135 + BN135 + BO135 + BP135 + BQ135 + BR135</f>
        <v/>
      </c>
      <c r="BU135" s="24">
        <f>IF(AD135=1,0,1/(1+EXP(-BT135))*Parameters!$B$3)</f>
        <v/>
      </c>
      <c r="BV135" s="25">
        <f>(1-(1-BU135)^12)*100</f>
        <v/>
      </c>
      <c r="BW135" s="25">
        <f>IF(AD135=1,0,(1-(1-1/(1+EXP(-Parameters!$B$2)))^12)*100)</f>
        <v/>
      </c>
      <c r="BX135" s="25">
        <f>IF(AD135=1,0,BV135-(1-(1-(1/(1+EXP(-(BT135-BF135)))*Parameters!$B$3))^12)*100)</f>
        <v/>
      </c>
      <c r="BY135" s="25">
        <f>IF(AD135=1,0,BV135-(1-(1-(1/(1+EXP(-(BT135-BG135)))*Parameters!$B$3))^12)*100)</f>
        <v/>
      </c>
      <c r="BZ135" s="25">
        <f>IF(AD135=1,0,BV135-(1-(1-(1/(1+EXP(-(BT135-BH135)))*Parameters!$B$3))^12)*100)</f>
        <v/>
      </c>
      <c r="CA135" s="25">
        <f>IF(AD135=1,0,BV135-(1-(1-(1/(1+EXP(-(BT135-BI135)))*Parameters!$B$3))^12)*100)</f>
        <v/>
      </c>
      <c r="CB135" s="25">
        <f>IF(AD135=1,0,BV135-(1-(1-(1/(1+EXP(-(BT135-BJ135)))*Parameters!$B$3))^12)*100)</f>
        <v/>
      </c>
      <c r="CC135" s="25">
        <f>IF(AD135=1,0,BV135-(1-(1-(1/(1+EXP(-(BT135-BK135)))*Parameters!$B$3))^12)*100)</f>
        <v/>
      </c>
      <c r="CD135" s="25">
        <f>IF(AD135=1,0,BV135-(1-(1-(1/(1+EXP(-(BT135-BL135)))*Parameters!$B$3))^12)*100)</f>
        <v/>
      </c>
      <c r="CE135" s="25">
        <f>IF(AD135=1,0,BV135-(1-(1-(1/(1+EXP(-(BT135-BM135)))*Parameters!$B$3))^12)*100)</f>
        <v/>
      </c>
      <c r="CF135" s="25">
        <f>IF(AD135=1,0,BV135-(1-(1-(1/(1+EXP(-(BT135-BN135)))*Parameters!$B$3))^12)*100)</f>
        <v/>
      </c>
      <c r="CG135" s="25">
        <f>IF(AD135=1,0,BV135-(1-(1-(1/(1+EXP(-(BT135-BO135)))*Parameters!$B$3))^12)*100)</f>
        <v/>
      </c>
      <c r="CH135" s="25">
        <f>IF(AD135=1,0,BV135-(1-(1-(1/(1+EXP(-(BT135-BP135)))*Parameters!$B$3))^12)*100)</f>
        <v/>
      </c>
      <c r="CI135" s="25">
        <f>IF(AD135=1,0,BV135-(1-(1-(1/(1+EXP(-(BT135-BQ135)))*Parameters!$B$3))^12)*100)</f>
        <v/>
      </c>
      <c r="CJ135" s="25">
        <f>IF(AD135=1,0,BV135-(1-(1-(1/(1+EXP(-(BT135-BR135)))*Parameters!$B$3))^12)*100)</f>
        <v/>
      </c>
    </row>
    <row r="136">
      <c r="A136" s="17" t="inlineStr">
        <is>
          <t>GNR_HC_2020</t>
        </is>
      </c>
      <c r="B136" s="17" t="inlineStr">
        <is>
          <t>3617Y9FA4</t>
        </is>
      </c>
      <c r="C136" s="17" t="inlineStr">
        <is>
          <t>PN</t>
        </is>
      </c>
      <c r="D136" s="17" t="inlineStr">
        <is>
          <t>M&amp;T REALTY CAPITAL CORPORATION</t>
        </is>
      </c>
      <c r="E136" s="17" t="inlineStr">
        <is>
          <t>3617Y9FA4_000000001422186</t>
        </is>
      </c>
      <c r="F136" s="17" t="n">
        <v>202603</v>
      </c>
      <c r="G136" s="18" t="n">
        <v>3.08</v>
      </c>
      <c r="H136" s="19" t="n">
        <v>6889740.08</v>
      </c>
      <c r="I136" s="17" t="n">
        <v>420</v>
      </c>
      <c r="J136" s="17" t="n">
        <v>20220331</v>
      </c>
      <c r="K136" s="17" t="n">
        <v>20570401</v>
      </c>
      <c r="L136" s="17" t="n"/>
      <c r="M136" s="17" t="n">
        <v>20320501</v>
      </c>
      <c r="N136" s="17" t="n">
        <v>10</v>
      </c>
      <c r="O136" s="17" t="inlineStr">
        <is>
          <t>223(A)(7)/232</t>
        </is>
      </c>
      <c r="P136" s="17" t="inlineStr">
        <is>
          <t>MKT</t>
        </is>
      </c>
      <c r="Q136" s="17" t="n"/>
      <c r="R136" s="17" t="n"/>
      <c r="S136" s="17" t="n"/>
      <c r="T136" s="17" t="inlineStr">
        <is>
          <t>NY</t>
        </is>
      </c>
      <c r="U136" s="17" t="n">
        <v>48</v>
      </c>
      <c r="V136" s="17" t="n">
        <v>490.5</v>
      </c>
      <c r="W136" s="17" t="n">
        <v>48</v>
      </c>
      <c r="X136" s="17" t="n">
        <v>2022</v>
      </c>
      <c r="Y136" s="17" t="n">
        <v>-67</v>
      </c>
      <c r="Z136" s="17" t="n">
        <v>7</v>
      </c>
      <c r="AA136" s="20">
        <f>IF(ISNUMBER(W136),W136,IFERROR(MAX(0,(VALUE(LEFT(F136,4))-VALUE(LEFT(TEXT(J136,"00000000"),4)))*12+(VALUE(MID(F136,5,2))-VALUE(MID(TEXT(J136,"00000000"),5,2)))),""))</f>
        <v/>
      </c>
      <c r="AB136" s="20">
        <f>IFERROR((VALUE(LEFT(TEXT(K136,"00000000"),4))-VALUE(LEFT(F136,4)))*12+(VALUE(MID(TEXT(K136,"00000000"),5,2))-VALUE(MID(F136,5,2))),"")</f>
        <v/>
      </c>
      <c r="AC136" s="20">
        <f>IF(OR(L136="",NOT(ISNUMBER(L136))),0,MAX(0,MIN(60,(VALUE(LEFT(F136,4))-VALUE(LEFT(TEXT(L136,"00000000"),4)))*12+(VALUE(MID(F136,5,2))-VALUE(MID(TEXT(L136,"00000000"),5,2))))))</f>
        <v/>
      </c>
      <c r="AD136" s="20">
        <f>IF(OR(L136="",NOT(ISNUMBER(L136))),0,IF(VALUE(F136)&lt;VALUE(LEFT(TEXT(L136,"00000000"),6)),1,0))</f>
        <v/>
      </c>
      <c r="AE136" s="20">
        <f>IF(OR(M136="",NOT(ISNUMBER(M136))),0,IF(VALUE(F136)&lt;VALUE(LEFT(TEXT(M136,"00000000"),6)),1,0))</f>
        <v/>
      </c>
      <c r="AF136" s="20">
        <f>IF(AND(AD136=0,AE136=0),1,0)</f>
        <v/>
      </c>
      <c r="AG136" s="20">
        <f>IF(ISNUMBER(X136),X136,IFERROR(VALUE(LEFT(TEXT(J136,"00000000"),4)),""))</f>
        <v/>
      </c>
      <c r="AH136" s="20">
        <f>IFERROR(XLOOKUP(AG136,Vintage_Rates!$A$2:$A$1000,Vintage_Rates!$B$2:$B$1000,""),"")</f>
        <v/>
      </c>
      <c r="AI136" s="20">
        <f>IF(ISNUMBER(Y136),Y136,IFERROR((G136-AH136)*100,""))</f>
        <v/>
      </c>
      <c r="AJ136" s="20">
        <f>IF(ISNUMBER(V136),V136,IFERROR(XLOOKUP(VALUE(F136),PLC_Rates!$A$2:$A$1000,PLC_Rates!$B$2:$B$1000,""),""))</f>
        <v/>
      </c>
      <c r="AK136" s="20">
        <f>IF(ISNUMBER(Z136),Z136,IF(AE136=0,0,MAX(0,MIN(10,((VALUE(LEFT(TEXT(M136,"00000000"),4))-VALUE(LEFT(F136,4)))*12+(VALUE(MID(TEXT(M136,"00000000"),5,2))-VALUE(MID(F136,5,2))))/12))))</f>
        <v/>
      </c>
      <c r="AL136" s="20">
        <f>IFERROR(G136*100-AJ136,"")</f>
        <v/>
      </c>
      <c r="AM136" s="20">
        <f>IFERROR(G136*100-(AJ136+(1+AK136)*12.5),"")</f>
        <v/>
      </c>
      <c r="AN136" s="21">
        <f>IFERROR(MIN(H136/1000000,100),"")</f>
        <v/>
      </c>
      <c r="AO136" s="20">
        <f>IFERROR(INDEX(FHA_Lookup!$B$2:$B$11,MATCH(TRUE,ISNUMBER(SEARCH(FHA_Lookup!$A$2:$A$11,UPPER(SUBSTITUTE(O136," ","")))),0)),"OTHER")</f>
        <v/>
      </c>
      <c r="AP136" s="20">
        <f>IFERROR(INDEX(FHA_Lookup!$C$2:$C$11,MATCH(TRUE,ISNUMBER(SEARCH(FHA_Lookup!$A$2:$A$11,UPPER(SUBSTITUTE(O136," ","")))),0)),"OTHER")</f>
        <v/>
      </c>
      <c r="AQ136" s="20">
        <f>IF(AP136="NC",1,0)</f>
        <v/>
      </c>
      <c r="AR136" s="20">
        <f>IF(UPPER(TRIM(P136))="AFF",1,0)</f>
        <v/>
      </c>
      <c r="AS136" s="20">
        <f>IF(UPPER(TRIM(P136))="BAF",1,0)</f>
        <v/>
      </c>
      <c r="AT136" s="20">
        <f>IF(UPPER(TRIM(P136))="MKT",1,0)</f>
        <v/>
      </c>
      <c r="AU136" s="20">
        <f>IF(AO136="221d4",1,0)</f>
        <v/>
      </c>
      <c r="AV136" s="20">
        <f>IF(AO136="223a7",1,0)</f>
        <v/>
      </c>
      <c r="AW136" s="20">
        <f>IF(AO136="232",1,0)</f>
        <v/>
      </c>
      <c r="AX136" s="20">
        <f>IF(AO136="538",1,0)</f>
        <v/>
      </c>
      <c r="AY136" s="20">
        <f>IF(AO136="241",1,0)</f>
        <v/>
      </c>
      <c r="AZ136" s="20">
        <f>IF(AO136="220",1,0)</f>
        <v/>
      </c>
      <c r="BA136" s="20">
        <f>IF(AO136="OTHER",1,0)</f>
        <v/>
      </c>
      <c r="BB136" s="20">
        <f>IF(UPPER(TRIM(C136))="LM",1,0)</f>
        <v/>
      </c>
      <c r="BC136" s="20">
        <f>IF(UPPER(TRIM(C136))="PN",1,0)</f>
        <v/>
      </c>
      <c r="BD136" s="20">
        <f>IF(UPPER(TRIM(C136))="LS",1,0)</f>
        <v/>
      </c>
      <c r="BE136" s="20">
        <f>IF(UPPER(TRIM(C136))="RX",1,0)</f>
        <v/>
      </c>
      <c r="BF136" s="22">
        <f>IFERROR((Parameters!$C$6*AM136+Parameters!$C$7*MAX(AM136-(-150),0)+Parameters!$C$8*MAX(AM136-(-50),0)+Parameters!$C$9*MAX(AM136-(0),0)+Parameters!$C$10*MAX(AM136-(50),0)+Parameters!$C$11*MAX(AM136-(100),0)+Parameters!$C$12*MAX(AM136-(150),0)+Parameters!$C$13*MAX(AM136-(250),0)),0)</f>
        <v/>
      </c>
      <c r="BG136" s="22">
        <f>IFERROR((Parameters!$C$14*AA136+Parameters!$C$15*MAX(AA136-(12),0)+Parameters!$C$16*MAX(AA136-(36),0)+Parameters!$C$17*MAX(AA136-(60),0)+Parameters!$C$18*MAX(AA136-(84),0)+Parameters!$C$19*MAX(AA136-(120),0)+Parameters!$C$20*MAX(AA136-(180),0)),0)</f>
        <v/>
      </c>
      <c r="BH136" s="22">
        <f>IFERROR((Parameters!$C$21*AK136+Parameters!$C$22*MAX(AK136-(0),0)+Parameters!$C$23*MAX(AK136-(2),0)+Parameters!$C$24*MAX(AK136-(5),0)+Parameters!$C$25*MAX(AK136-(8),0)),0)</f>
        <v/>
      </c>
      <c r="BI136" s="22">
        <f>IFERROR((Parameters!$C$26*AI136+Parameters!$C$27*MAX(AI136-(-100),0)+Parameters!$C$28*MAX(AI136-(-25),0)+Parameters!$C$29*MAX(AI136-(25),0)+Parameters!$C$30*MAX(AI136-(100),0)),0)</f>
        <v/>
      </c>
      <c r="BJ136" s="22">
        <f>IFERROR((Parameters!$C$31*AN136+Parameters!$C$32*MAX(AN136-(2),0)+Parameters!$C$33*MAX(AN136-(10),0)+Parameters!$C$34*MAX(AN136-(25),0)),0)</f>
        <v/>
      </c>
      <c r="BK136" s="22">
        <f>IFERROR((Parameters!$C$35*AB136+Parameters!$C$36*MAX(AB136-(12),0)+Parameters!$C$37*MAX(AB136-(24),0)+Parameters!$C$38*MAX(AB136-(60),0)),0)</f>
        <v/>
      </c>
      <c r="BL136" s="22">
        <f>IFERROR((Parameters!$C$39*AC136+Parameters!$C$40*MAX(AC136-(6),0)+Parameters!$C$41*MAX(AC136-(12),0)+Parameters!$C$42*MAX(AC136-(24),0)),0)</f>
        <v/>
      </c>
      <c r="BM136" s="22">
        <f>IFERROR(Parameters!$C$43*(MAX(AM136,0)*MIN(MAX(AK136,0),10))/100,0)</f>
        <v/>
      </c>
      <c r="BN136" s="22">
        <f>Parameters!$C$44*AE136</f>
        <v/>
      </c>
      <c r="BO136" s="22">
        <f>Parameters!$C$45*AU136 + Parameters!$C$46*AV136 + Parameters!$C$47*AW136 + Parameters!$C$48*AX136 + Parameters!$C$49*AY136 + Parameters!$C$50*AZ136 + Parameters!$C$51*BA136</f>
        <v/>
      </c>
      <c r="BP136" s="22">
        <f>Parameters!$C$52*AQ136</f>
        <v/>
      </c>
      <c r="BQ136" s="22">
        <f>Parameters!$C$53*AR136+Parameters!$C$54*AS136+Parameters!$C$55*AT136</f>
        <v/>
      </c>
      <c r="BR136" s="22">
        <f>Parameters!$C$56*BB136+Parameters!$C$57*BC136+Parameters!$C$58*BD136+Parameters!$C$59*BE136</f>
        <v/>
      </c>
      <c r="BS136" s="23">
        <f>Parameters!$B$2</f>
        <v/>
      </c>
      <c r="BT136" s="23">
        <f>BS136+BF136 + BG136 + BH136 + BI136 + BJ136 + BK136 + BL136 + BM136 + BN136 + BO136 + BP136 + BQ136 + BR136</f>
        <v/>
      </c>
      <c r="BU136" s="24">
        <f>IF(AD136=1,0,1/(1+EXP(-BT136))*Parameters!$B$3)</f>
        <v/>
      </c>
      <c r="BV136" s="25">
        <f>(1-(1-BU136)^12)*100</f>
        <v/>
      </c>
      <c r="BW136" s="25">
        <f>IF(AD136=1,0,(1-(1-1/(1+EXP(-Parameters!$B$2)))^12)*100)</f>
        <v/>
      </c>
      <c r="BX136" s="25">
        <f>IF(AD136=1,0,BV136-(1-(1-(1/(1+EXP(-(BT136-BF136)))*Parameters!$B$3))^12)*100)</f>
        <v/>
      </c>
      <c r="BY136" s="25">
        <f>IF(AD136=1,0,BV136-(1-(1-(1/(1+EXP(-(BT136-BG136)))*Parameters!$B$3))^12)*100)</f>
        <v/>
      </c>
      <c r="BZ136" s="25">
        <f>IF(AD136=1,0,BV136-(1-(1-(1/(1+EXP(-(BT136-BH136)))*Parameters!$B$3))^12)*100)</f>
        <v/>
      </c>
      <c r="CA136" s="25">
        <f>IF(AD136=1,0,BV136-(1-(1-(1/(1+EXP(-(BT136-BI136)))*Parameters!$B$3))^12)*100)</f>
        <v/>
      </c>
      <c r="CB136" s="25">
        <f>IF(AD136=1,0,BV136-(1-(1-(1/(1+EXP(-(BT136-BJ136)))*Parameters!$B$3))^12)*100)</f>
        <v/>
      </c>
      <c r="CC136" s="25">
        <f>IF(AD136=1,0,BV136-(1-(1-(1/(1+EXP(-(BT136-BK136)))*Parameters!$B$3))^12)*100)</f>
        <v/>
      </c>
      <c r="CD136" s="25">
        <f>IF(AD136=1,0,BV136-(1-(1-(1/(1+EXP(-(BT136-BL136)))*Parameters!$B$3))^12)*100)</f>
        <v/>
      </c>
      <c r="CE136" s="25">
        <f>IF(AD136=1,0,BV136-(1-(1-(1/(1+EXP(-(BT136-BM136)))*Parameters!$B$3))^12)*100)</f>
        <v/>
      </c>
      <c r="CF136" s="25">
        <f>IF(AD136=1,0,BV136-(1-(1-(1/(1+EXP(-(BT136-BN136)))*Parameters!$B$3))^12)*100)</f>
        <v/>
      </c>
      <c r="CG136" s="25">
        <f>IF(AD136=1,0,BV136-(1-(1-(1/(1+EXP(-(BT136-BO136)))*Parameters!$B$3))^12)*100)</f>
        <v/>
      </c>
      <c r="CH136" s="25">
        <f>IF(AD136=1,0,BV136-(1-(1-(1/(1+EXP(-(BT136-BP136)))*Parameters!$B$3))^12)*100)</f>
        <v/>
      </c>
      <c r="CI136" s="25">
        <f>IF(AD136=1,0,BV136-(1-(1-(1/(1+EXP(-(BT136-BQ136)))*Parameters!$B$3))^12)*100)</f>
        <v/>
      </c>
      <c r="CJ136" s="25">
        <f>IF(AD136=1,0,BV136-(1-(1-(1/(1+EXP(-(BT136-BR136)))*Parameters!$B$3))^12)*100)</f>
        <v/>
      </c>
    </row>
    <row r="137">
      <c r="A137" s="17" t="inlineStr">
        <is>
          <t>GNR_HC_2020</t>
        </is>
      </c>
      <c r="B137" s="17" t="inlineStr">
        <is>
          <t>3617LA5B4</t>
        </is>
      </c>
      <c r="C137" s="17" t="inlineStr">
        <is>
          <t>PN</t>
        </is>
      </c>
      <c r="D137" s="17" t="inlineStr">
        <is>
          <t>GREYSTONE FUNDING COMPANY LLC</t>
        </is>
      </c>
      <c r="E137" s="17" t="inlineStr">
        <is>
          <t>3617LA5B4_000000011622026</t>
        </is>
      </c>
      <c r="F137" s="17" t="n">
        <v>202603</v>
      </c>
      <c r="G137" s="18" t="n">
        <v>3.38</v>
      </c>
      <c r="H137" s="19" t="n">
        <v>12325512.11</v>
      </c>
      <c r="I137" s="17" t="n">
        <v>420</v>
      </c>
      <c r="J137" s="17" t="n">
        <v>20190901</v>
      </c>
      <c r="K137" s="17" t="n">
        <v>20541001</v>
      </c>
      <c r="L137" s="17" t="n"/>
      <c r="M137" s="17" t="n">
        <v>20291101</v>
      </c>
      <c r="N137" s="17" t="n">
        <v>10</v>
      </c>
      <c r="O137" s="17" t="inlineStr">
        <is>
          <t>232/223(F)</t>
        </is>
      </c>
      <c r="P137" s="17" t="inlineStr">
        <is>
          <t>MKT</t>
        </is>
      </c>
      <c r="Q137" s="17" t="n"/>
      <c r="R137" s="17" t="n"/>
      <c r="S137" s="17" t="n"/>
      <c r="T137" s="17" t="inlineStr">
        <is>
          <t>NM</t>
        </is>
      </c>
      <c r="U137" s="17" t="n">
        <v>167</v>
      </c>
      <c r="V137" s="17" t="n">
        <v>490.5</v>
      </c>
      <c r="W137" s="17" t="n">
        <v>78</v>
      </c>
      <c r="X137" s="17" t="n">
        <v>2019</v>
      </c>
      <c r="Y137" s="17" t="n">
        <v>-29</v>
      </c>
      <c r="Z137" s="17" t="n">
        <v>4</v>
      </c>
      <c r="AA137" s="20">
        <f>IF(ISNUMBER(W137),W137,IFERROR(MAX(0,(VALUE(LEFT(F137,4))-VALUE(LEFT(TEXT(J137,"00000000"),4)))*12+(VALUE(MID(F137,5,2))-VALUE(MID(TEXT(J137,"00000000"),5,2)))),""))</f>
        <v/>
      </c>
      <c r="AB137" s="20">
        <f>IFERROR((VALUE(LEFT(TEXT(K137,"00000000"),4))-VALUE(LEFT(F137,4)))*12+(VALUE(MID(TEXT(K137,"00000000"),5,2))-VALUE(MID(F137,5,2))),"")</f>
        <v/>
      </c>
      <c r="AC137" s="20">
        <f>IF(OR(L137="",NOT(ISNUMBER(L137))),0,MAX(0,MIN(60,(VALUE(LEFT(F137,4))-VALUE(LEFT(TEXT(L137,"00000000"),4)))*12+(VALUE(MID(F137,5,2))-VALUE(MID(TEXT(L137,"00000000"),5,2))))))</f>
        <v/>
      </c>
      <c r="AD137" s="20">
        <f>IF(OR(L137="",NOT(ISNUMBER(L137))),0,IF(VALUE(F137)&lt;VALUE(LEFT(TEXT(L137,"00000000"),6)),1,0))</f>
        <v/>
      </c>
      <c r="AE137" s="20">
        <f>IF(OR(M137="",NOT(ISNUMBER(M137))),0,IF(VALUE(F137)&lt;VALUE(LEFT(TEXT(M137,"00000000"),6)),1,0))</f>
        <v/>
      </c>
      <c r="AF137" s="20">
        <f>IF(AND(AD137=0,AE137=0),1,0)</f>
        <v/>
      </c>
      <c r="AG137" s="20">
        <f>IF(ISNUMBER(X137),X137,IFERROR(VALUE(LEFT(TEXT(J137,"00000000"),4)),""))</f>
        <v/>
      </c>
      <c r="AH137" s="20">
        <f>IFERROR(XLOOKUP(AG137,Vintage_Rates!$A$2:$A$1000,Vintage_Rates!$B$2:$B$1000,""),"")</f>
        <v/>
      </c>
      <c r="AI137" s="20">
        <f>IF(ISNUMBER(Y137),Y137,IFERROR((G137-AH137)*100,""))</f>
        <v/>
      </c>
      <c r="AJ137" s="20">
        <f>IF(ISNUMBER(V137),V137,IFERROR(XLOOKUP(VALUE(F137),PLC_Rates!$A$2:$A$1000,PLC_Rates!$B$2:$B$1000,""),""))</f>
        <v/>
      </c>
      <c r="AK137" s="20">
        <f>IF(ISNUMBER(Z137),Z137,IF(AE137=0,0,MAX(0,MIN(10,((VALUE(LEFT(TEXT(M137,"00000000"),4))-VALUE(LEFT(F137,4)))*12+(VALUE(MID(TEXT(M137,"00000000"),5,2))-VALUE(MID(F137,5,2))))/12))))</f>
        <v/>
      </c>
      <c r="AL137" s="20">
        <f>IFERROR(G137*100-AJ137,"")</f>
        <v/>
      </c>
      <c r="AM137" s="20">
        <f>IFERROR(G137*100-(AJ137+(1+AK137)*12.5),"")</f>
        <v/>
      </c>
      <c r="AN137" s="21">
        <f>IFERROR(MIN(H137/1000000,100),"")</f>
        <v/>
      </c>
      <c r="AO137" s="20">
        <f>IFERROR(INDEX(FHA_Lookup!$B$2:$B$11,MATCH(TRUE,ISNUMBER(SEARCH(FHA_Lookup!$A$2:$A$11,UPPER(SUBSTITUTE(O137," ","")))),0)),"OTHER")</f>
        <v/>
      </c>
      <c r="AP137" s="20">
        <f>IFERROR(INDEX(FHA_Lookup!$C$2:$C$11,MATCH(TRUE,ISNUMBER(SEARCH(FHA_Lookup!$A$2:$A$11,UPPER(SUBSTITUTE(O137," ","")))),0)),"OTHER")</f>
        <v/>
      </c>
      <c r="AQ137" s="20">
        <f>IF(AP137="NC",1,0)</f>
        <v/>
      </c>
      <c r="AR137" s="20">
        <f>IF(UPPER(TRIM(P137))="AFF",1,0)</f>
        <v/>
      </c>
      <c r="AS137" s="20">
        <f>IF(UPPER(TRIM(P137))="BAF",1,0)</f>
        <v/>
      </c>
      <c r="AT137" s="20">
        <f>IF(UPPER(TRIM(P137))="MKT",1,0)</f>
        <v/>
      </c>
      <c r="AU137" s="20">
        <f>IF(AO137="221d4",1,0)</f>
        <v/>
      </c>
      <c r="AV137" s="20">
        <f>IF(AO137="223a7",1,0)</f>
        <v/>
      </c>
      <c r="AW137" s="20">
        <f>IF(AO137="232",1,0)</f>
        <v/>
      </c>
      <c r="AX137" s="20">
        <f>IF(AO137="538",1,0)</f>
        <v/>
      </c>
      <c r="AY137" s="20">
        <f>IF(AO137="241",1,0)</f>
        <v/>
      </c>
      <c r="AZ137" s="20">
        <f>IF(AO137="220",1,0)</f>
        <v/>
      </c>
      <c r="BA137" s="20">
        <f>IF(AO137="OTHER",1,0)</f>
        <v/>
      </c>
      <c r="BB137" s="20">
        <f>IF(UPPER(TRIM(C137))="LM",1,0)</f>
        <v/>
      </c>
      <c r="BC137" s="20">
        <f>IF(UPPER(TRIM(C137))="PN",1,0)</f>
        <v/>
      </c>
      <c r="BD137" s="20">
        <f>IF(UPPER(TRIM(C137))="LS",1,0)</f>
        <v/>
      </c>
      <c r="BE137" s="20">
        <f>IF(UPPER(TRIM(C137))="RX",1,0)</f>
        <v/>
      </c>
      <c r="BF137" s="22">
        <f>IFERROR((Parameters!$C$6*AM137+Parameters!$C$7*MAX(AM137-(-150),0)+Parameters!$C$8*MAX(AM137-(-50),0)+Parameters!$C$9*MAX(AM137-(0),0)+Parameters!$C$10*MAX(AM137-(50),0)+Parameters!$C$11*MAX(AM137-(100),0)+Parameters!$C$12*MAX(AM137-(150),0)+Parameters!$C$13*MAX(AM137-(250),0)),0)</f>
        <v/>
      </c>
      <c r="BG137" s="22">
        <f>IFERROR((Parameters!$C$14*AA137+Parameters!$C$15*MAX(AA137-(12),0)+Parameters!$C$16*MAX(AA137-(36),0)+Parameters!$C$17*MAX(AA137-(60),0)+Parameters!$C$18*MAX(AA137-(84),0)+Parameters!$C$19*MAX(AA137-(120),0)+Parameters!$C$20*MAX(AA137-(180),0)),0)</f>
        <v/>
      </c>
      <c r="BH137" s="22">
        <f>IFERROR((Parameters!$C$21*AK137+Parameters!$C$22*MAX(AK137-(0),0)+Parameters!$C$23*MAX(AK137-(2),0)+Parameters!$C$24*MAX(AK137-(5),0)+Parameters!$C$25*MAX(AK137-(8),0)),0)</f>
        <v/>
      </c>
      <c r="BI137" s="22">
        <f>IFERROR((Parameters!$C$26*AI137+Parameters!$C$27*MAX(AI137-(-100),0)+Parameters!$C$28*MAX(AI137-(-25),0)+Parameters!$C$29*MAX(AI137-(25),0)+Parameters!$C$30*MAX(AI137-(100),0)),0)</f>
        <v/>
      </c>
      <c r="BJ137" s="22">
        <f>IFERROR((Parameters!$C$31*AN137+Parameters!$C$32*MAX(AN137-(2),0)+Parameters!$C$33*MAX(AN137-(10),0)+Parameters!$C$34*MAX(AN137-(25),0)),0)</f>
        <v/>
      </c>
      <c r="BK137" s="22">
        <f>IFERROR((Parameters!$C$35*AB137+Parameters!$C$36*MAX(AB137-(12),0)+Parameters!$C$37*MAX(AB137-(24),0)+Parameters!$C$38*MAX(AB137-(60),0)),0)</f>
        <v/>
      </c>
      <c r="BL137" s="22">
        <f>IFERROR((Parameters!$C$39*AC137+Parameters!$C$40*MAX(AC137-(6),0)+Parameters!$C$41*MAX(AC137-(12),0)+Parameters!$C$42*MAX(AC137-(24),0)),0)</f>
        <v/>
      </c>
      <c r="BM137" s="22">
        <f>IFERROR(Parameters!$C$43*(MAX(AM137,0)*MIN(MAX(AK137,0),10))/100,0)</f>
        <v/>
      </c>
      <c r="BN137" s="22">
        <f>Parameters!$C$44*AE137</f>
        <v/>
      </c>
      <c r="BO137" s="22">
        <f>Parameters!$C$45*AU137 + Parameters!$C$46*AV137 + Parameters!$C$47*AW137 + Parameters!$C$48*AX137 + Parameters!$C$49*AY137 + Parameters!$C$50*AZ137 + Parameters!$C$51*BA137</f>
        <v/>
      </c>
      <c r="BP137" s="22">
        <f>Parameters!$C$52*AQ137</f>
        <v/>
      </c>
      <c r="BQ137" s="22">
        <f>Parameters!$C$53*AR137+Parameters!$C$54*AS137+Parameters!$C$55*AT137</f>
        <v/>
      </c>
      <c r="BR137" s="22">
        <f>Parameters!$C$56*BB137+Parameters!$C$57*BC137+Parameters!$C$58*BD137+Parameters!$C$59*BE137</f>
        <v/>
      </c>
      <c r="BS137" s="23">
        <f>Parameters!$B$2</f>
        <v/>
      </c>
      <c r="BT137" s="23">
        <f>BS137+BF137 + BG137 + BH137 + BI137 + BJ137 + BK137 + BL137 + BM137 + BN137 + BO137 + BP137 + BQ137 + BR137</f>
        <v/>
      </c>
      <c r="BU137" s="24">
        <f>IF(AD137=1,0,1/(1+EXP(-BT137))*Parameters!$B$3)</f>
        <v/>
      </c>
      <c r="BV137" s="25">
        <f>(1-(1-BU137)^12)*100</f>
        <v/>
      </c>
      <c r="BW137" s="25">
        <f>IF(AD137=1,0,(1-(1-1/(1+EXP(-Parameters!$B$2)))^12)*100)</f>
        <v/>
      </c>
      <c r="BX137" s="25">
        <f>IF(AD137=1,0,BV137-(1-(1-(1/(1+EXP(-(BT137-BF137)))*Parameters!$B$3))^12)*100)</f>
        <v/>
      </c>
      <c r="BY137" s="25">
        <f>IF(AD137=1,0,BV137-(1-(1-(1/(1+EXP(-(BT137-BG137)))*Parameters!$B$3))^12)*100)</f>
        <v/>
      </c>
      <c r="BZ137" s="25">
        <f>IF(AD137=1,0,BV137-(1-(1-(1/(1+EXP(-(BT137-BH137)))*Parameters!$B$3))^12)*100)</f>
        <v/>
      </c>
      <c r="CA137" s="25">
        <f>IF(AD137=1,0,BV137-(1-(1-(1/(1+EXP(-(BT137-BI137)))*Parameters!$B$3))^12)*100)</f>
        <v/>
      </c>
      <c r="CB137" s="25">
        <f>IF(AD137=1,0,BV137-(1-(1-(1/(1+EXP(-(BT137-BJ137)))*Parameters!$B$3))^12)*100)</f>
        <v/>
      </c>
      <c r="CC137" s="25">
        <f>IF(AD137=1,0,BV137-(1-(1-(1/(1+EXP(-(BT137-BK137)))*Parameters!$B$3))^12)*100)</f>
        <v/>
      </c>
      <c r="CD137" s="25">
        <f>IF(AD137=1,0,BV137-(1-(1-(1/(1+EXP(-(BT137-BL137)))*Parameters!$B$3))^12)*100)</f>
        <v/>
      </c>
      <c r="CE137" s="25">
        <f>IF(AD137=1,0,BV137-(1-(1-(1/(1+EXP(-(BT137-BM137)))*Parameters!$B$3))^12)*100)</f>
        <v/>
      </c>
      <c r="CF137" s="25">
        <f>IF(AD137=1,0,BV137-(1-(1-(1/(1+EXP(-(BT137-BN137)))*Parameters!$B$3))^12)*100)</f>
        <v/>
      </c>
      <c r="CG137" s="25">
        <f>IF(AD137=1,0,BV137-(1-(1-(1/(1+EXP(-(BT137-BO137)))*Parameters!$B$3))^12)*100)</f>
        <v/>
      </c>
      <c r="CH137" s="25">
        <f>IF(AD137=1,0,BV137-(1-(1-(1/(1+EXP(-(BT137-BP137)))*Parameters!$B$3))^12)*100)</f>
        <v/>
      </c>
      <c r="CI137" s="25">
        <f>IF(AD137=1,0,BV137-(1-(1-(1/(1+EXP(-(BT137-BQ137)))*Parameters!$B$3))^12)*100)</f>
        <v/>
      </c>
      <c r="CJ137" s="25">
        <f>IF(AD137=1,0,BV137-(1-(1-(1/(1+EXP(-(BT137-BR137)))*Parameters!$B$3))^12)*100)</f>
        <v/>
      </c>
    </row>
    <row r="138">
      <c r="A138" s="17" t="inlineStr">
        <is>
          <t>GNR_HC_2020</t>
        </is>
      </c>
      <c r="B138" s="17" t="inlineStr">
        <is>
          <t>3617N3YH3</t>
        </is>
      </c>
      <c r="C138" s="17" t="inlineStr">
        <is>
          <t>PN</t>
        </is>
      </c>
      <c r="D138" s="17" t="inlineStr">
        <is>
          <t>GREYSTONE FUNDING COMPANY LLC</t>
        </is>
      </c>
      <c r="E138" s="17" t="inlineStr">
        <is>
          <t>3617N3YH3_000000004222313</t>
        </is>
      </c>
      <c r="F138" s="17" t="n">
        <v>202603</v>
      </c>
      <c r="G138" s="18" t="n">
        <v>2.79</v>
      </c>
      <c r="H138" s="19" t="n">
        <v>8645755.630000001</v>
      </c>
      <c r="I138" s="17" t="n">
        <v>420</v>
      </c>
      <c r="J138" s="17" t="n">
        <v>20200401</v>
      </c>
      <c r="K138" s="17" t="n">
        <v>20550501</v>
      </c>
      <c r="L138" s="17" t="n"/>
      <c r="M138" s="17" t="n">
        <v>20300601</v>
      </c>
      <c r="N138" s="17" t="n">
        <v>10</v>
      </c>
      <c r="O138" s="17" t="inlineStr">
        <is>
          <t>232/223(F)</t>
        </is>
      </c>
      <c r="P138" s="17" t="inlineStr">
        <is>
          <t>MKT</t>
        </is>
      </c>
      <c r="Q138" s="17" t="n"/>
      <c r="R138" s="17" t="n"/>
      <c r="S138" s="17" t="n"/>
      <c r="T138" s="17" t="inlineStr">
        <is>
          <t>OH</t>
        </is>
      </c>
      <c r="U138" s="17" t="n">
        <v>205</v>
      </c>
      <c r="V138" s="17" t="n">
        <v>490.5</v>
      </c>
      <c r="W138" s="17" t="n">
        <v>71</v>
      </c>
      <c r="X138" s="17" t="n">
        <v>2020</v>
      </c>
      <c r="Y138" s="17" t="n">
        <v>-6</v>
      </c>
      <c r="Z138" s="17" t="n">
        <v>5</v>
      </c>
      <c r="AA138" s="20">
        <f>IF(ISNUMBER(W138),W138,IFERROR(MAX(0,(VALUE(LEFT(F138,4))-VALUE(LEFT(TEXT(J138,"00000000"),4)))*12+(VALUE(MID(F138,5,2))-VALUE(MID(TEXT(J138,"00000000"),5,2)))),""))</f>
        <v/>
      </c>
      <c r="AB138" s="20">
        <f>IFERROR((VALUE(LEFT(TEXT(K138,"00000000"),4))-VALUE(LEFT(F138,4)))*12+(VALUE(MID(TEXT(K138,"00000000"),5,2))-VALUE(MID(F138,5,2))),"")</f>
        <v/>
      </c>
      <c r="AC138" s="20">
        <f>IF(OR(L138="",NOT(ISNUMBER(L138))),0,MAX(0,MIN(60,(VALUE(LEFT(F138,4))-VALUE(LEFT(TEXT(L138,"00000000"),4)))*12+(VALUE(MID(F138,5,2))-VALUE(MID(TEXT(L138,"00000000"),5,2))))))</f>
        <v/>
      </c>
      <c r="AD138" s="20">
        <f>IF(OR(L138="",NOT(ISNUMBER(L138))),0,IF(VALUE(F138)&lt;VALUE(LEFT(TEXT(L138,"00000000"),6)),1,0))</f>
        <v/>
      </c>
      <c r="AE138" s="20">
        <f>IF(OR(M138="",NOT(ISNUMBER(M138))),0,IF(VALUE(F138)&lt;VALUE(LEFT(TEXT(M138,"00000000"),6)),1,0))</f>
        <v/>
      </c>
      <c r="AF138" s="20">
        <f>IF(AND(AD138=0,AE138=0),1,0)</f>
        <v/>
      </c>
      <c r="AG138" s="20">
        <f>IF(ISNUMBER(X138),X138,IFERROR(VALUE(LEFT(TEXT(J138,"00000000"),4)),""))</f>
        <v/>
      </c>
      <c r="AH138" s="20">
        <f>IFERROR(XLOOKUP(AG138,Vintage_Rates!$A$2:$A$1000,Vintage_Rates!$B$2:$B$1000,""),"")</f>
        <v/>
      </c>
      <c r="AI138" s="20">
        <f>IF(ISNUMBER(Y138),Y138,IFERROR((G138-AH138)*100,""))</f>
        <v/>
      </c>
      <c r="AJ138" s="20">
        <f>IF(ISNUMBER(V138),V138,IFERROR(XLOOKUP(VALUE(F138),PLC_Rates!$A$2:$A$1000,PLC_Rates!$B$2:$B$1000,""),""))</f>
        <v/>
      </c>
      <c r="AK138" s="20">
        <f>IF(ISNUMBER(Z138),Z138,IF(AE138=0,0,MAX(0,MIN(10,((VALUE(LEFT(TEXT(M138,"00000000"),4))-VALUE(LEFT(F138,4)))*12+(VALUE(MID(TEXT(M138,"00000000"),5,2))-VALUE(MID(F138,5,2))))/12))))</f>
        <v/>
      </c>
      <c r="AL138" s="20">
        <f>IFERROR(G138*100-AJ138,"")</f>
        <v/>
      </c>
      <c r="AM138" s="20">
        <f>IFERROR(G138*100-(AJ138+(1+AK138)*12.5),"")</f>
        <v/>
      </c>
      <c r="AN138" s="21">
        <f>IFERROR(MIN(H138/1000000,100),"")</f>
        <v/>
      </c>
      <c r="AO138" s="20">
        <f>IFERROR(INDEX(FHA_Lookup!$B$2:$B$11,MATCH(TRUE,ISNUMBER(SEARCH(FHA_Lookup!$A$2:$A$11,UPPER(SUBSTITUTE(O138," ","")))),0)),"OTHER")</f>
        <v/>
      </c>
      <c r="AP138" s="20">
        <f>IFERROR(INDEX(FHA_Lookup!$C$2:$C$11,MATCH(TRUE,ISNUMBER(SEARCH(FHA_Lookup!$A$2:$A$11,UPPER(SUBSTITUTE(O138," ","")))),0)),"OTHER")</f>
        <v/>
      </c>
      <c r="AQ138" s="20">
        <f>IF(AP138="NC",1,0)</f>
        <v/>
      </c>
      <c r="AR138" s="20">
        <f>IF(UPPER(TRIM(P138))="AFF",1,0)</f>
        <v/>
      </c>
      <c r="AS138" s="20">
        <f>IF(UPPER(TRIM(P138))="BAF",1,0)</f>
        <v/>
      </c>
      <c r="AT138" s="20">
        <f>IF(UPPER(TRIM(P138))="MKT",1,0)</f>
        <v/>
      </c>
      <c r="AU138" s="20">
        <f>IF(AO138="221d4",1,0)</f>
        <v/>
      </c>
      <c r="AV138" s="20">
        <f>IF(AO138="223a7",1,0)</f>
        <v/>
      </c>
      <c r="AW138" s="20">
        <f>IF(AO138="232",1,0)</f>
        <v/>
      </c>
      <c r="AX138" s="20">
        <f>IF(AO138="538",1,0)</f>
        <v/>
      </c>
      <c r="AY138" s="20">
        <f>IF(AO138="241",1,0)</f>
        <v/>
      </c>
      <c r="AZ138" s="20">
        <f>IF(AO138="220",1,0)</f>
        <v/>
      </c>
      <c r="BA138" s="20">
        <f>IF(AO138="OTHER",1,0)</f>
        <v/>
      </c>
      <c r="BB138" s="20">
        <f>IF(UPPER(TRIM(C138))="LM",1,0)</f>
        <v/>
      </c>
      <c r="BC138" s="20">
        <f>IF(UPPER(TRIM(C138))="PN",1,0)</f>
        <v/>
      </c>
      <c r="BD138" s="20">
        <f>IF(UPPER(TRIM(C138))="LS",1,0)</f>
        <v/>
      </c>
      <c r="BE138" s="20">
        <f>IF(UPPER(TRIM(C138))="RX",1,0)</f>
        <v/>
      </c>
      <c r="BF138" s="22">
        <f>IFERROR((Parameters!$C$6*AM138+Parameters!$C$7*MAX(AM138-(-150),0)+Parameters!$C$8*MAX(AM138-(-50),0)+Parameters!$C$9*MAX(AM138-(0),0)+Parameters!$C$10*MAX(AM138-(50),0)+Parameters!$C$11*MAX(AM138-(100),0)+Parameters!$C$12*MAX(AM138-(150),0)+Parameters!$C$13*MAX(AM138-(250),0)),0)</f>
        <v/>
      </c>
      <c r="BG138" s="22">
        <f>IFERROR((Parameters!$C$14*AA138+Parameters!$C$15*MAX(AA138-(12),0)+Parameters!$C$16*MAX(AA138-(36),0)+Parameters!$C$17*MAX(AA138-(60),0)+Parameters!$C$18*MAX(AA138-(84),0)+Parameters!$C$19*MAX(AA138-(120),0)+Parameters!$C$20*MAX(AA138-(180),0)),0)</f>
        <v/>
      </c>
      <c r="BH138" s="22">
        <f>IFERROR((Parameters!$C$21*AK138+Parameters!$C$22*MAX(AK138-(0),0)+Parameters!$C$23*MAX(AK138-(2),0)+Parameters!$C$24*MAX(AK138-(5),0)+Parameters!$C$25*MAX(AK138-(8),0)),0)</f>
        <v/>
      </c>
      <c r="BI138" s="22">
        <f>IFERROR((Parameters!$C$26*AI138+Parameters!$C$27*MAX(AI138-(-100),0)+Parameters!$C$28*MAX(AI138-(-25),0)+Parameters!$C$29*MAX(AI138-(25),0)+Parameters!$C$30*MAX(AI138-(100),0)),0)</f>
        <v/>
      </c>
      <c r="BJ138" s="22">
        <f>IFERROR((Parameters!$C$31*AN138+Parameters!$C$32*MAX(AN138-(2),0)+Parameters!$C$33*MAX(AN138-(10),0)+Parameters!$C$34*MAX(AN138-(25),0)),0)</f>
        <v/>
      </c>
      <c r="BK138" s="22">
        <f>IFERROR((Parameters!$C$35*AB138+Parameters!$C$36*MAX(AB138-(12),0)+Parameters!$C$37*MAX(AB138-(24),0)+Parameters!$C$38*MAX(AB138-(60),0)),0)</f>
        <v/>
      </c>
      <c r="BL138" s="22">
        <f>IFERROR((Parameters!$C$39*AC138+Parameters!$C$40*MAX(AC138-(6),0)+Parameters!$C$41*MAX(AC138-(12),0)+Parameters!$C$42*MAX(AC138-(24),0)),0)</f>
        <v/>
      </c>
      <c r="BM138" s="22">
        <f>IFERROR(Parameters!$C$43*(MAX(AM138,0)*MIN(MAX(AK138,0),10))/100,0)</f>
        <v/>
      </c>
      <c r="BN138" s="22">
        <f>Parameters!$C$44*AE138</f>
        <v/>
      </c>
      <c r="BO138" s="22">
        <f>Parameters!$C$45*AU138 + Parameters!$C$46*AV138 + Parameters!$C$47*AW138 + Parameters!$C$48*AX138 + Parameters!$C$49*AY138 + Parameters!$C$50*AZ138 + Parameters!$C$51*BA138</f>
        <v/>
      </c>
      <c r="BP138" s="22">
        <f>Parameters!$C$52*AQ138</f>
        <v/>
      </c>
      <c r="BQ138" s="22">
        <f>Parameters!$C$53*AR138+Parameters!$C$54*AS138+Parameters!$C$55*AT138</f>
        <v/>
      </c>
      <c r="BR138" s="22">
        <f>Parameters!$C$56*BB138+Parameters!$C$57*BC138+Parameters!$C$58*BD138+Parameters!$C$59*BE138</f>
        <v/>
      </c>
      <c r="BS138" s="23">
        <f>Parameters!$B$2</f>
        <v/>
      </c>
      <c r="BT138" s="23">
        <f>BS138+BF138 + BG138 + BH138 + BI138 + BJ138 + BK138 + BL138 + BM138 + BN138 + BO138 + BP138 + BQ138 + BR138</f>
        <v/>
      </c>
      <c r="BU138" s="24">
        <f>IF(AD138=1,0,1/(1+EXP(-BT138))*Parameters!$B$3)</f>
        <v/>
      </c>
      <c r="BV138" s="25">
        <f>(1-(1-BU138)^12)*100</f>
        <v/>
      </c>
      <c r="BW138" s="25">
        <f>IF(AD138=1,0,(1-(1-1/(1+EXP(-Parameters!$B$2)))^12)*100)</f>
        <v/>
      </c>
      <c r="BX138" s="25">
        <f>IF(AD138=1,0,BV138-(1-(1-(1/(1+EXP(-(BT138-BF138)))*Parameters!$B$3))^12)*100)</f>
        <v/>
      </c>
      <c r="BY138" s="25">
        <f>IF(AD138=1,0,BV138-(1-(1-(1/(1+EXP(-(BT138-BG138)))*Parameters!$B$3))^12)*100)</f>
        <v/>
      </c>
      <c r="BZ138" s="25">
        <f>IF(AD138=1,0,BV138-(1-(1-(1/(1+EXP(-(BT138-BH138)))*Parameters!$B$3))^12)*100)</f>
        <v/>
      </c>
      <c r="CA138" s="25">
        <f>IF(AD138=1,0,BV138-(1-(1-(1/(1+EXP(-(BT138-BI138)))*Parameters!$B$3))^12)*100)</f>
        <v/>
      </c>
      <c r="CB138" s="25">
        <f>IF(AD138=1,0,BV138-(1-(1-(1/(1+EXP(-(BT138-BJ138)))*Parameters!$B$3))^12)*100)</f>
        <v/>
      </c>
      <c r="CC138" s="25">
        <f>IF(AD138=1,0,BV138-(1-(1-(1/(1+EXP(-(BT138-BK138)))*Parameters!$B$3))^12)*100)</f>
        <v/>
      </c>
      <c r="CD138" s="25">
        <f>IF(AD138=1,0,BV138-(1-(1-(1/(1+EXP(-(BT138-BL138)))*Parameters!$B$3))^12)*100)</f>
        <v/>
      </c>
      <c r="CE138" s="25">
        <f>IF(AD138=1,0,BV138-(1-(1-(1/(1+EXP(-(BT138-BM138)))*Parameters!$B$3))^12)*100)</f>
        <v/>
      </c>
      <c r="CF138" s="25">
        <f>IF(AD138=1,0,BV138-(1-(1-(1/(1+EXP(-(BT138-BN138)))*Parameters!$B$3))^12)*100)</f>
        <v/>
      </c>
      <c r="CG138" s="25">
        <f>IF(AD138=1,0,BV138-(1-(1-(1/(1+EXP(-(BT138-BO138)))*Parameters!$B$3))^12)*100)</f>
        <v/>
      </c>
      <c r="CH138" s="25">
        <f>IF(AD138=1,0,BV138-(1-(1-(1/(1+EXP(-(BT138-BP138)))*Parameters!$B$3))^12)*100)</f>
        <v/>
      </c>
      <c r="CI138" s="25">
        <f>IF(AD138=1,0,BV138-(1-(1-(1/(1+EXP(-(BT138-BQ138)))*Parameters!$B$3))^12)*100)</f>
        <v/>
      </c>
      <c r="CJ138" s="25">
        <f>IF(AD138=1,0,BV138-(1-(1-(1/(1+EXP(-(BT138-BR138)))*Parameters!$B$3))^12)*100)</f>
        <v/>
      </c>
    </row>
    <row r="139">
      <c r="A139" s="17" t="inlineStr">
        <is>
          <t>GNR_HC_2020</t>
        </is>
      </c>
      <c r="B139" s="17" t="inlineStr">
        <is>
          <t>3617Y9LT6</t>
        </is>
      </c>
      <c r="C139" s="17" t="inlineStr">
        <is>
          <t>PN</t>
        </is>
      </c>
      <c r="D139" s="17" t="inlineStr">
        <is>
          <t>NEWPOINT REAL ESTATE CAPITAL LLC</t>
        </is>
      </c>
      <c r="E139" s="17" t="inlineStr">
        <is>
          <t>3617Y9LT6_000000002322238</t>
        </is>
      </c>
      <c r="F139" s="17" t="n">
        <v>202603</v>
      </c>
      <c r="G139" s="18" t="n">
        <v>2.38</v>
      </c>
      <c r="H139" s="19" t="n">
        <v>11553777.93</v>
      </c>
      <c r="I139" s="17" t="n">
        <v>420</v>
      </c>
      <c r="J139" s="17" t="n">
        <v>20220217</v>
      </c>
      <c r="K139" s="17" t="n">
        <v>20570301</v>
      </c>
      <c r="L139" s="17" t="n"/>
      <c r="M139" s="17" t="n">
        <v>20320401</v>
      </c>
      <c r="N139" s="17" t="n">
        <v>10</v>
      </c>
      <c r="O139" s="17" t="inlineStr">
        <is>
          <t>223(A)(7)/232/223(F)</t>
        </is>
      </c>
      <c r="P139" s="17" t="inlineStr">
        <is>
          <t>MKT</t>
        </is>
      </c>
      <c r="Q139" s="17" t="n"/>
      <c r="R139" s="17" t="n"/>
      <c r="S139" s="17" t="n"/>
      <c r="T139" s="17" t="inlineStr">
        <is>
          <t>MA</t>
        </is>
      </c>
      <c r="U139" s="17" t="n">
        <v>76</v>
      </c>
      <c r="V139" s="17" t="n">
        <v>490.5</v>
      </c>
      <c r="W139" s="17" t="n">
        <v>49</v>
      </c>
      <c r="X139" s="17" t="n">
        <v>2022</v>
      </c>
      <c r="Y139" s="17" t="n">
        <v>-137</v>
      </c>
      <c r="Z139" s="17" t="n">
        <v>7</v>
      </c>
      <c r="AA139" s="20">
        <f>IF(ISNUMBER(W139),W139,IFERROR(MAX(0,(VALUE(LEFT(F139,4))-VALUE(LEFT(TEXT(J139,"00000000"),4)))*12+(VALUE(MID(F139,5,2))-VALUE(MID(TEXT(J139,"00000000"),5,2)))),""))</f>
        <v/>
      </c>
      <c r="AB139" s="20">
        <f>IFERROR((VALUE(LEFT(TEXT(K139,"00000000"),4))-VALUE(LEFT(F139,4)))*12+(VALUE(MID(TEXT(K139,"00000000"),5,2))-VALUE(MID(F139,5,2))),"")</f>
        <v/>
      </c>
      <c r="AC139" s="20">
        <f>IF(OR(L139="",NOT(ISNUMBER(L139))),0,MAX(0,MIN(60,(VALUE(LEFT(F139,4))-VALUE(LEFT(TEXT(L139,"00000000"),4)))*12+(VALUE(MID(F139,5,2))-VALUE(MID(TEXT(L139,"00000000"),5,2))))))</f>
        <v/>
      </c>
      <c r="AD139" s="20">
        <f>IF(OR(L139="",NOT(ISNUMBER(L139))),0,IF(VALUE(F139)&lt;VALUE(LEFT(TEXT(L139,"00000000"),6)),1,0))</f>
        <v/>
      </c>
      <c r="AE139" s="20">
        <f>IF(OR(M139="",NOT(ISNUMBER(M139))),0,IF(VALUE(F139)&lt;VALUE(LEFT(TEXT(M139,"00000000"),6)),1,0))</f>
        <v/>
      </c>
      <c r="AF139" s="20">
        <f>IF(AND(AD139=0,AE139=0),1,0)</f>
        <v/>
      </c>
      <c r="AG139" s="20">
        <f>IF(ISNUMBER(X139),X139,IFERROR(VALUE(LEFT(TEXT(J139,"00000000"),4)),""))</f>
        <v/>
      </c>
      <c r="AH139" s="20">
        <f>IFERROR(XLOOKUP(AG139,Vintage_Rates!$A$2:$A$1000,Vintage_Rates!$B$2:$B$1000,""),"")</f>
        <v/>
      </c>
      <c r="AI139" s="20">
        <f>IF(ISNUMBER(Y139),Y139,IFERROR((G139-AH139)*100,""))</f>
        <v/>
      </c>
      <c r="AJ139" s="20">
        <f>IF(ISNUMBER(V139),V139,IFERROR(XLOOKUP(VALUE(F139),PLC_Rates!$A$2:$A$1000,PLC_Rates!$B$2:$B$1000,""),""))</f>
        <v/>
      </c>
      <c r="AK139" s="20">
        <f>IF(ISNUMBER(Z139),Z139,IF(AE139=0,0,MAX(0,MIN(10,((VALUE(LEFT(TEXT(M139,"00000000"),4))-VALUE(LEFT(F139,4)))*12+(VALUE(MID(TEXT(M139,"00000000"),5,2))-VALUE(MID(F139,5,2))))/12))))</f>
        <v/>
      </c>
      <c r="AL139" s="20">
        <f>IFERROR(G139*100-AJ139,"")</f>
        <v/>
      </c>
      <c r="AM139" s="20">
        <f>IFERROR(G139*100-(AJ139+(1+AK139)*12.5),"")</f>
        <v/>
      </c>
      <c r="AN139" s="21">
        <f>IFERROR(MIN(H139/1000000,100),"")</f>
        <v/>
      </c>
      <c r="AO139" s="20">
        <f>IFERROR(INDEX(FHA_Lookup!$B$2:$B$11,MATCH(TRUE,ISNUMBER(SEARCH(FHA_Lookup!$A$2:$A$11,UPPER(SUBSTITUTE(O139," ","")))),0)),"OTHER")</f>
        <v/>
      </c>
      <c r="AP139" s="20">
        <f>IFERROR(INDEX(FHA_Lookup!$C$2:$C$11,MATCH(TRUE,ISNUMBER(SEARCH(FHA_Lookup!$A$2:$A$11,UPPER(SUBSTITUTE(O139," ","")))),0)),"OTHER")</f>
        <v/>
      </c>
      <c r="AQ139" s="20">
        <f>IF(AP139="NC",1,0)</f>
        <v/>
      </c>
      <c r="AR139" s="20">
        <f>IF(UPPER(TRIM(P139))="AFF",1,0)</f>
        <v/>
      </c>
      <c r="AS139" s="20">
        <f>IF(UPPER(TRIM(P139))="BAF",1,0)</f>
        <v/>
      </c>
      <c r="AT139" s="20">
        <f>IF(UPPER(TRIM(P139))="MKT",1,0)</f>
        <v/>
      </c>
      <c r="AU139" s="20">
        <f>IF(AO139="221d4",1,0)</f>
        <v/>
      </c>
      <c r="AV139" s="20">
        <f>IF(AO139="223a7",1,0)</f>
        <v/>
      </c>
      <c r="AW139" s="20">
        <f>IF(AO139="232",1,0)</f>
        <v/>
      </c>
      <c r="AX139" s="20">
        <f>IF(AO139="538",1,0)</f>
        <v/>
      </c>
      <c r="AY139" s="20">
        <f>IF(AO139="241",1,0)</f>
        <v/>
      </c>
      <c r="AZ139" s="20">
        <f>IF(AO139="220",1,0)</f>
        <v/>
      </c>
      <c r="BA139" s="20">
        <f>IF(AO139="OTHER",1,0)</f>
        <v/>
      </c>
      <c r="BB139" s="20">
        <f>IF(UPPER(TRIM(C139))="LM",1,0)</f>
        <v/>
      </c>
      <c r="BC139" s="20">
        <f>IF(UPPER(TRIM(C139))="PN",1,0)</f>
        <v/>
      </c>
      <c r="BD139" s="20">
        <f>IF(UPPER(TRIM(C139))="LS",1,0)</f>
        <v/>
      </c>
      <c r="BE139" s="20">
        <f>IF(UPPER(TRIM(C139))="RX",1,0)</f>
        <v/>
      </c>
      <c r="BF139" s="22">
        <f>IFERROR((Parameters!$C$6*AM139+Parameters!$C$7*MAX(AM139-(-150),0)+Parameters!$C$8*MAX(AM139-(-50),0)+Parameters!$C$9*MAX(AM139-(0),0)+Parameters!$C$10*MAX(AM139-(50),0)+Parameters!$C$11*MAX(AM139-(100),0)+Parameters!$C$12*MAX(AM139-(150),0)+Parameters!$C$13*MAX(AM139-(250),0)),0)</f>
        <v/>
      </c>
      <c r="BG139" s="22">
        <f>IFERROR((Parameters!$C$14*AA139+Parameters!$C$15*MAX(AA139-(12),0)+Parameters!$C$16*MAX(AA139-(36),0)+Parameters!$C$17*MAX(AA139-(60),0)+Parameters!$C$18*MAX(AA139-(84),0)+Parameters!$C$19*MAX(AA139-(120),0)+Parameters!$C$20*MAX(AA139-(180),0)),0)</f>
        <v/>
      </c>
      <c r="BH139" s="22">
        <f>IFERROR((Parameters!$C$21*AK139+Parameters!$C$22*MAX(AK139-(0),0)+Parameters!$C$23*MAX(AK139-(2),0)+Parameters!$C$24*MAX(AK139-(5),0)+Parameters!$C$25*MAX(AK139-(8),0)),0)</f>
        <v/>
      </c>
      <c r="BI139" s="22">
        <f>IFERROR((Parameters!$C$26*AI139+Parameters!$C$27*MAX(AI139-(-100),0)+Parameters!$C$28*MAX(AI139-(-25),0)+Parameters!$C$29*MAX(AI139-(25),0)+Parameters!$C$30*MAX(AI139-(100),0)),0)</f>
        <v/>
      </c>
      <c r="BJ139" s="22">
        <f>IFERROR((Parameters!$C$31*AN139+Parameters!$C$32*MAX(AN139-(2),0)+Parameters!$C$33*MAX(AN139-(10),0)+Parameters!$C$34*MAX(AN139-(25),0)),0)</f>
        <v/>
      </c>
      <c r="BK139" s="22">
        <f>IFERROR((Parameters!$C$35*AB139+Parameters!$C$36*MAX(AB139-(12),0)+Parameters!$C$37*MAX(AB139-(24),0)+Parameters!$C$38*MAX(AB139-(60),0)),0)</f>
        <v/>
      </c>
      <c r="BL139" s="22">
        <f>IFERROR((Parameters!$C$39*AC139+Parameters!$C$40*MAX(AC139-(6),0)+Parameters!$C$41*MAX(AC139-(12),0)+Parameters!$C$42*MAX(AC139-(24),0)),0)</f>
        <v/>
      </c>
      <c r="BM139" s="22">
        <f>IFERROR(Parameters!$C$43*(MAX(AM139,0)*MIN(MAX(AK139,0),10))/100,0)</f>
        <v/>
      </c>
      <c r="BN139" s="22">
        <f>Parameters!$C$44*AE139</f>
        <v/>
      </c>
      <c r="BO139" s="22">
        <f>Parameters!$C$45*AU139 + Parameters!$C$46*AV139 + Parameters!$C$47*AW139 + Parameters!$C$48*AX139 + Parameters!$C$49*AY139 + Parameters!$C$50*AZ139 + Parameters!$C$51*BA139</f>
        <v/>
      </c>
      <c r="BP139" s="22">
        <f>Parameters!$C$52*AQ139</f>
        <v/>
      </c>
      <c r="BQ139" s="22">
        <f>Parameters!$C$53*AR139+Parameters!$C$54*AS139+Parameters!$C$55*AT139</f>
        <v/>
      </c>
      <c r="BR139" s="22">
        <f>Parameters!$C$56*BB139+Parameters!$C$57*BC139+Parameters!$C$58*BD139+Parameters!$C$59*BE139</f>
        <v/>
      </c>
      <c r="BS139" s="23">
        <f>Parameters!$B$2</f>
        <v/>
      </c>
      <c r="BT139" s="23">
        <f>BS139+BF139 + BG139 + BH139 + BI139 + BJ139 + BK139 + BL139 + BM139 + BN139 + BO139 + BP139 + BQ139 + BR139</f>
        <v/>
      </c>
      <c r="BU139" s="24">
        <f>IF(AD139=1,0,1/(1+EXP(-BT139))*Parameters!$B$3)</f>
        <v/>
      </c>
      <c r="BV139" s="25">
        <f>(1-(1-BU139)^12)*100</f>
        <v/>
      </c>
      <c r="BW139" s="25">
        <f>IF(AD139=1,0,(1-(1-1/(1+EXP(-Parameters!$B$2)))^12)*100)</f>
        <v/>
      </c>
      <c r="BX139" s="25">
        <f>IF(AD139=1,0,BV139-(1-(1-(1/(1+EXP(-(BT139-BF139)))*Parameters!$B$3))^12)*100)</f>
        <v/>
      </c>
      <c r="BY139" s="25">
        <f>IF(AD139=1,0,BV139-(1-(1-(1/(1+EXP(-(BT139-BG139)))*Parameters!$B$3))^12)*100)</f>
        <v/>
      </c>
      <c r="BZ139" s="25">
        <f>IF(AD139=1,0,BV139-(1-(1-(1/(1+EXP(-(BT139-BH139)))*Parameters!$B$3))^12)*100)</f>
        <v/>
      </c>
      <c r="CA139" s="25">
        <f>IF(AD139=1,0,BV139-(1-(1-(1/(1+EXP(-(BT139-BI139)))*Parameters!$B$3))^12)*100)</f>
        <v/>
      </c>
      <c r="CB139" s="25">
        <f>IF(AD139=1,0,BV139-(1-(1-(1/(1+EXP(-(BT139-BJ139)))*Parameters!$B$3))^12)*100)</f>
        <v/>
      </c>
      <c r="CC139" s="25">
        <f>IF(AD139=1,0,BV139-(1-(1-(1/(1+EXP(-(BT139-BK139)))*Parameters!$B$3))^12)*100)</f>
        <v/>
      </c>
      <c r="CD139" s="25">
        <f>IF(AD139=1,0,BV139-(1-(1-(1/(1+EXP(-(BT139-BL139)))*Parameters!$B$3))^12)*100)</f>
        <v/>
      </c>
      <c r="CE139" s="25">
        <f>IF(AD139=1,0,BV139-(1-(1-(1/(1+EXP(-(BT139-BM139)))*Parameters!$B$3))^12)*100)</f>
        <v/>
      </c>
      <c r="CF139" s="25">
        <f>IF(AD139=1,0,BV139-(1-(1-(1/(1+EXP(-(BT139-BN139)))*Parameters!$B$3))^12)*100)</f>
        <v/>
      </c>
      <c r="CG139" s="25">
        <f>IF(AD139=1,0,BV139-(1-(1-(1/(1+EXP(-(BT139-BO139)))*Parameters!$B$3))^12)*100)</f>
        <v/>
      </c>
      <c r="CH139" s="25">
        <f>IF(AD139=1,0,BV139-(1-(1-(1/(1+EXP(-(BT139-BP139)))*Parameters!$B$3))^12)*100)</f>
        <v/>
      </c>
      <c r="CI139" s="25">
        <f>IF(AD139=1,0,BV139-(1-(1-(1/(1+EXP(-(BT139-BQ139)))*Parameters!$B$3))^12)*100)</f>
        <v/>
      </c>
      <c r="CJ139" s="25">
        <f>IF(AD139=1,0,BV139-(1-(1-(1/(1+EXP(-(BT139-BR139)))*Parameters!$B$3))^12)*100)</f>
        <v/>
      </c>
    </row>
    <row r="140">
      <c r="A140" s="17" t="inlineStr">
        <is>
          <t>GNR_HC_2020</t>
        </is>
      </c>
      <c r="B140" s="17" t="inlineStr">
        <is>
          <t>3617LC5J3</t>
        </is>
      </c>
      <c r="C140" s="17" t="inlineStr">
        <is>
          <t>PN</t>
        </is>
      </c>
      <c r="D140" s="17" t="inlineStr">
        <is>
          <t>LUMENT REAL ESTATE CAPITAL,LLC</t>
        </is>
      </c>
      <c r="E140" s="17" t="inlineStr">
        <is>
          <t>3617LC5J3_000000012922064</t>
        </is>
      </c>
      <c r="F140" s="17" t="n">
        <v>202603</v>
      </c>
      <c r="G140" s="18" t="n">
        <v>2.97</v>
      </c>
      <c r="H140" s="19" t="n">
        <v>12866323.67</v>
      </c>
      <c r="I140" s="17" t="n">
        <v>420</v>
      </c>
      <c r="J140" s="17" t="n">
        <v>20191010</v>
      </c>
      <c r="K140" s="17" t="n">
        <v>20541101</v>
      </c>
      <c r="L140" s="17" t="n"/>
      <c r="M140" s="17" t="n">
        <v>20291201</v>
      </c>
      <c r="N140" s="17" t="n">
        <v>10</v>
      </c>
      <c r="O140" s="17" t="inlineStr">
        <is>
          <t>232/223(F)</t>
        </is>
      </c>
      <c r="P140" s="17" t="inlineStr">
        <is>
          <t>MKT</t>
        </is>
      </c>
      <c r="Q140" s="17" t="n"/>
      <c r="R140" s="17" t="n"/>
      <c r="S140" s="17" t="n"/>
      <c r="T140" s="17" t="inlineStr">
        <is>
          <t>CA</t>
        </is>
      </c>
      <c r="U140" s="17" t="n">
        <v>214</v>
      </c>
      <c r="V140" s="17" t="n">
        <v>490.5</v>
      </c>
      <c r="W140" s="17" t="n">
        <v>77</v>
      </c>
      <c r="X140" s="17" t="n">
        <v>2019</v>
      </c>
      <c r="Y140" s="17" t="n">
        <v>-70</v>
      </c>
      <c r="Z140" s="17" t="n">
        <v>4</v>
      </c>
      <c r="AA140" s="20">
        <f>IF(ISNUMBER(W140),W140,IFERROR(MAX(0,(VALUE(LEFT(F140,4))-VALUE(LEFT(TEXT(J140,"00000000"),4)))*12+(VALUE(MID(F140,5,2))-VALUE(MID(TEXT(J140,"00000000"),5,2)))),""))</f>
        <v/>
      </c>
      <c r="AB140" s="20">
        <f>IFERROR((VALUE(LEFT(TEXT(K140,"00000000"),4))-VALUE(LEFT(F140,4)))*12+(VALUE(MID(TEXT(K140,"00000000"),5,2))-VALUE(MID(F140,5,2))),"")</f>
        <v/>
      </c>
      <c r="AC140" s="20">
        <f>IF(OR(L140="",NOT(ISNUMBER(L140))),0,MAX(0,MIN(60,(VALUE(LEFT(F140,4))-VALUE(LEFT(TEXT(L140,"00000000"),4)))*12+(VALUE(MID(F140,5,2))-VALUE(MID(TEXT(L140,"00000000"),5,2))))))</f>
        <v/>
      </c>
      <c r="AD140" s="20">
        <f>IF(OR(L140="",NOT(ISNUMBER(L140))),0,IF(VALUE(F140)&lt;VALUE(LEFT(TEXT(L140,"00000000"),6)),1,0))</f>
        <v/>
      </c>
      <c r="AE140" s="20">
        <f>IF(OR(M140="",NOT(ISNUMBER(M140))),0,IF(VALUE(F140)&lt;VALUE(LEFT(TEXT(M140,"00000000"),6)),1,0))</f>
        <v/>
      </c>
      <c r="AF140" s="20">
        <f>IF(AND(AD140=0,AE140=0),1,0)</f>
        <v/>
      </c>
      <c r="AG140" s="20">
        <f>IF(ISNUMBER(X140),X140,IFERROR(VALUE(LEFT(TEXT(J140,"00000000"),4)),""))</f>
        <v/>
      </c>
      <c r="AH140" s="20">
        <f>IFERROR(XLOOKUP(AG140,Vintage_Rates!$A$2:$A$1000,Vintage_Rates!$B$2:$B$1000,""),"")</f>
        <v/>
      </c>
      <c r="AI140" s="20">
        <f>IF(ISNUMBER(Y140),Y140,IFERROR((G140-AH140)*100,""))</f>
        <v/>
      </c>
      <c r="AJ140" s="20">
        <f>IF(ISNUMBER(V140),V140,IFERROR(XLOOKUP(VALUE(F140),PLC_Rates!$A$2:$A$1000,PLC_Rates!$B$2:$B$1000,""),""))</f>
        <v/>
      </c>
      <c r="AK140" s="20">
        <f>IF(ISNUMBER(Z140),Z140,IF(AE140=0,0,MAX(0,MIN(10,((VALUE(LEFT(TEXT(M140,"00000000"),4))-VALUE(LEFT(F140,4)))*12+(VALUE(MID(TEXT(M140,"00000000"),5,2))-VALUE(MID(F140,5,2))))/12))))</f>
        <v/>
      </c>
      <c r="AL140" s="20">
        <f>IFERROR(G140*100-AJ140,"")</f>
        <v/>
      </c>
      <c r="AM140" s="20">
        <f>IFERROR(G140*100-(AJ140+(1+AK140)*12.5),"")</f>
        <v/>
      </c>
      <c r="AN140" s="21">
        <f>IFERROR(MIN(H140/1000000,100),"")</f>
        <v/>
      </c>
      <c r="AO140" s="20">
        <f>IFERROR(INDEX(FHA_Lookup!$B$2:$B$11,MATCH(TRUE,ISNUMBER(SEARCH(FHA_Lookup!$A$2:$A$11,UPPER(SUBSTITUTE(O140," ","")))),0)),"OTHER")</f>
        <v/>
      </c>
      <c r="AP140" s="20">
        <f>IFERROR(INDEX(FHA_Lookup!$C$2:$C$11,MATCH(TRUE,ISNUMBER(SEARCH(FHA_Lookup!$A$2:$A$11,UPPER(SUBSTITUTE(O140," ","")))),0)),"OTHER")</f>
        <v/>
      </c>
      <c r="AQ140" s="20">
        <f>IF(AP140="NC",1,0)</f>
        <v/>
      </c>
      <c r="AR140" s="20">
        <f>IF(UPPER(TRIM(P140))="AFF",1,0)</f>
        <v/>
      </c>
      <c r="AS140" s="20">
        <f>IF(UPPER(TRIM(P140))="BAF",1,0)</f>
        <v/>
      </c>
      <c r="AT140" s="20">
        <f>IF(UPPER(TRIM(P140))="MKT",1,0)</f>
        <v/>
      </c>
      <c r="AU140" s="20">
        <f>IF(AO140="221d4",1,0)</f>
        <v/>
      </c>
      <c r="AV140" s="20">
        <f>IF(AO140="223a7",1,0)</f>
        <v/>
      </c>
      <c r="AW140" s="20">
        <f>IF(AO140="232",1,0)</f>
        <v/>
      </c>
      <c r="AX140" s="20">
        <f>IF(AO140="538",1,0)</f>
        <v/>
      </c>
      <c r="AY140" s="20">
        <f>IF(AO140="241",1,0)</f>
        <v/>
      </c>
      <c r="AZ140" s="20">
        <f>IF(AO140="220",1,0)</f>
        <v/>
      </c>
      <c r="BA140" s="20">
        <f>IF(AO140="OTHER",1,0)</f>
        <v/>
      </c>
      <c r="BB140" s="20">
        <f>IF(UPPER(TRIM(C140))="LM",1,0)</f>
        <v/>
      </c>
      <c r="BC140" s="20">
        <f>IF(UPPER(TRIM(C140))="PN",1,0)</f>
        <v/>
      </c>
      <c r="BD140" s="20">
        <f>IF(UPPER(TRIM(C140))="LS",1,0)</f>
        <v/>
      </c>
      <c r="BE140" s="20">
        <f>IF(UPPER(TRIM(C140))="RX",1,0)</f>
        <v/>
      </c>
      <c r="BF140" s="22">
        <f>IFERROR((Parameters!$C$6*AM140+Parameters!$C$7*MAX(AM140-(-150),0)+Parameters!$C$8*MAX(AM140-(-50),0)+Parameters!$C$9*MAX(AM140-(0),0)+Parameters!$C$10*MAX(AM140-(50),0)+Parameters!$C$11*MAX(AM140-(100),0)+Parameters!$C$12*MAX(AM140-(150),0)+Parameters!$C$13*MAX(AM140-(250),0)),0)</f>
        <v/>
      </c>
      <c r="BG140" s="22">
        <f>IFERROR((Parameters!$C$14*AA140+Parameters!$C$15*MAX(AA140-(12),0)+Parameters!$C$16*MAX(AA140-(36),0)+Parameters!$C$17*MAX(AA140-(60),0)+Parameters!$C$18*MAX(AA140-(84),0)+Parameters!$C$19*MAX(AA140-(120),0)+Parameters!$C$20*MAX(AA140-(180),0)),0)</f>
        <v/>
      </c>
      <c r="BH140" s="22">
        <f>IFERROR((Parameters!$C$21*AK140+Parameters!$C$22*MAX(AK140-(0),0)+Parameters!$C$23*MAX(AK140-(2),0)+Parameters!$C$24*MAX(AK140-(5),0)+Parameters!$C$25*MAX(AK140-(8),0)),0)</f>
        <v/>
      </c>
      <c r="BI140" s="22">
        <f>IFERROR((Parameters!$C$26*AI140+Parameters!$C$27*MAX(AI140-(-100),0)+Parameters!$C$28*MAX(AI140-(-25),0)+Parameters!$C$29*MAX(AI140-(25),0)+Parameters!$C$30*MAX(AI140-(100),0)),0)</f>
        <v/>
      </c>
      <c r="BJ140" s="22">
        <f>IFERROR((Parameters!$C$31*AN140+Parameters!$C$32*MAX(AN140-(2),0)+Parameters!$C$33*MAX(AN140-(10),0)+Parameters!$C$34*MAX(AN140-(25),0)),0)</f>
        <v/>
      </c>
      <c r="BK140" s="22">
        <f>IFERROR((Parameters!$C$35*AB140+Parameters!$C$36*MAX(AB140-(12),0)+Parameters!$C$37*MAX(AB140-(24),0)+Parameters!$C$38*MAX(AB140-(60),0)),0)</f>
        <v/>
      </c>
      <c r="BL140" s="22">
        <f>IFERROR((Parameters!$C$39*AC140+Parameters!$C$40*MAX(AC140-(6),0)+Parameters!$C$41*MAX(AC140-(12),0)+Parameters!$C$42*MAX(AC140-(24),0)),0)</f>
        <v/>
      </c>
      <c r="BM140" s="22">
        <f>IFERROR(Parameters!$C$43*(MAX(AM140,0)*MIN(MAX(AK140,0),10))/100,0)</f>
        <v/>
      </c>
      <c r="BN140" s="22">
        <f>Parameters!$C$44*AE140</f>
        <v/>
      </c>
      <c r="BO140" s="22">
        <f>Parameters!$C$45*AU140 + Parameters!$C$46*AV140 + Parameters!$C$47*AW140 + Parameters!$C$48*AX140 + Parameters!$C$49*AY140 + Parameters!$C$50*AZ140 + Parameters!$C$51*BA140</f>
        <v/>
      </c>
      <c r="BP140" s="22">
        <f>Parameters!$C$52*AQ140</f>
        <v/>
      </c>
      <c r="BQ140" s="22">
        <f>Parameters!$C$53*AR140+Parameters!$C$54*AS140+Parameters!$C$55*AT140</f>
        <v/>
      </c>
      <c r="BR140" s="22">
        <f>Parameters!$C$56*BB140+Parameters!$C$57*BC140+Parameters!$C$58*BD140+Parameters!$C$59*BE140</f>
        <v/>
      </c>
      <c r="BS140" s="23">
        <f>Parameters!$B$2</f>
        <v/>
      </c>
      <c r="BT140" s="23">
        <f>BS140+BF140 + BG140 + BH140 + BI140 + BJ140 + BK140 + BL140 + BM140 + BN140 + BO140 + BP140 + BQ140 + BR140</f>
        <v/>
      </c>
      <c r="BU140" s="24">
        <f>IF(AD140=1,0,1/(1+EXP(-BT140))*Parameters!$B$3)</f>
        <v/>
      </c>
      <c r="BV140" s="25">
        <f>(1-(1-BU140)^12)*100</f>
        <v/>
      </c>
      <c r="BW140" s="25">
        <f>IF(AD140=1,0,(1-(1-1/(1+EXP(-Parameters!$B$2)))^12)*100)</f>
        <v/>
      </c>
      <c r="BX140" s="25">
        <f>IF(AD140=1,0,BV140-(1-(1-(1/(1+EXP(-(BT140-BF140)))*Parameters!$B$3))^12)*100)</f>
        <v/>
      </c>
      <c r="BY140" s="25">
        <f>IF(AD140=1,0,BV140-(1-(1-(1/(1+EXP(-(BT140-BG140)))*Parameters!$B$3))^12)*100)</f>
        <v/>
      </c>
      <c r="BZ140" s="25">
        <f>IF(AD140=1,0,BV140-(1-(1-(1/(1+EXP(-(BT140-BH140)))*Parameters!$B$3))^12)*100)</f>
        <v/>
      </c>
      <c r="CA140" s="25">
        <f>IF(AD140=1,0,BV140-(1-(1-(1/(1+EXP(-(BT140-BI140)))*Parameters!$B$3))^12)*100)</f>
        <v/>
      </c>
      <c r="CB140" s="25">
        <f>IF(AD140=1,0,BV140-(1-(1-(1/(1+EXP(-(BT140-BJ140)))*Parameters!$B$3))^12)*100)</f>
        <v/>
      </c>
      <c r="CC140" s="25">
        <f>IF(AD140=1,0,BV140-(1-(1-(1/(1+EXP(-(BT140-BK140)))*Parameters!$B$3))^12)*100)</f>
        <v/>
      </c>
      <c r="CD140" s="25">
        <f>IF(AD140=1,0,BV140-(1-(1-(1/(1+EXP(-(BT140-BL140)))*Parameters!$B$3))^12)*100)</f>
        <v/>
      </c>
      <c r="CE140" s="25">
        <f>IF(AD140=1,0,BV140-(1-(1-(1/(1+EXP(-(BT140-BM140)))*Parameters!$B$3))^12)*100)</f>
        <v/>
      </c>
      <c r="CF140" s="25">
        <f>IF(AD140=1,0,BV140-(1-(1-(1/(1+EXP(-(BT140-BN140)))*Parameters!$B$3))^12)*100)</f>
        <v/>
      </c>
      <c r="CG140" s="25">
        <f>IF(AD140=1,0,BV140-(1-(1-(1/(1+EXP(-(BT140-BO140)))*Parameters!$B$3))^12)*100)</f>
        <v/>
      </c>
      <c r="CH140" s="25">
        <f>IF(AD140=1,0,BV140-(1-(1-(1/(1+EXP(-(BT140-BP140)))*Parameters!$B$3))^12)*100)</f>
        <v/>
      </c>
      <c r="CI140" s="25">
        <f>IF(AD140=1,0,BV140-(1-(1-(1/(1+EXP(-(BT140-BQ140)))*Parameters!$B$3))^12)*100)</f>
        <v/>
      </c>
      <c r="CJ140" s="25">
        <f>IF(AD140=1,0,BV140-(1-(1-(1/(1+EXP(-(BT140-BR140)))*Parameters!$B$3))^12)*100)</f>
        <v/>
      </c>
    </row>
    <row r="141">
      <c r="A141" s="17" t="inlineStr">
        <is>
          <t>GNR_HC_2020</t>
        </is>
      </c>
      <c r="B141" s="17" t="inlineStr">
        <is>
          <t>3617NMS21</t>
        </is>
      </c>
      <c r="C141" s="17" t="inlineStr">
        <is>
          <t>PN</t>
        </is>
      </c>
      <c r="D141" s="17" t="inlineStr">
        <is>
          <t>GREYSTONE FUNDING COMPANY LLC</t>
        </is>
      </c>
      <c r="E141" s="17" t="inlineStr">
        <is>
          <t>3617NMS21_000000010322069</t>
        </is>
      </c>
      <c r="F141" s="17" t="n">
        <v>202603</v>
      </c>
      <c r="G141" s="18" t="n">
        <v>2.79</v>
      </c>
      <c r="H141" s="19" t="n">
        <v>12120091.02</v>
      </c>
      <c r="I141" s="17" t="n">
        <v>420</v>
      </c>
      <c r="J141" s="17" t="n">
        <v>20200601</v>
      </c>
      <c r="K141" s="17" t="n">
        <v>20550701</v>
      </c>
      <c r="L141" s="17" t="n"/>
      <c r="M141" s="17" t="n">
        <v>20300801</v>
      </c>
      <c r="N141" s="17" t="n">
        <v>10</v>
      </c>
      <c r="O141" s="17" t="inlineStr">
        <is>
          <t>232/223(F)</t>
        </is>
      </c>
      <c r="P141" s="17" t="inlineStr">
        <is>
          <t>MKT</t>
        </is>
      </c>
      <c r="Q141" s="17" t="n"/>
      <c r="R141" s="17" t="n"/>
      <c r="S141" s="17" t="n"/>
      <c r="T141" s="17" t="inlineStr">
        <is>
          <t>NE</t>
        </is>
      </c>
      <c r="U141" s="17" t="n">
        <v>235</v>
      </c>
      <c r="V141" s="17" t="n">
        <v>490.5</v>
      </c>
      <c r="W141" s="17" t="n">
        <v>69</v>
      </c>
      <c r="X141" s="17" t="n">
        <v>2020</v>
      </c>
      <c r="Y141" s="17" t="n">
        <v>-6</v>
      </c>
      <c r="Z141" s="17" t="n">
        <v>5</v>
      </c>
      <c r="AA141" s="20">
        <f>IF(ISNUMBER(W141),W141,IFERROR(MAX(0,(VALUE(LEFT(F141,4))-VALUE(LEFT(TEXT(J141,"00000000"),4)))*12+(VALUE(MID(F141,5,2))-VALUE(MID(TEXT(J141,"00000000"),5,2)))),""))</f>
        <v/>
      </c>
      <c r="AB141" s="20">
        <f>IFERROR((VALUE(LEFT(TEXT(K141,"00000000"),4))-VALUE(LEFT(F141,4)))*12+(VALUE(MID(TEXT(K141,"00000000"),5,2))-VALUE(MID(F141,5,2))),"")</f>
        <v/>
      </c>
      <c r="AC141" s="20">
        <f>IF(OR(L141="",NOT(ISNUMBER(L141))),0,MAX(0,MIN(60,(VALUE(LEFT(F141,4))-VALUE(LEFT(TEXT(L141,"00000000"),4)))*12+(VALUE(MID(F141,5,2))-VALUE(MID(TEXT(L141,"00000000"),5,2))))))</f>
        <v/>
      </c>
      <c r="AD141" s="20">
        <f>IF(OR(L141="",NOT(ISNUMBER(L141))),0,IF(VALUE(F141)&lt;VALUE(LEFT(TEXT(L141,"00000000"),6)),1,0))</f>
        <v/>
      </c>
      <c r="AE141" s="20">
        <f>IF(OR(M141="",NOT(ISNUMBER(M141))),0,IF(VALUE(F141)&lt;VALUE(LEFT(TEXT(M141,"00000000"),6)),1,0))</f>
        <v/>
      </c>
      <c r="AF141" s="20">
        <f>IF(AND(AD141=0,AE141=0),1,0)</f>
        <v/>
      </c>
      <c r="AG141" s="20">
        <f>IF(ISNUMBER(X141),X141,IFERROR(VALUE(LEFT(TEXT(J141,"00000000"),4)),""))</f>
        <v/>
      </c>
      <c r="AH141" s="20">
        <f>IFERROR(XLOOKUP(AG141,Vintage_Rates!$A$2:$A$1000,Vintage_Rates!$B$2:$B$1000,""),"")</f>
        <v/>
      </c>
      <c r="AI141" s="20">
        <f>IF(ISNUMBER(Y141),Y141,IFERROR((G141-AH141)*100,""))</f>
        <v/>
      </c>
      <c r="AJ141" s="20">
        <f>IF(ISNUMBER(V141),V141,IFERROR(XLOOKUP(VALUE(F141),PLC_Rates!$A$2:$A$1000,PLC_Rates!$B$2:$B$1000,""),""))</f>
        <v/>
      </c>
      <c r="AK141" s="20">
        <f>IF(ISNUMBER(Z141),Z141,IF(AE141=0,0,MAX(0,MIN(10,((VALUE(LEFT(TEXT(M141,"00000000"),4))-VALUE(LEFT(F141,4)))*12+(VALUE(MID(TEXT(M141,"00000000"),5,2))-VALUE(MID(F141,5,2))))/12))))</f>
        <v/>
      </c>
      <c r="AL141" s="20">
        <f>IFERROR(G141*100-AJ141,"")</f>
        <v/>
      </c>
      <c r="AM141" s="20">
        <f>IFERROR(G141*100-(AJ141+(1+AK141)*12.5),"")</f>
        <v/>
      </c>
      <c r="AN141" s="21">
        <f>IFERROR(MIN(H141/1000000,100),"")</f>
        <v/>
      </c>
      <c r="AO141" s="20">
        <f>IFERROR(INDEX(FHA_Lookup!$B$2:$B$11,MATCH(TRUE,ISNUMBER(SEARCH(FHA_Lookup!$A$2:$A$11,UPPER(SUBSTITUTE(O141," ","")))),0)),"OTHER")</f>
        <v/>
      </c>
      <c r="AP141" s="20">
        <f>IFERROR(INDEX(FHA_Lookup!$C$2:$C$11,MATCH(TRUE,ISNUMBER(SEARCH(FHA_Lookup!$A$2:$A$11,UPPER(SUBSTITUTE(O141," ","")))),0)),"OTHER")</f>
        <v/>
      </c>
      <c r="AQ141" s="20">
        <f>IF(AP141="NC",1,0)</f>
        <v/>
      </c>
      <c r="AR141" s="20">
        <f>IF(UPPER(TRIM(P141))="AFF",1,0)</f>
        <v/>
      </c>
      <c r="AS141" s="20">
        <f>IF(UPPER(TRIM(P141))="BAF",1,0)</f>
        <v/>
      </c>
      <c r="AT141" s="20">
        <f>IF(UPPER(TRIM(P141))="MKT",1,0)</f>
        <v/>
      </c>
      <c r="AU141" s="20">
        <f>IF(AO141="221d4",1,0)</f>
        <v/>
      </c>
      <c r="AV141" s="20">
        <f>IF(AO141="223a7",1,0)</f>
        <v/>
      </c>
      <c r="AW141" s="20">
        <f>IF(AO141="232",1,0)</f>
        <v/>
      </c>
      <c r="AX141" s="20">
        <f>IF(AO141="538",1,0)</f>
        <v/>
      </c>
      <c r="AY141" s="20">
        <f>IF(AO141="241",1,0)</f>
        <v/>
      </c>
      <c r="AZ141" s="20">
        <f>IF(AO141="220",1,0)</f>
        <v/>
      </c>
      <c r="BA141" s="20">
        <f>IF(AO141="OTHER",1,0)</f>
        <v/>
      </c>
      <c r="BB141" s="20">
        <f>IF(UPPER(TRIM(C141))="LM",1,0)</f>
        <v/>
      </c>
      <c r="BC141" s="20">
        <f>IF(UPPER(TRIM(C141))="PN",1,0)</f>
        <v/>
      </c>
      <c r="BD141" s="20">
        <f>IF(UPPER(TRIM(C141))="LS",1,0)</f>
        <v/>
      </c>
      <c r="BE141" s="20">
        <f>IF(UPPER(TRIM(C141))="RX",1,0)</f>
        <v/>
      </c>
      <c r="BF141" s="22">
        <f>IFERROR((Parameters!$C$6*AM141+Parameters!$C$7*MAX(AM141-(-150),0)+Parameters!$C$8*MAX(AM141-(-50),0)+Parameters!$C$9*MAX(AM141-(0),0)+Parameters!$C$10*MAX(AM141-(50),0)+Parameters!$C$11*MAX(AM141-(100),0)+Parameters!$C$12*MAX(AM141-(150),0)+Parameters!$C$13*MAX(AM141-(250),0)),0)</f>
        <v/>
      </c>
      <c r="BG141" s="22">
        <f>IFERROR((Parameters!$C$14*AA141+Parameters!$C$15*MAX(AA141-(12),0)+Parameters!$C$16*MAX(AA141-(36),0)+Parameters!$C$17*MAX(AA141-(60),0)+Parameters!$C$18*MAX(AA141-(84),0)+Parameters!$C$19*MAX(AA141-(120),0)+Parameters!$C$20*MAX(AA141-(180),0)),0)</f>
        <v/>
      </c>
      <c r="BH141" s="22">
        <f>IFERROR((Parameters!$C$21*AK141+Parameters!$C$22*MAX(AK141-(0),0)+Parameters!$C$23*MAX(AK141-(2),0)+Parameters!$C$24*MAX(AK141-(5),0)+Parameters!$C$25*MAX(AK141-(8),0)),0)</f>
        <v/>
      </c>
      <c r="BI141" s="22">
        <f>IFERROR((Parameters!$C$26*AI141+Parameters!$C$27*MAX(AI141-(-100),0)+Parameters!$C$28*MAX(AI141-(-25),0)+Parameters!$C$29*MAX(AI141-(25),0)+Parameters!$C$30*MAX(AI141-(100),0)),0)</f>
        <v/>
      </c>
      <c r="BJ141" s="22">
        <f>IFERROR((Parameters!$C$31*AN141+Parameters!$C$32*MAX(AN141-(2),0)+Parameters!$C$33*MAX(AN141-(10),0)+Parameters!$C$34*MAX(AN141-(25),0)),0)</f>
        <v/>
      </c>
      <c r="BK141" s="22">
        <f>IFERROR((Parameters!$C$35*AB141+Parameters!$C$36*MAX(AB141-(12),0)+Parameters!$C$37*MAX(AB141-(24),0)+Parameters!$C$38*MAX(AB141-(60),0)),0)</f>
        <v/>
      </c>
      <c r="BL141" s="22">
        <f>IFERROR((Parameters!$C$39*AC141+Parameters!$C$40*MAX(AC141-(6),0)+Parameters!$C$41*MAX(AC141-(12),0)+Parameters!$C$42*MAX(AC141-(24),0)),0)</f>
        <v/>
      </c>
      <c r="BM141" s="22">
        <f>IFERROR(Parameters!$C$43*(MAX(AM141,0)*MIN(MAX(AK141,0),10))/100,0)</f>
        <v/>
      </c>
      <c r="BN141" s="22">
        <f>Parameters!$C$44*AE141</f>
        <v/>
      </c>
      <c r="BO141" s="22">
        <f>Parameters!$C$45*AU141 + Parameters!$C$46*AV141 + Parameters!$C$47*AW141 + Parameters!$C$48*AX141 + Parameters!$C$49*AY141 + Parameters!$C$50*AZ141 + Parameters!$C$51*BA141</f>
        <v/>
      </c>
      <c r="BP141" s="22">
        <f>Parameters!$C$52*AQ141</f>
        <v/>
      </c>
      <c r="BQ141" s="22">
        <f>Parameters!$C$53*AR141+Parameters!$C$54*AS141+Parameters!$C$55*AT141</f>
        <v/>
      </c>
      <c r="BR141" s="22">
        <f>Parameters!$C$56*BB141+Parameters!$C$57*BC141+Parameters!$C$58*BD141+Parameters!$C$59*BE141</f>
        <v/>
      </c>
      <c r="BS141" s="23">
        <f>Parameters!$B$2</f>
        <v/>
      </c>
      <c r="BT141" s="23">
        <f>BS141+BF141 + BG141 + BH141 + BI141 + BJ141 + BK141 + BL141 + BM141 + BN141 + BO141 + BP141 + BQ141 + BR141</f>
        <v/>
      </c>
      <c r="BU141" s="24">
        <f>IF(AD141=1,0,1/(1+EXP(-BT141))*Parameters!$B$3)</f>
        <v/>
      </c>
      <c r="BV141" s="25">
        <f>(1-(1-BU141)^12)*100</f>
        <v/>
      </c>
      <c r="BW141" s="25">
        <f>IF(AD141=1,0,(1-(1-1/(1+EXP(-Parameters!$B$2)))^12)*100)</f>
        <v/>
      </c>
      <c r="BX141" s="25">
        <f>IF(AD141=1,0,BV141-(1-(1-(1/(1+EXP(-(BT141-BF141)))*Parameters!$B$3))^12)*100)</f>
        <v/>
      </c>
      <c r="BY141" s="25">
        <f>IF(AD141=1,0,BV141-(1-(1-(1/(1+EXP(-(BT141-BG141)))*Parameters!$B$3))^12)*100)</f>
        <v/>
      </c>
      <c r="BZ141" s="25">
        <f>IF(AD141=1,0,BV141-(1-(1-(1/(1+EXP(-(BT141-BH141)))*Parameters!$B$3))^12)*100)</f>
        <v/>
      </c>
      <c r="CA141" s="25">
        <f>IF(AD141=1,0,BV141-(1-(1-(1/(1+EXP(-(BT141-BI141)))*Parameters!$B$3))^12)*100)</f>
        <v/>
      </c>
      <c r="CB141" s="25">
        <f>IF(AD141=1,0,BV141-(1-(1-(1/(1+EXP(-(BT141-BJ141)))*Parameters!$B$3))^12)*100)</f>
        <v/>
      </c>
      <c r="CC141" s="25">
        <f>IF(AD141=1,0,BV141-(1-(1-(1/(1+EXP(-(BT141-BK141)))*Parameters!$B$3))^12)*100)</f>
        <v/>
      </c>
      <c r="CD141" s="25">
        <f>IF(AD141=1,0,BV141-(1-(1-(1/(1+EXP(-(BT141-BL141)))*Parameters!$B$3))^12)*100)</f>
        <v/>
      </c>
      <c r="CE141" s="25">
        <f>IF(AD141=1,0,BV141-(1-(1-(1/(1+EXP(-(BT141-BM141)))*Parameters!$B$3))^12)*100)</f>
        <v/>
      </c>
      <c r="CF141" s="25">
        <f>IF(AD141=1,0,BV141-(1-(1-(1/(1+EXP(-(BT141-BN141)))*Parameters!$B$3))^12)*100)</f>
        <v/>
      </c>
      <c r="CG141" s="25">
        <f>IF(AD141=1,0,BV141-(1-(1-(1/(1+EXP(-(BT141-BO141)))*Parameters!$B$3))^12)*100)</f>
        <v/>
      </c>
      <c r="CH141" s="25">
        <f>IF(AD141=1,0,BV141-(1-(1-(1/(1+EXP(-(BT141-BP141)))*Parameters!$B$3))^12)*100)</f>
        <v/>
      </c>
      <c r="CI141" s="25">
        <f>IF(AD141=1,0,BV141-(1-(1-(1/(1+EXP(-(BT141-BQ141)))*Parameters!$B$3))^12)*100)</f>
        <v/>
      </c>
      <c r="CJ141" s="25">
        <f>IF(AD141=1,0,BV141-(1-(1-(1/(1+EXP(-(BT141-BR141)))*Parameters!$B$3))^12)*100)</f>
        <v/>
      </c>
    </row>
    <row r="142">
      <c r="A142" s="17" t="inlineStr">
        <is>
          <t>GNR_HC_2020</t>
        </is>
      </c>
      <c r="B142" s="17" t="inlineStr">
        <is>
          <t>3617K5EC4</t>
        </is>
      </c>
      <c r="C142" s="17" t="inlineStr">
        <is>
          <t>PN</t>
        </is>
      </c>
      <c r="D142" s="17" t="inlineStr">
        <is>
          <t>KEYBANK NATIONAL ASSOCIATION</t>
        </is>
      </c>
      <c r="E142" s="17" t="inlineStr">
        <is>
          <t>3617K5EC4_000000011522327</t>
        </is>
      </c>
      <c r="F142" s="17" t="n">
        <v>202603</v>
      </c>
      <c r="G142" s="18" t="n">
        <v>3.4</v>
      </c>
      <c r="H142" s="19" t="n">
        <v>14279145.76</v>
      </c>
      <c r="I142" s="17" t="n">
        <v>420</v>
      </c>
      <c r="J142" s="17" t="n">
        <v>20190701</v>
      </c>
      <c r="K142" s="17" t="n">
        <v>20540801</v>
      </c>
      <c r="L142" s="17" t="n"/>
      <c r="M142" s="17" t="n">
        <v>20290831</v>
      </c>
      <c r="N142" s="17" t="n">
        <v>10</v>
      </c>
      <c r="O142" s="17" t="inlineStr">
        <is>
          <t>232/223(F)</t>
        </is>
      </c>
      <c r="P142" s="17" t="inlineStr">
        <is>
          <t>MKT</t>
        </is>
      </c>
      <c r="Q142" s="17" t="n"/>
      <c r="R142" s="17" t="n"/>
      <c r="S142" s="17" t="n"/>
      <c r="T142" s="17" t="inlineStr">
        <is>
          <t>TX</t>
        </is>
      </c>
      <c r="U142" s="17" t="n">
        <v>180</v>
      </c>
      <c r="V142" s="17" t="n">
        <v>490.5</v>
      </c>
      <c r="W142" s="17" t="n">
        <v>80</v>
      </c>
      <c r="X142" s="17" t="n">
        <v>2019</v>
      </c>
      <c r="Y142" s="17" t="n">
        <v>-27</v>
      </c>
      <c r="Z142" s="17" t="n">
        <v>4</v>
      </c>
      <c r="AA142" s="20">
        <f>IF(ISNUMBER(W142),W142,IFERROR(MAX(0,(VALUE(LEFT(F142,4))-VALUE(LEFT(TEXT(J142,"00000000"),4)))*12+(VALUE(MID(F142,5,2))-VALUE(MID(TEXT(J142,"00000000"),5,2)))),""))</f>
        <v/>
      </c>
      <c r="AB142" s="20">
        <f>IFERROR((VALUE(LEFT(TEXT(K142,"00000000"),4))-VALUE(LEFT(F142,4)))*12+(VALUE(MID(TEXT(K142,"00000000"),5,2))-VALUE(MID(F142,5,2))),"")</f>
        <v/>
      </c>
      <c r="AC142" s="20">
        <f>IF(OR(L142="",NOT(ISNUMBER(L142))),0,MAX(0,MIN(60,(VALUE(LEFT(F142,4))-VALUE(LEFT(TEXT(L142,"00000000"),4)))*12+(VALUE(MID(F142,5,2))-VALUE(MID(TEXT(L142,"00000000"),5,2))))))</f>
        <v/>
      </c>
      <c r="AD142" s="20">
        <f>IF(OR(L142="",NOT(ISNUMBER(L142))),0,IF(VALUE(F142)&lt;VALUE(LEFT(TEXT(L142,"00000000"),6)),1,0))</f>
        <v/>
      </c>
      <c r="AE142" s="20">
        <f>IF(OR(M142="",NOT(ISNUMBER(M142))),0,IF(VALUE(F142)&lt;VALUE(LEFT(TEXT(M142,"00000000"),6)),1,0))</f>
        <v/>
      </c>
      <c r="AF142" s="20">
        <f>IF(AND(AD142=0,AE142=0),1,0)</f>
        <v/>
      </c>
      <c r="AG142" s="20">
        <f>IF(ISNUMBER(X142),X142,IFERROR(VALUE(LEFT(TEXT(J142,"00000000"),4)),""))</f>
        <v/>
      </c>
      <c r="AH142" s="20">
        <f>IFERROR(XLOOKUP(AG142,Vintage_Rates!$A$2:$A$1000,Vintage_Rates!$B$2:$B$1000,""),"")</f>
        <v/>
      </c>
      <c r="AI142" s="20">
        <f>IF(ISNUMBER(Y142),Y142,IFERROR((G142-AH142)*100,""))</f>
        <v/>
      </c>
      <c r="AJ142" s="20">
        <f>IF(ISNUMBER(V142),V142,IFERROR(XLOOKUP(VALUE(F142),PLC_Rates!$A$2:$A$1000,PLC_Rates!$B$2:$B$1000,""),""))</f>
        <v/>
      </c>
      <c r="AK142" s="20">
        <f>IF(ISNUMBER(Z142),Z142,IF(AE142=0,0,MAX(0,MIN(10,((VALUE(LEFT(TEXT(M142,"00000000"),4))-VALUE(LEFT(F142,4)))*12+(VALUE(MID(TEXT(M142,"00000000"),5,2))-VALUE(MID(F142,5,2))))/12))))</f>
        <v/>
      </c>
      <c r="AL142" s="20">
        <f>IFERROR(G142*100-AJ142,"")</f>
        <v/>
      </c>
      <c r="AM142" s="20">
        <f>IFERROR(G142*100-(AJ142+(1+AK142)*12.5),"")</f>
        <v/>
      </c>
      <c r="AN142" s="21">
        <f>IFERROR(MIN(H142/1000000,100),"")</f>
        <v/>
      </c>
      <c r="AO142" s="20">
        <f>IFERROR(INDEX(FHA_Lookup!$B$2:$B$11,MATCH(TRUE,ISNUMBER(SEARCH(FHA_Lookup!$A$2:$A$11,UPPER(SUBSTITUTE(O142," ","")))),0)),"OTHER")</f>
        <v/>
      </c>
      <c r="AP142" s="20">
        <f>IFERROR(INDEX(FHA_Lookup!$C$2:$C$11,MATCH(TRUE,ISNUMBER(SEARCH(FHA_Lookup!$A$2:$A$11,UPPER(SUBSTITUTE(O142," ","")))),0)),"OTHER")</f>
        <v/>
      </c>
      <c r="AQ142" s="20">
        <f>IF(AP142="NC",1,0)</f>
        <v/>
      </c>
      <c r="AR142" s="20">
        <f>IF(UPPER(TRIM(P142))="AFF",1,0)</f>
        <v/>
      </c>
      <c r="AS142" s="20">
        <f>IF(UPPER(TRIM(P142))="BAF",1,0)</f>
        <v/>
      </c>
      <c r="AT142" s="20">
        <f>IF(UPPER(TRIM(P142))="MKT",1,0)</f>
        <v/>
      </c>
      <c r="AU142" s="20">
        <f>IF(AO142="221d4",1,0)</f>
        <v/>
      </c>
      <c r="AV142" s="20">
        <f>IF(AO142="223a7",1,0)</f>
        <v/>
      </c>
      <c r="AW142" s="20">
        <f>IF(AO142="232",1,0)</f>
        <v/>
      </c>
      <c r="AX142" s="20">
        <f>IF(AO142="538",1,0)</f>
        <v/>
      </c>
      <c r="AY142" s="20">
        <f>IF(AO142="241",1,0)</f>
        <v/>
      </c>
      <c r="AZ142" s="20">
        <f>IF(AO142="220",1,0)</f>
        <v/>
      </c>
      <c r="BA142" s="20">
        <f>IF(AO142="OTHER",1,0)</f>
        <v/>
      </c>
      <c r="BB142" s="20">
        <f>IF(UPPER(TRIM(C142))="LM",1,0)</f>
        <v/>
      </c>
      <c r="BC142" s="20">
        <f>IF(UPPER(TRIM(C142))="PN",1,0)</f>
        <v/>
      </c>
      <c r="BD142" s="20">
        <f>IF(UPPER(TRIM(C142))="LS",1,0)</f>
        <v/>
      </c>
      <c r="BE142" s="20">
        <f>IF(UPPER(TRIM(C142))="RX",1,0)</f>
        <v/>
      </c>
      <c r="BF142" s="22">
        <f>IFERROR((Parameters!$C$6*AM142+Parameters!$C$7*MAX(AM142-(-150),0)+Parameters!$C$8*MAX(AM142-(-50),0)+Parameters!$C$9*MAX(AM142-(0),0)+Parameters!$C$10*MAX(AM142-(50),0)+Parameters!$C$11*MAX(AM142-(100),0)+Parameters!$C$12*MAX(AM142-(150),0)+Parameters!$C$13*MAX(AM142-(250),0)),0)</f>
        <v/>
      </c>
      <c r="BG142" s="22">
        <f>IFERROR((Parameters!$C$14*AA142+Parameters!$C$15*MAX(AA142-(12),0)+Parameters!$C$16*MAX(AA142-(36),0)+Parameters!$C$17*MAX(AA142-(60),0)+Parameters!$C$18*MAX(AA142-(84),0)+Parameters!$C$19*MAX(AA142-(120),0)+Parameters!$C$20*MAX(AA142-(180),0)),0)</f>
        <v/>
      </c>
      <c r="BH142" s="22">
        <f>IFERROR((Parameters!$C$21*AK142+Parameters!$C$22*MAX(AK142-(0),0)+Parameters!$C$23*MAX(AK142-(2),0)+Parameters!$C$24*MAX(AK142-(5),0)+Parameters!$C$25*MAX(AK142-(8),0)),0)</f>
        <v/>
      </c>
      <c r="BI142" s="22">
        <f>IFERROR((Parameters!$C$26*AI142+Parameters!$C$27*MAX(AI142-(-100),0)+Parameters!$C$28*MAX(AI142-(-25),0)+Parameters!$C$29*MAX(AI142-(25),0)+Parameters!$C$30*MAX(AI142-(100),0)),0)</f>
        <v/>
      </c>
      <c r="BJ142" s="22">
        <f>IFERROR((Parameters!$C$31*AN142+Parameters!$C$32*MAX(AN142-(2),0)+Parameters!$C$33*MAX(AN142-(10),0)+Parameters!$C$34*MAX(AN142-(25),0)),0)</f>
        <v/>
      </c>
      <c r="BK142" s="22">
        <f>IFERROR((Parameters!$C$35*AB142+Parameters!$C$36*MAX(AB142-(12),0)+Parameters!$C$37*MAX(AB142-(24),0)+Parameters!$C$38*MAX(AB142-(60),0)),0)</f>
        <v/>
      </c>
      <c r="BL142" s="22">
        <f>IFERROR((Parameters!$C$39*AC142+Parameters!$C$40*MAX(AC142-(6),0)+Parameters!$C$41*MAX(AC142-(12),0)+Parameters!$C$42*MAX(AC142-(24),0)),0)</f>
        <v/>
      </c>
      <c r="BM142" s="22">
        <f>IFERROR(Parameters!$C$43*(MAX(AM142,0)*MIN(MAX(AK142,0),10))/100,0)</f>
        <v/>
      </c>
      <c r="BN142" s="22">
        <f>Parameters!$C$44*AE142</f>
        <v/>
      </c>
      <c r="BO142" s="22">
        <f>Parameters!$C$45*AU142 + Parameters!$C$46*AV142 + Parameters!$C$47*AW142 + Parameters!$C$48*AX142 + Parameters!$C$49*AY142 + Parameters!$C$50*AZ142 + Parameters!$C$51*BA142</f>
        <v/>
      </c>
      <c r="BP142" s="22">
        <f>Parameters!$C$52*AQ142</f>
        <v/>
      </c>
      <c r="BQ142" s="22">
        <f>Parameters!$C$53*AR142+Parameters!$C$54*AS142+Parameters!$C$55*AT142</f>
        <v/>
      </c>
      <c r="BR142" s="22">
        <f>Parameters!$C$56*BB142+Parameters!$C$57*BC142+Parameters!$C$58*BD142+Parameters!$C$59*BE142</f>
        <v/>
      </c>
      <c r="BS142" s="23">
        <f>Parameters!$B$2</f>
        <v/>
      </c>
      <c r="BT142" s="23">
        <f>BS142+BF142 + BG142 + BH142 + BI142 + BJ142 + BK142 + BL142 + BM142 + BN142 + BO142 + BP142 + BQ142 + BR142</f>
        <v/>
      </c>
      <c r="BU142" s="24">
        <f>IF(AD142=1,0,1/(1+EXP(-BT142))*Parameters!$B$3)</f>
        <v/>
      </c>
      <c r="BV142" s="25">
        <f>(1-(1-BU142)^12)*100</f>
        <v/>
      </c>
      <c r="BW142" s="25">
        <f>IF(AD142=1,0,(1-(1-1/(1+EXP(-Parameters!$B$2)))^12)*100)</f>
        <v/>
      </c>
      <c r="BX142" s="25">
        <f>IF(AD142=1,0,BV142-(1-(1-(1/(1+EXP(-(BT142-BF142)))*Parameters!$B$3))^12)*100)</f>
        <v/>
      </c>
      <c r="BY142" s="25">
        <f>IF(AD142=1,0,BV142-(1-(1-(1/(1+EXP(-(BT142-BG142)))*Parameters!$B$3))^12)*100)</f>
        <v/>
      </c>
      <c r="BZ142" s="25">
        <f>IF(AD142=1,0,BV142-(1-(1-(1/(1+EXP(-(BT142-BH142)))*Parameters!$B$3))^12)*100)</f>
        <v/>
      </c>
      <c r="CA142" s="25">
        <f>IF(AD142=1,0,BV142-(1-(1-(1/(1+EXP(-(BT142-BI142)))*Parameters!$B$3))^12)*100)</f>
        <v/>
      </c>
      <c r="CB142" s="25">
        <f>IF(AD142=1,0,BV142-(1-(1-(1/(1+EXP(-(BT142-BJ142)))*Parameters!$B$3))^12)*100)</f>
        <v/>
      </c>
      <c r="CC142" s="25">
        <f>IF(AD142=1,0,BV142-(1-(1-(1/(1+EXP(-(BT142-BK142)))*Parameters!$B$3))^12)*100)</f>
        <v/>
      </c>
      <c r="CD142" s="25">
        <f>IF(AD142=1,0,BV142-(1-(1-(1/(1+EXP(-(BT142-BL142)))*Parameters!$B$3))^12)*100)</f>
        <v/>
      </c>
      <c r="CE142" s="25">
        <f>IF(AD142=1,0,BV142-(1-(1-(1/(1+EXP(-(BT142-BM142)))*Parameters!$B$3))^12)*100)</f>
        <v/>
      </c>
      <c r="CF142" s="25">
        <f>IF(AD142=1,0,BV142-(1-(1-(1/(1+EXP(-(BT142-BN142)))*Parameters!$B$3))^12)*100)</f>
        <v/>
      </c>
      <c r="CG142" s="25">
        <f>IF(AD142=1,0,BV142-(1-(1-(1/(1+EXP(-(BT142-BO142)))*Parameters!$B$3))^12)*100)</f>
        <v/>
      </c>
      <c r="CH142" s="25">
        <f>IF(AD142=1,0,BV142-(1-(1-(1/(1+EXP(-(BT142-BP142)))*Parameters!$B$3))^12)*100)</f>
        <v/>
      </c>
      <c r="CI142" s="25">
        <f>IF(AD142=1,0,BV142-(1-(1-(1/(1+EXP(-(BT142-BQ142)))*Parameters!$B$3))^12)*100)</f>
        <v/>
      </c>
      <c r="CJ142" s="25">
        <f>IF(AD142=1,0,BV142-(1-(1-(1/(1+EXP(-(BT142-BR142)))*Parameters!$B$3))^12)*100)</f>
        <v/>
      </c>
    </row>
    <row r="143">
      <c r="A143" s="17" t="inlineStr">
        <is>
          <t>GNR_AFF_2018</t>
        </is>
      </c>
      <c r="B143" s="17" t="inlineStr">
        <is>
          <t>3617W9QW6</t>
        </is>
      </c>
      <c r="C143" s="17" t="inlineStr">
        <is>
          <t>LM</t>
        </is>
      </c>
      <c r="D143" s="17" t="inlineStr">
        <is>
          <t>JLL REAL ESTATE CAPITAL, LLC</t>
        </is>
      </c>
      <c r="E143" s="17" t="inlineStr">
        <is>
          <t>3617W9QW6_000000009235825</t>
        </is>
      </c>
      <c r="F143" s="17" t="n">
        <v>202603</v>
      </c>
      <c r="G143" s="18" t="n">
        <v>3.19</v>
      </c>
      <c r="H143" s="19" t="n">
        <v>44337798.01</v>
      </c>
      <c r="I143" s="17" t="n">
        <v>457</v>
      </c>
      <c r="J143" s="17" t="n">
        <v>20210930</v>
      </c>
      <c r="K143" s="17" t="n">
        <v>20591101</v>
      </c>
      <c r="L143" s="17" t="n">
        <v>20221101</v>
      </c>
      <c r="M143" s="17" t="n">
        <v>20311101</v>
      </c>
      <c r="N143" s="17" t="n">
        <v>9</v>
      </c>
      <c r="O143" s="17" t="inlineStr">
        <is>
          <t>221(d)(4)</t>
        </is>
      </c>
      <c r="P143" s="17" t="inlineStr">
        <is>
          <t>AFF</t>
        </is>
      </c>
      <c r="Q143" s="17" t="inlineStr">
        <is>
          <t>M</t>
        </is>
      </c>
      <c r="R143" s="17" t="n"/>
      <c r="S143" s="17" t="n">
        <v>1</v>
      </c>
      <c r="T143" s="17" t="inlineStr">
        <is>
          <t>MN</t>
        </is>
      </c>
      <c r="U143" s="17" t="n">
        <v>222</v>
      </c>
      <c r="V143" s="17" t="n">
        <v>490.5</v>
      </c>
      <c r="W143" s="17" t="n">
        <v>54</v>
      </c>
      <c r="X143" s="17" t="n">
        <v>2021</v>
      </c>
      <c r="Y143" s="17" t="n">
        <v>61</v>
      </c>
      <c r="Z143" s="17" t="n">
        <v>7</v>
      </c>
      <c r="AA143" s="20">
        <f>IF(ISNUMBER(W143),W143,IFERROR(MAX(0,(VALUE(LEFT(F143,4))-VALUE(LEFT(TEXT(J143,"00000000"),4)))*12+(VALUE(MID(F143,5,2))-VALUE(MID(TEXT(J143,"00000000"),5,2)))),""))</f>
        <v/>
      </c>
      <c r="AB143" s="20">
        <f>IFERROR((VALUE(LEFT(TEXT(K143,"00000000"),4))-VALUE(LEFT(F143,4)))*12+(VALUE(MID(TEXT(K143,"00000000"),5,2))-VALUE(MID(F143,5,2))),"")</f>
        <v/>
      </c>
      <c r="AC143" s="20">
        <f>IF(OR(L143="",NOT(ISNUMBER(L143))),0,MAX(0,MIN(60,(VALUE(LEFT(F143,4))-VALUE(LEFT(TEXT(L143,"00000000"),4)))*12+(VALUE(MID(F143,5,2))-VALUE(MID(TEXT(L143,"00000000"),5,2))))))</f>
        <v/>
      </c>
      <c r="AD143" s="20">
        <f>IF(OR(L143="",NOT(ISNUMBER(L143))),0,IF(VALUE(F143)&lt;VALUE(LEFT(TEXT(L143,"00000000"),6)),1,0))</f>
        <v/>
      </c>
      <c r="AE143" s="20">
        <f>IF(OR(M143="",NOT(ISNUMBER(M143))),0,IF(VALUE(F143)&lt;VALUE(LEFT(TEXT(M143,"00000000"),6)),1,0))</f>
        <v/>
      </c>
      <c r="AF143" s="20">
        <f>IF(AND(AD143=0,AE143=0),1,0)</f>
        <v/>
      </c>
      <c r="AG143" s="20">
        <f>IF(ISNUMBER(X143),X143,IFERROR(VALUE(LEFT(TEXT(J143,"00000000"),4)),""))</f>
        <v/>
      </c>
      <c r="AH143" s="20">
        <f>IFERROR(XLOOKUP(AG143,Vintage_Rates!$A$2:$A$1000,Vintage_Rates!$B$2:$B$1000,""),"")</f>
        <v/>
      </c>
      <c r="AI143" s="20">
        <f>IF(ISNUMBER(Y143),Y143,IFERROR((G143-AH143)*100,""))</f>
        <v/>
      </c>
      <c r="AJ143" s="20">
        <f>IF(ISNUMBER(V143),V143,IFERROR(XLOOKUP(VALUE(F143),PLC_Rates!$A$2:$A$1000,PLC_Rates!$B$2:$B$1000,""),""))</f>
        <v/>
      </c>
      <c r="AK143" s="20">
        <f>IF(ISNUMBER(Z143),Z143,IF(AE143=0,0,MAX(0,MIN(10,((VALUE(LEFT(TEXT(M143,"00000000"),4))-VALUE(LEFT(F143,4)))*12+(VALUE(MID(TEXT(M143,"00000000"),5,2))-VALUE(MID(F143,5,2))))/12))))</f>
        <v/>
      </c>
      <c r="AL143" s="20">
        <f>IFERROR(G143*100-AJ143,"")</f>
        <v/>
      </c>
      <c r="AM143" s="20">
        <f>IFERROR(G143*100-(AJ143+(1+AK143)*12.5),"")</f>
        <v/>
      </c>
      <c r="AN143" s="21">
        <f>IFERROR(MIN(H143/1000000,100),"")</f>
        <v/>
      </c>
      <c r="AO143" s="20">
        <f>IFERROR(INDEX(FHA_Lookup!$B$2:$B$11,MATCH(TRUE,ISNUMBER(SEARCH(FHA_Lookup!$A$2:$A$11,UPPER(SUBSTITUTE(O143," ","")))),0)),"OTHER")</f>
        <v/>
      </c>
      <c r="AP143" s="20">
        <f>IFERROR(INDEX(FHA_Lookup!$C$2:$C$11,MATCH(TRUE,ISNUMBER(SEARCH(FHA_Lookup!$A$2:$A$11,UPPER(SUBSTITUTE(O143," ","")))),0)),"OTHER")</f>
        <v/>
      </c>
      <c r="AQ143" s="20">
        <f>IF(AP143="NC",1,0)</f>
        <v/>
      </c>
      <c r="AR143" s="20">
        <f>IF(UPPER(TRIM(P143))="AFF",1,0)</f>
        <v/>
      </c>
      <c r="AS143" s="20">
        <f>IF(UPPER(TRIM(P143))="BAF",1,0)</f>
        <v/>
      </c>
      <c r="AT143" s="20">
        <f>IF(UPPER(TRIM(P143))="MKT",1,0)</f>
        <v/>
      </c>
      <c r="AU143" s="20">
        <f>IF(AO143="221d4",1,0)</f>
        <v/>
      </c>
      <c r="AV143" s="20">
        <f>IF(AO143="223a7",1,0)</f>
        <v/>
      </c>
      <c r="AW143" s="20">
        <f>IF(AO143="232",1,0)</f>
        <v/>
      </c>
      <c r="AX143" s="20">
        <f>IF(AO143="538",1,0)</f>
        <v/>
      </c>
      <c r="AY143" s="20">
        <f>IF(AO143="241",1,0)</f>
        <v/>
      </c>
      <c r="AZ143" s="20">
        <f>IF(AO143="220",1,0)</f>
        <v/>
      </c>
      <c r="BA143" s="20">
        <f>IF(AO143="OTHER",1,0)</f>
        <v/>
      </c>
      <c r="BB143" s="20">
        <f>IF(UPPER(TRIM(C143))="LM",1,0)</f>
        <v/>
      </c>
      <c r="BC143" s="20">
        <f>IF(UPPER(TRIM(C143))="PN",1,0)</f>
        <v/>
      </c>
      <c r="BD143" s="20">
        <f>IF(UPPER(TRIM(C143))="LS",1,0)</f>
        <v/>
      </c>
      <c r="BE143" s="20">
        <f>IF(UPPER(TRIM(C143))="RX",1,0)</f>
        <v/>
      </c>
      <c r="BF143" s="22">
        <f>IFERROR((Parameters!$C$6*AM143+Parameters!$C$7*MAX(AM143-(-150),0)+Parameters!$C$8*MAX(AM143-(-50),0)+Parameters!$C$9*MAX(AM143-(0),0)+Parameters!$C$10*MAX(AM143-(50),0)+Parameters!$C$11*MAX(AM143-(100),0)+Parameters!$C$12*MAX(AM143-(150),0)+Parameters!$C$13*MAX(AM143-(250),0)),0)</f>
        <v/>
      </c>
      <c r="BG143" s="22">
        <f>IFERROR((Parameters!$C$14*AA143+Parameters!$C$15*MAX(AA143-(12),0)+Parameters!$C$16*MAX(AA143-(36),0)+Parameters!$C$17*MAX(AA143-(60),0)+Parameters!$C$18*MAX(AA143-(84),0)+Parameters!$C$19*MAX(AA143-(120),0)+Parameters!$C$20*MAX(AA143-(180),0)),0)</f>
        <v/>
      </c>
      <c r="BH143" s="22">
        <f>IFERROR((Parameters!$C$21*AK143+Parameters!$C$22*MAX(AK143-(0),0)+Parameters!$C$23*MAX(AK143-(2),0)+Parameters!$C$24*MAX(AK143-(5),0)+Parameters!$C$25*MAX(AK143-(8),0)),0)</f>
        <v/>
      </c>
      <c r="BI143" s="22">
        <f>IFERROR((Parameters!$C$26*AI143+Parameters!$C$27*MAX(AI143-(-100),0)+Parameters!$C$28*MAX(AI143-(-25),0)+Parameters!$C$29*MAX(AI143-(25),0)+Parameters!$C$30*MAX(AI143-(100),0)),0)</f>
        <v/>
      </c>
      <c r="BJ143" s="22">
        <f>IFERROR((Parameters!$C$31*AN143+Parameters!$C$32*MAX(AN143-(2),0)+Parameters!$C$33*MAX(AN143-(10),0)+Parameters!$C$34*MAX(AN143-(25),0)),0)</f>
        <v/>
      </c>
      <c r="BK143" s="22">
        <f>IFERROR((Parameters!$C$35*AB143+Parameters!$C$36*MAX(AB143-(12),0)+Parameters!$C$37*MAX(AB143-(24),0)+Parameters!$C$38*MAX(AB143-(60),0)),0)</f>
        <v/>
      </c>
      <c r="BL143" s="22">
        <f>IFERROR((Parameters!$C$39*AC143+Parameters!$C$40*MAX(AC143-(6),0)+Parameters!$C$41*MAX(AC143-(12),0)+Parameters!$C$42*MAX(AC143-(24),0)),0)</f>
        <v/>
      </c>
      <c r="BM143" s="22">
        <f>IFERROR(Parameters!$C$43*(MAX(AM143,0)*MIN(MAX(AK143,0),10))/100,0)</f>
        <v/>
      </c>
      <c r="BN143" s="22">
        <f>Parameters!$C$44*AE143</f>
        <v/>
      </c>
      <c r="BO143" s="22">
        <f>Parameters!$C$45*AU143 + Parameters!$C$46*AV143 + Parameters!$C$47*AW143 + Parameters!$C$48*AX143 + Parameters!$C$49*AY143 + Parameters!$C$50*AZ143 + Parameters!$C$51*BA143</f>
        <v/>
      </c>
      <c r="BP143" s="22">
        <f>Parameters!$C$52*AQ143</f>
        <v/>
      </c>
      <c r="BQ143" s="22">
        <f>Parameters!$C$53*AR143+Parameters!$C$54*AS143+Parameters!$C$55*AT143</f>
        <v/>
      </c>
      <c r="BR143" s="22">
        <f>Parameters!$C$56*BB143+Parameters!$C$57*BC143+Parameters!$C$58*BD143+Parameters!$C$59*BE143</f>
        <v/>
      </c>
      <c r="BS143" s="23">
        <f>Parameters!$B$2</f>
        <v/>
      </c>
      <c r="BT143" s="23">
        <f>BS143+BF143 + BG143 + BH143 + BI143 + BJ143 + BK143 + BL143 + BM143 + BN143 + BO143 + BP143 + BQ143 + BR143</f>
        <v/>
      </c>
      <c r="BU143" s="24">
        <f>IF(AD143=1,0,1/(1+EXP(-BT143))*Parameters!$B$3)</f>
        <v/>
      </c>
      <c r="BV143" s="25">
        <f>(1-(1-BU143)^12)*100</f>
        <v/>
      </c>
      <c r="BW143" s="25">
        <f>IF(AD143=1,0,(1-(1-1/(1+EXP(-Parameters!$B$2)))^12)*100)</f>
        <v/>
      </c>
      <c r="BX143" s="25">
        <f>IF(AD143=1,0,BV143-(1-(1-(1/(1+EXP(-(BT143-BF143)))*Parameters!$B$3))^12)*100)</f>
        <v/>
      </c>
      <c r="BY143" s="25">
        <f>IF(AD143=1,0,BV143-(1-(1-(1/(1+EXP(-(BT143-BG143)))*Parameters!$B$3))^12)*100)</f>
        <v/>
      </c>
      <c r="BZ143" s="25">
        <f>IF(AD143=1,0,BV143-(1-(1-(1/(1+EXP(-(BT143-BH143)))*Parameters!$B$3))^12)*100)</f>
        <v/>
      </c>
      <c r="CA143" s="25">
        <f>IF(AD143=1,0,BV143-(1-(1-(1/(1+EXP(-(BT143-BI143)))*Parameters!$B$3))^12)*100)</f>
        <v/>
      </c>
      <c r="CB143" s="25">
        <f>IF(AD143=1,0,BV143-(1-(1-(1/(1+EXP(-(BT143-BJ143)))*Parameters!$B$3))^12)*100)</f>
        <v/>
      </c>
      <c r="CC143" s="25">
        <f>IF(AD143=1,0,BV143-(1-(1-(1/(1+EXP(-(BT143-BK143)))*Parameters!$B$3))^12)*100)</f>
        <v/>
      </c>
      <c r="CD143" s="25">
        <f>IF(AD143=1,0,BV143-(1-(1-(1/(1+EXP(-(BT143-BL143)))*Parameters!$B$3))^12)*100)</f>
        <v/>
      </c>
      <c r="CE143" s="25">
        <f>IF(AD143=1,0,BV143-(1-(1-(1/(1+EXP(-(BT143-BM143)))*Parameters!$B$3))^12)*100)</f>
        <v/>
      </c>
      <c r="CF143" s="25">
        <f>IF(AD143=1,0,BV143-(1-(1-(1/(1+EXP(-(BT143-BN143)))*Parameters!$B$3))^12)*100)</f>
        <v/>
      </c>
      <c r="CG143" s="25">
        <f>IF(AD143=1,0,BV143-(1-(1-(1/(1+EXP(-(BT143-BO143)))*Parameters!$B$3))^12)*100)</f>
        <v/>
      </c>
      <c r="CH143" s="25">
        <f>IF(AD143=1,0,BV143-(1-(1-(1/(1+EXP(-(BT143-BP143)))*Parameters!$B$3))^12)*100)</f>
        <v/>
      </c>
      <c r="CI143" s="25">
        <f>IF(AD143=1,0,BV143-(1-(1-(1/(1+EXP(-(BT143-BQ143)))*Parameters!$B$3))^12)*100)</f>
        <v/>
      </c>
      <c r="CJ143" s="25">
        <f>IF(AD143=1,0,BV143-(1-(1-(1/(1+EXP(-(BT143-BR143)))*Parameters!$B$3))^12)*100)</f>
        <v/>
      </c>
    </row>
    <row r="144">
      <c r="A144" s="17" t="inlineStr">
        <is>
          <t>GNR_AFF_2018</t>
        </is>
      </c>
      <c r="B144" s="17" t="inlineStr">
        <is>
          <t>3617QGW67</t>
        </is>
      </c>
      <c r="C144" s="17" t="inlineStr">
        <is>
          <t>PN</t>
        </is>
      </c>
      <c r="D144" s="17" t="inlineStr">
        <is>
          <t>ARBOR AGENCY LENDING, LLC</t>
        </is>
      </c>
      <c r="E144" s="17" t="inlineStr">
        <is>
          <t>3617QGW67_000000008311207</t>
        </is>
      </c>
      <c r="F144" s="17" t="n">
        <v>202603</v>
      </c>
      <c r="G144" s="18" t="n">
        <v>2.48</v>
      </c>
      <c r="H144" s="19" t="n">
        <v>1788437.89</v>
      </c>
      <c r="I144" s="17" t="n">
        <v>420</v>
      </c>
      <c r="J144" s="17" t="n">
        <v>20200801</v>
      </c>
      <c r="K144" s="17" t="n">
        <v>20550901</v>
      </c>
      <c r="L144" s="17" t="n"/>
      <c r="M144" s="17" t="n">
        <v>20301001</v>
      </c>
      <c r="N144" s="17" t="n">
        <v>10</v>
      </c>
      <c r="O144" s="17" t="inlineStr">
        <is>
          <t>232/223(F)</t>
        </is>
      </c>
      <c r="P144" s="17" t="inlineStr">
        <is>
          <t>BAF</t>
        </is>
      </c>
      <c r="Q144" s="17" t="n"/>
      <c r="R144" s="17" t="n"/>
      <c r="S144" s="17" t="n"/>
      <c r="T144" s="17" t="inlineStr">
        <is>
          <t>KY</t>
        </is>
      </c>
      <c r="U144" s="17" t="n">
        <v>68</v>
      </c>
      <c r="V144" s="17" t="n">
        <v>490.5</v>
      </c>
      <c r="W144" s="17" t="n">
        <v>67</v>
      </c>
      <c r="X144" s="17" t="n">
        <v>2020</v>
      </c>
      <c r="Y144" s="17" t="n">
        <v>-37</v>
      </c>
      <c r="Z144" s="17" t="n">
        <v>5</v>
      </c>
      <c r="AA144" s="20">
        <f>IF(ISNUMBER(W144),W144,IFERROR(MAX(0,(VALUE(LEFT(F144,4))-VALUE(LEFT(TEXT(J144,"00000000"),4)))*12+(VALUE(MID(F144,5,2))-VALUE(MID(TEXT(J144,"00000000"),5,2)))),""))</f>
        <v/>
      </c>
      <c r="AB144" s="20">
        <f>IFERROR((VALUE(LEFT(TEXT(K144,"00000000"),4))-VALUE(LEFT(F144,4)))*12+(VALUE(MID(TEXT(K144,"00000000"),5,2))-VALUE(MID(F144,5,2))),"")</f>
        <v/>
      </c>
      <c r="AC144" s="20">
        <f>IF(OR(L144="",NOT(ISNUMBER(L144))),0,MAX(0,MIN(60,(VALUE(LEFT(F144,4))-VALUE(LEFT(TEXT(L144,"00000000"),4)))*12+(VALUE(MID(F144,5,2))-VALUE(MID(TEXT(L144,"00000000"),5,2))))))</f>
        <v/>
      </c>
      <c r="AD144" s="20">
        <f>IF(OR(L144="",NOT(ISNUMBER(L144))),0,IF(VALUE(F144)&lt;VALUE(LEFT(TEXT(L144,"00000000"),6)),1,0))</f>
        <v/>
      </c>
      <c r="AE144" s="20">
        <f>IF(OR(M144="",NOT(ISNUMBER(M144))),0,IF(VALUE(F144)&lt;VALUE(LEFT(TEXT(M144,"00000000"),6)),1,0))</f>
        <v/>
      </c>
      <c r="AF144" s="20">
        <f>IF(AND(AD144=0,AE144=0),1,0)</f>
        <v/>
      </c>
      <c r="AG144" s="20">
        <f>IF(ISNUMBER(X144),X144,IFERROR(VALUE(LEFT(TEXT(J144,"00000000"),4)),""))</f>
        <v/>
      </c>
      <c r="AH144" s="20">
        <f>IFERROR(XLOOKUP(AG144,Vintage_Rates!$A$2:$A$1000,Vintage_Rates!$B$2:$B$1000,""),"")</f>
        <v/>
      </c>
      <c r="AI144" s="20">
        <f>IF(ISNUMBER(Y144),Y144,IFERROR((G144-AH144)*100,""))</f>
        <v/>
      </c>
      <c r="AJ144" s="20">
        <f>IF(ISNUMBER(V144),V144,IFERROR(XLOOKUP(VALUE(F144),PLC_Rates!$A$2:$A$1000,PLC_Rates!$B$2:$B$1000,""),""))</f>
        <v/>
      </c>
      <c r="AK144" s="20">
        <f>IF(ISNUMBER(Z144),Z144,IF(AE144=0,0,MAX(0,MIN(10,((VALUE(LEFT(TEXT(M144,"00000000"),4))-VALUE(LEFT(F144,4)))*12+(VALUE(MID(TEXT(M144,"00000000"),5,2))-VALUE(MID(F144,5,2))))/12))))</f>
        <v/>
      </c>
      <c r="AL144" s="20">
        <f>IFERROR(G144*100-AJ144,"")</f>
        <v/>
      </c>
      <c r="AM144" s="20">
        <f>IFERROR(G144*100-(AJ144+(1+AK144)*12.5),"")</f>
        <v/>
      </c>
      <c r="AN144" s="21">
        <f>IFERROR(MIN(H144/1000000,100),"")</f>
        <v/>
      </c>
      <c r="AO144" s="20">
        <f>IFERROR(INDEX(FHA_Lookup!$B$2:$B$11,MATCH(TRUE,ISNUMBER(SEARCH(FHA_Lookup!$A$2:$A$11,UPPER(SUBSTITUTE(O144," ","")))),0)),"OTHER")</f>
        <v/>
      </c>
      <c r="AP144" s="20">
        <f>IFERROR(INDEX(FHA_Lookup!$C$2:$C$11,MATCH(TRUE,ISNUMBER(SEARCH(FHA_Lookup!$A$2:$A$11,UPPER(SUBSTITUTE(O144," ","")))),0)),"OTHER")</f>
        <v/>
      </c>
      <c r="AQ144" s="20">
        <f>IF(AP144="NC",1,0)</f>
        <v/>
      </c>
      <c r="AR144" s="20">
        <f>IF(UPPER(TRIM(P144))="AFF",1,0)</f>
        <v/>
      </c>
      <c r="AS144" s="20">
        <f>IF(UPPER(TRIM(P144))="BAF",1,0)</f>
        <v/>
      </c>
      <c r="AT144" s="20">
        <f>IF(UPPER(TRIM(P144))="MKT",1,0)</f>
        <v/>
      </c>
      <c r="AU144" s="20">
        <f>IF(AO144="221d4",1,0)</f>
        <v/>
      </c>
      <c r="AV144" s="20">
        <f>IF(AO144="223a7",1,0)</f>
        <v/>
      </c>
      <c r="AW144" s="20">
        <f>IF(AO144="232",1,0)</f>
        <v/>
      </c>
      <c r="AX144" s="20">
        <f>IF(AO144="538",1,0)</f>
        <v/>
      </c>
      <c r="AY144" s="20">
        <f>IF(AO144="241",1,0)</f>
        <v/>
      </c>
      <c r="AZ144" s="20">
        <f>IF(AO144="220",1,0)</f>
        <v/>
      </c>
      <c r="BA144" s="20">
        <f>IF(AO144="OTHER",1,0)</f>
        <v/>
      </c>
      <c r="BB144" s="20">
        <f>IF(UPPER(TRIM(C144))="LM",1,0)</f>
        <v/>
      </c>
      <c r="BC144" s="20">
        <f>IF(UPPER(TRIM(C144))="PN",1,0)</f>
        <v/>
      </c>
      <c r="BD144" s="20">
        <f>IF(UPPER(TRIM(C144))="LS",1,0)</f>
        <v/>
      </c>
      <c r="BE144" s="20">
        <f>IF(UPPER(TRIM(C144))="RX",1,0)</f>
        <v/>
      </c>
      <c r="BF144" s="22">
        <f>IFERROR((Parameters!$C$6*AM144+Parameters!$C$7*MAX(AM144-(-150),0)+Parameters!$C$8*MAX(AM144-(-50),0)+Parameters!$C$9*MAX(AM144-(0),0)+Parameters!$C$10*MAX(AM144-(50),0)+Parameters!$C$11*MAX(AM144-(100),0)+Parameters!$C$12*MAX(AM144-(150),0)+Parameters!$C$13*MAX(AM144-(250),0)),0)</f>
        <v/>
      </c>
      <c r="BG144" s="22">
        <f>IFERROR((Parameters!$C$14*AA144+Parameters!$C$15*MAX(AA144-(12),0)+Parameters!$C$16*MAX(AA144-(36),0)+Parameters!$C$17*MAX(AA144-(60),0)+Parameters!$C$18*MAX(AA144-(84),0)+Parameters!$C$19*MAX(AA144-(120),0)+Parameters!$C$20*MAX(AA144-(180),0)),0)</f>
        <v/>
      </c>
      <c r="BH144" s="22">
        <f>IFERROR((Parameters!$C$21*AK144+Parameters!$C$22*MAX(AK144-(0),0)+Parameters!$C$23*MAX(AK144-(2),0)+Parameters!$C$24*MAX(AK144-(5),0)+Parameters!$C$25*MAX(AK144-(8),0)),0)</f>
        <v/>
      </c>
      <c r="BI144" s="22">
        <f>IFERROR((Parameters!$C$26*AI144+Parameters!$C$27*MAX(AI144-(-100),0)+Parameters!$C$28*MAX(AI144-(-25),0)+Parameters!$C$29*MAX(AI144-(25),0)+Parameters!$C$30*MAX(AI144-(100),0)),0)</f>
        <v/>
      </c>
      <c r="BJ144" s="22">
        <f>IFERROR((Parameters!$C$31*AN144+Parameters!$C$32*MAX(AN144-(2),0)+Parameters!$C$33*MAX(AN144-(10),0)+Parameters!$C$34*MAX(AN144-(25),0)),0)</f>
        <v/>
      </c>
      <c r="BK144" s="22">
        <f>IFERROR((Parameters!$C$35*AB144+Parameters!$C$36*MAX(AB144-(12),0)+Parameters!$C$37*MAX(AB144-(24),0)+Parameters!$C$38*MAX(AB144-(60),0)),0)</f>
        <v/>
      </c>
      <c r="BL144" s="22">
        <f>IFERROR((Parameters!$C$39*AC144+Parameters!$C$40*MAX(AC144-(6),0)+Parameters!$C$41*MAX(AC144-(12),0)+Parameters!$C$42*MAX(AC144-(24),0)),0)</f>
        <v/>
      </c>
      <c r="BM144" s="22">
        <f>IFERROR(Parameters!$C$43*(MAX(AM144,0)*MIN(MAX(AK144,0),10))/100,0)</f>
        <v/>
      </c>
      <c r="BN144" s="22">
        <f>Parameters!$C$44*AE144</f>
        <v/>
      </c>
      <c r="BO144" s="22">
        <f>Parameters!$C$45*AU144 + Parameters!$C$46*AV144 + Parameters!$C$47*AW144 + Parameters!$C$48*AX144 + Parameters!$C$49*AY144 + Parameters!$C$50*AZ144 + Parameters!$C$51*BA144</f>
        <v/>
      </c>
      <c r="BP144" s="22">
        <f>Parameters!$C$52*AQ144</f>
        <v/>
      </c>
      <c r="BQ144" s="22">
        <f>Parameters!$C$53*AR144+Parameters!$C$54*AS144+Parameters!$C$55*AT144</f>
        <v/>
      </c>
      <c r="BR144" s="22">
        <f>Parameters!$C$56*BB144+Parameters!$C$57*BC144+Parameters!$C$58*BD144+Parameters!$C$59*BE144</f>
        <v/>
      </c>
      <c r="BS144" s="23">
        <f>Parameters!$B$2</f>
        <v/>
      </c>
      <c r="BT144" s="23">
        <f>BS144+BF144 + BG144 + BH144 + BI144 + BJ144 + BK144 + BL144 + BM144 + BN144 + BO144 + BP144 + BQ144 + BR144</f>
        <v/>
      </c>
      <c r="BU144" s="24">
        <f>IF(AD144=1,0,1/(1+EXP(-BT144))*Parameters!$B$3)</f>
        <v/>
      </c>
      <c r="BV144" s="25">
        <f>(1-(1-BU144)^12)*100</f>
        <v/>
      </c>
      <c r="BW144" s="25">
        <f>IF(AD144=1,0,(1-(1-1/(1+EXP(-Parameters!$B$2)))^12)*100)</f>
        <v/>
      </c>
      <c r="BX144" s="25">
        <f>IF(AD144=1,0,BV144-(1-(1-(1/(1+EXP(-(BT144-BF144)))*Parameters!$B$3))^12)*100)</f>
        <v/>
      </c>
      <c r="BY144" s="25">
        <f>IF(AD144=1,0,BV144-(1-(1-(1/(1+EXP(-(BT144-BG144)))*Parameters!$B$3))^12)*100)</f>
        <v/>
      </c>
      <c r="BZ144" s="25">
        <f>IF(AD144=1,0,BV144-(1-(1-(1/(1+EXP(-(BT144-BH144)))*Parameters!$B$3))^12)*100)</f>
        <v/>
      </c>
      <c r="CA144" s="25">
        <f>IF(AD144=1,0,BV144-(1-(1-(1/(1+EXP(-(BT144-BI144)))*Parameters!$B$3))^12)*100)</f>
        <v/>
      </c>
      <c r="CB144" s="25">
        <f>IF(AD144=1,0,BV144-(1-(1-(1/(1+EXP(-(BT144-BJ144)))*Parameters!$B$3))^12)*100)</f>
        <v/>
      </c>
      <c r="CC144" s="25">
        <f>IF(AD144=1,0,BV144-(1-(1-(1/(1+EXP(-(BT144-BK144)))*Parameters!$B$3))^12)*100)</f>
        <v/>
      </c>
      <c r="CD144" s="25">
        <f>IF(AD144=1,0,BV144-(1-(1-(1/(1+EXP(-(BT144-BL144)))*Parameters!$B$3))^12)*100)</f>
        <v/>
      </c>
      <c r="CE144" s="25">
        <f>IF(AD144=1,0,BV144-(1-(1-(1/(1+EXP(-(BT144-BM144)))*Parameters!$B$3))^12)*100)</f>
        <v/>
      </c>
      <c r="CF144" s="25">
        <f>IF(AD144=1,0,BV144-(1-(1-(1/(1+EXP(-(BT144-BN144)))*Parameters!$B$3))^12)*100)</f>
        <v/>
      </c>
      <c r="CG144" s="25">
        <f>IF(AD144=1,0,BV144-(1-(1-(1/(1+EXP(-(BT144-BO144)))*Parameters!$B$3))^12)*100)</f>
        <v/>
      </c>
      <c r="CH144" s="25">
        <f>IF(AD144=1,0,BV144-(1-(1-(1/(1+EXP(-(BT144-BP144)))*Parameters!$B$3))^12)*100)</f>
        <v/>
      </c>
      <c r="CI144" s="25">
        <f>IF(AD144=1,0,BV144-(1-(1-(1/(1+EXP(-(BT144-BQ144)))*Parameters!$B$3))^12)*100)</f>
        <v/>
      </c>
      <c r="CJ144" s="25">
        <f>IF(AD144=1,0,BV144-(1-(1-(1/(1+EXP(-(BT144-BR144)))*Parameters!$B$3))^12)*100)</f>
        <v/>
      </c>
    </row>
    <row r="145">
      <c r="A145" s="17" t="inlineStr">
        <is>
          <t>GNR_AFF_2018</t>
        </is>
      </c>
      <c r="B145" s="17" t="inlineStr">
        <is>
          <t>36197M6A1</t>
        </is>
      </c>
      <c r="C145" s="17" t="inlineStr">
        <is>
          <t>PN</t>
        </is>
      </c>
      <c r="D145" s="17" t="inlineStr">
        <is>
          <t>LUMENT REAL ESTATE CAPITAL,LLC</t>
        </is>
      </c>
      <c r="E145" s="17" t="inlineStr">
        <is>
          <t>36197M6A1_000000012911097</t>
        </is>
      </c>
      <c r="F145" s="17" t="n">
        <v>202603</v>
      </c>
      <c r="G145" s="18" t="n">
        <v>4.14</v>
      </c>
      <c r="H145" s="19" t="n">
        <v>20408425.06</v>
      </c>
      <c r="I145" s="17" t="n">
        <v>420</v>
      </c>
      <c r="J145" s="17" t="n">
        <v>20180731</v>
      </c>
      <c r="K145" s="17" t="n">
        <v>20530801</v>
      </c>
      <c r="L145" s="17" t="n"/>
      <c r="M145" s="17" t="n">
        <v>20280831</v>
      </c>
      <c r="N145" s="17" t="n">
        <v>10</v>
      </c>
      <c r="O145" s="17" t="inlineStr">
        <is>
          <t>207/223(f)</t>
        </is>
      </c>
      <c r="P145" s="17" t="inlineStr">
        <is>
          <t>BAF</t>
        </is>
      </c>
      <c r="Q145" s="17" t="n"/>
      <c r="R145" s="17" t="n"/>
      <c r="S145" s="17" t="n"/>
      <c r="T145" s="17" t="inlineStr">
        <is>
          <t>CA</t>
        </is>
      </c>
      <c r="U145" s="17" t="n">
        <v>161</v>
      </c>
      <c r="V145" s="17" t="n">
        <v>490.5</v>
      </c>
      <c r="W145" s="17" t="n">
        <v>92</v>
      </c>
      <c r="X145" s="17" t="n">
        <v>2018</v>
      </c>
      <c r="Y145" s="17" t="n">
        <v>12</v>
      </c>
      <c r="Z145" s="17" t="n">
        <v>3</v>
      </c>
      <c r="AA145" s="20">
        <f>IF(ISNUMBER(W145),W145,IFERROR(MAX(0,(VALUE(LEFT(F145,4))-VALUE(LEFT(TEXT(J145,"00000000"),4)))*12+(VALUE(MID(F145,5,2))-VALUE(MID(TEXT(J145,"00000000"),5,2)))),""))</f>
        <v/>
      </c>
      <c r="AB145" s="20">
        <f>IFERROR((VALUE(LEFT(TEXT(K145,"00000000"),4))-VALUE(LEFT(F145,4)))*12+(VALUE(MID(TEXT(K145,"00000000"),5,2))-VALUE(MID(F145,5,2))),"")</f>
        <v/>
      </c>
      <c r="AC145" s="20">
        <f>IF(OR(L145="",NOT(ISNUMBER(L145))),0,MAX(0,MIN(60,(VALUE(LEFT(F145,4))-VALUE(LEFT(TEXT(L145,"00000000"),4)))*12+(VALUE(MID(F145,5,2))-VALUE(MID(TEXT(L145,"00000000"),5,2))))))</f>
        <v/>
      </c>
      <c r="AD145" s="20">
        <f>IF(OR(L145="",NOT(ISNUMBER(L145))),0,IF(VALUE(F145)&lt;VALUE(LEFT(TEXT(L145,"00000000"),6)),1,0))</f>
        <v/>
      </c>
      <c r="AE145" s="20">
        <f>IF(OR(M145="",NOT(ISNUMBER(M145))),0,IF(VALUE(F145)&lt;VALUE(LEFT(TEXT(M145,"00000000"),6)),1,0))</f>
        <v/>
      </c>
      <c r="AF145" s="20">
        <f>IF(AND(AD145=0,AE145=0),1,0)</f>
        <v/>
      </c>
      <c r="AG145" s="20">
        <f>IF(ISNUMBER(X145),X145,IFERROR(VALUE(LEFT(TEXT(J145,"00000000"),4)),""))</f>
        <v/>
      </c>
      <c r="AH145" s="20">
        <f>IFERROR(XLOOKUP(AG145,Vintage_Rates!$A$2:$A$1000,Vintage_Rates!$B$2:$B$1000,""),"")</f>
        <v/>
      </c>
      <c r="AI145" s="20">
        <f>IF(ISNUMBER(Y145),Y145,IFERROR((G145-AH145)*100,""))</f>
        <v/>
      </c>
      <c r="AJ145" s="20">
        <f>IF(ISNUMBER(V145),V145,IFERROR(XLOOKUP(VALUE(F145),PLC_Rates!$A$2:$A$1000,PLC_Rates!$B$2:$B$1000,""),""))</f>
        <v/>
      </c>
      <c r="AK145" s="20">
        <f>IF(ISNUMBER(Z145),Z145,IF(AE145=0,0,MAX(0,MIN(10,((VALUE(LEFT(TEXT(M145,"00000000"),4))-VALUE(LEFT(F145,4)))*12+(VALUE(MID(TEXT(M145,"00000000"),5,2))-VALUE(MID(F145,5,2))))/12))))</f>
        <v/>
      </c>
      <c r="AL145" s="20">
        <f>IFERROR(G145*100-AJ145,"")</f>
        <v/>
      </c>
      <c r="AM145" s="20">
        <f>IFERROR(G145*100-(AJ145+(1+AK145)*12.5),"")</f>
        <v/>
      </c>
      <c r="AN145" s="21">
        <f>IFERROR(MIN(H145/1000000,100),"")</f>
        <v/>
      </c>
      <c r="AO145" s="20">
        <f>IFERROR(INDEX(FHA_Lookup!$B$2:$B$11,MATCH(TRUE,ISNUMBER(SEARCH(FHA_Lookup!$A$2:$A$11,UPPER(SUBSTITUTE(O145," ","")))),0)),"OTHER")</f>
        <v/>
      </c>
      <c r="AP145" s="20">
        <f>IFERROR(INDEX(FHA_Lookup!$C$2:$C$11,MATCH(TRUE,ISNUMBER(SEARCH(FHA_Lookup!$A$2:$A$11,UPPER(SUBSTITUTE(O145," ","")))),0)),"OTHER")</f>
        <v/>
      </c>
      <c r="AQ145" s="20">
        <f>IF(AP145="NC",1,0)</f>
        <v/>
      </c>
      <c r="AR145" s="20">
        <f>IF(UPPER(TRIM(P145))="AFF",1,0)</f>
        <v/>
      </c>
      <c r="AS145" s="20">
        <f>IF(UPPER(TRIM(P145))="BAF",1,0)</f>
        <v/>
      </c>
      <c r="AT145" s="20">
        <f>IF(UPPER(TRIM(P145))="MKT",1,0)</f>
        <v/>
      </c>
      <c r="AU145" s="20">
        <f>IF(AO145="221d4",1,0)</f>
        <v/>
      </c>
      <c r="AV145" s="20">
        <f>IF(AO145="223a7",1,0)</f>
        <v/>
      </c>
      <c r="AW145" s="20">
        <f>IF(AO145="232",1,0)</f>
        <v/>
      </c>
      <c r="AX145" s="20">
        <f>IF(AO145="538",1,0)</f>
        <v/>
      </c>
      <c r="AY145" s="20">
        <f>IF(AO145="241",1,0)</f>
        <v/>
      </c>
      <c r="AZ145" s="20">
        <f>IF(AO145="220",1,0)</f>
        <v/>
      </c>
      <c r="BA145" s="20">
        <f>IF(AO145="OTHER",1,0)</f>
        <v/>
      </c>
      <c r="BB145" s="20">
        <f>IF(UPPER(TRIM(C145))="LM",1,0)</f>
        <v/>
      </c>
      <c r="BC145" s="20">
        <f>IF(UPPER(TRIM(C145))="PN",1,0)</f>
        <v/>
      </c>
      <c r="BD145" s="20">
        <f>IF(UPPER(TRIM(C145))="LS",1,0)</f>
        <v/>
      </c>
      <c r="BE145" s="20">
        <f>IF(UPPER(TRIM(C145))="RX",1,0)</f>
        <v/>
      </c>
      <c r="BF145" s="22">
        <f>IFERROR((Parameters!$C$6*AM145+Parameters!$C$7*MAX(AM145-(-150),0)+Parameters!$C$8*MAX(AM145-(-50),0)+Parameters!$C$9*MAX(AM145-(0),0)+Parameters!$C$10*MAX(AM145-(50),0)+Parameters!$C$11*MAX(AM145-(100),0)+Parameters!$C$12*MAX(AM145-(150),0)+Parameters!$C$13*MAX(AM145-(250),0)),0)</f>
        <v/>
      </c>
      <c r="BG145" s="22">
        <f>IFERROR((Parameters!$C$14*AA145+Parameters!$C$15*MAX(AA145-(12),0)+Parameters!$C$16*MAX(AA145-(36),0)+Parameters!$C$17*MAX(AA145-(60),0)+Parameters!$C$18*MAX(AA145-(84),0)+Parameters!$C$19*MAX(AA145-(120),0)+Parameters!$C$20*MAX(AA145-(180),0)),0)</f>
        <v/>
      </c>
      <c r="BH145" s="22">
        <f>IFERROR((Parameters!$C$21*AK145+Parameters!$C$22*MAX(AK145-(0),0)+Parameters!$C$23*MAX(AK145-(2),0)+Parameters!$C$24*MAX(AK145-(5),0)+Parameters!$C$25*MAX(AK145-(8),0)),0)</f>
        <v/>
      </c>
      <c r="BI145" s="22">
        <f>IFERROR((Parameters!$C$26*AI145+Parameters!$C$27*MAX(AI145-(-100),0)+Parameters!$C$28*MAX(AI145-(-25),0)+Parameters!$C$29*MAX(AI145-(25),0)+Parameters!$C$30*MAX(AI145-(100),0)),0)</f>
        <v/>
      </c>
      <c r="BJ145" s="22">
        <f>IFERROR((Parameters!$C$31*AN145+Parameters!$C$32*MAX(AN145-(2),0)+Parameters!$C$33*MAX(AN145-(10),0)+Parameters!$C$34*MAX(AN145-(25),0)),0)</f>
        <v/>
      </c>
      <c r="BK145" s="22">
        <f>IFERROR((Parameters!$C$35*AB145+Parameters!$C$36*MAX(AB145-(12),0)+Parameters!$C$37*MAX(AB145-(24),0)+Parameters!$C$38*MAX(AB145-(60),0)),0)</f>
        <v/>
      </c>
      <c r="BL145" s="22">
        <f>IFERROR((Parameters!$C$39*AC145+Parameters!$C$40*MAX(AC145-(6),0)+Parameters!$C$41*MAX(AC145-(12),0)+Parameters!$C$42*MAX(AC145-(24),0)),0)</f>
        <v/>
      </c>
      <c r="BM145" s="22">
        <f>IFERROR(Parameters!$C$43*(MAX(AM145,0)*MIN(MAX(AK145,0),10))/100,0)</f>
        <v/>
      </c>
      <c r="BN145" s="22">
        <f>Parameters!$C$44*AE145</f>
        <v/>
      </c>
      <c r="BO145" s="22">
        <f>Parameters!$C$45*AU145 + Parameters!$C$46*AV145 + Parameters!$C$47*AW145 + Parameters!$C$48*AX145 + Parameters!$C$49*AY145 + Parameters!$C$50*AZ145 + Parameters!$C$51*BA145</f>
        <v/>
      </c>
      <c r="BP145" s="22">
        <f>Parameters!$C$52*AQ145</f>
        <v/>
      </c>
      <c r="BQ145" s="22">
        <f>Parameters!$C$53*AR145+Parameters!$C$54*AS145+Parameters!$C$55*AT145</f>
        <v/>
      </c>
      <c r="BR145" s="22">
        <f>Parameters!$C$56*BB145+Parameters!$C$57*BC145+Parameters!$C$58*BD145+Parameters!$C$59*BE145</f>
        <v/>
      </c>
      <c r="BS145" s="23">
        <f>Parameters!$B$2</f>
        <v/>
      </c>
      <c r="BT145" s="23">
        <f>BS145+BF145 + BG145 + BH145 + BI145 + BJ145 + BK145 + BL145 + BM145 + BN145 + BO145 + BP145 + BQ145 + BR145</f>
        <v/>
      </c>
      <c r="BU145" s="24">
        <f>IF(AD145=1,0,1/(1+EXP(-BT145))*Parameters!$B$3)</f>
        <v/>
      </c>
      <c r="BV145" s="25">
        <f>(1-(1-BU145)^12)*100</f>
        <v/>
      </c>
      <c r="BW145" s="25">
        <f>IF(AD145=1,0,(1-(1-1/(1+EXP(-Parameters!$B$2)))^12)*100)</f>
        <v/>
      </c>
      <c r="BX145" s="25">
        <f>IF(AD145=1,0,BV145-(1-(1-(1/(1+EXP(-(BT145-BF145)))*Parameters!$B$3))^12)*100)</f>
        <v/>
      </c>
      <c r="BY145" s="25">
        <f>IF(AD145=1,0,BV145-(1-(1-(1/(1+EXP(-(BT145-BG145)))*Parameters!$B$3))^12)*100)</f>
        <v/>
      </c>
      <c r="BZ145" s="25">
        <f>IF(AD145=1,0,BV145-(1-(1-(1/(1+EXP(-(BT145-BH145)))*Parameters!$B$3))^12)*100)</f>
        <v/>
      </c>
      <c r="CA145" s="25">
        <f>IF(AD145=1,0,BV145-(1-(1-(1/(1+EXP(-(BT145-BI145)))*Parameters!$B$3))^12)*100)</f>
        <v/>
      </c>
      <c r="CB145" s="25">
        <f>IF(AD145=1,0,BV145-(1-(1-(1/(1+EXP(-(BT145-BJ145)))*Parameters!$B$3))^12)*100)</f>
        <v/>
      </c>
      <c r="CC145" s="25">
        <f>IF(AD145=1,0,BV145-(1-(1-(1/(1+EXP(-(BT145-BK145)))*Parameters!$B$3))^12)*100)</f>
        <v/>
      </c>
      <c r="CD145" s="25">
        <f>IF(AD145=1,0,BV145-(1-(1-(1/(1+EXP(-(BT145-BL145)))*Parameters!$B$3))^12)*100)</f>
        <v/>
      </c>
      <c r="CE145" s="25">
        <f>IF(AD145=1,0,BV145-(1-(1-(1/(1+EXP(-(BT145-BM145)))*Parameters!$B$3))^12)*100)</f>
        <v/>
      </c>
      <c r="CF145" s="25">
        <f>IF(AD145=1,0,BV145-(1-(1-(1/(1+EXP(-(BT145-BN145)))*Parameters!$B$3))^12)*100)</f>
        <v/>
      </c>
      <c r="CG145" s="25">
        <f>IF(AD145=1,0,BV145-(1-(1-(1/(1+EXP(-(BT145-BO145)))*Parameters!$B$3))^12)*100)</f>
        <v/>
      </c>
      <c r="CH145" s="25">
        <f>IF(AD145=1,0,BV145-(1-(1-(1/(1+EXP(-(BT145-BP145)))*Parameters!$B$3))^12)*100)</f>
        <v/>
      </c>
      <c r="CI145" s="25">
        <f>IF(AD145=1,0,BV145-(1-(1-(1/(1+EXP(-(BT145-BQ145)))*Parameters!$B$3))^12)*100)</f>
        <v/>
      </c>
      <c r="CJ145" s="25">
        <f>IF(AD145=1,0,BV145-(1-(1-(1/(1+EXP(-(BT145-BR145)))*Parameters!$B$3))^12)*100)</f>
        <v/>
      </c>
    </row>
    <row r="146">
      <c r="A146" s="17" t="inlineStr">
        <is>
          <t>GNR_AFF_2018</t>
        </is>
      </c>
      <c r="B146" s="17" t="inlineStr">
        <is>
          <t>3617MRW83</t>
        </is>
      </c>
      <c r="C146" s="17" t="inlineStr">
        <is>
          <t>PN</t>
        </is>
      </c>
      <c r="D146" s="17" t="inlineStr">
        <is>
          <t>JLL REAL ESTATE CAPITAL, LLC</t>
        </is>
      </c>
      <c r="E146" s="17" t="inlineStr">
        <is>
          <t>3617MRW83_000000005235853</t>
        </is>
      </c>
      <c r="F146" s="17" t="n">
        <v>202603</v>
      </c>
      <c r="G146" s="18" t="n">
        <v>2.3</v>
      </c>
      <c r="H146" s="19" t="n">
        <v>22345330.75</v>
      </c>
      <c r="I146" s="17" t="n">
        <v>480</v>
      </c>
      <c r="J146" s="17" t="n">
        <v>20200929</v>
      </c>
      <c r="K146" s="17" t="n">
        <v>20601001</v>
      </c>
      <c r="L146" s="17" t="n"/>
      <c r="M146" s="17" t="n">
        <v>20301101</v>
      </c>
      <c r="N146" s="17" t="n">
        <v>10</v>
      </c>
      <c r="O146" s="17" t="inlineStr">
        <is>
          <t>223(A)(7)/221(D)(4)</t>
        </is>
      </c>
      <c r="P146" s="17" t="inlineStr">
        <is>
          <t>BAF</t>
        </is>
      </c>
      <c r="Q146" s="17" t="n"/>
      <c r="R146" s="17" t="n"/>
      <c r="S146" s="17" t="n"/>
      <c r="T146" s="17" t="inlineStr">
        <is>
          <t>MD</t>
        </is>
      </c>
      <c r="U146" s="17" t="n">
        <v>200</v>
      </c>
      <c r="V146" s="17" t="n">
        <v>490.5</v>
      </c>
      <c r="W146" s="17" t="n">
        <v>66</v>
      </c>
      <c r="X146" s="17" t="n">
        <v>2020</v>
      </c>
      <c r="Y146" s="17" t="n">
        <v>-55</v>
      </c>
      <c r="Z146" s="17" t="n">
        <v>1</v>
      </c>
      <c r="AA146" s="20">
        <f>IF(ISNUMBER(W146),W146,IFERROR(MAX(0,(VALUE(LEFT(F146,4))-VALUE(LEFT(TEXT(J146,"00000000"),4)))*12+(VALUE(MID(F146,5,2))-VALUE(MID(TEXT(J146,"00000000"),5,2)))),""))</f>
        <v/>
      </c>
      <c r="AB146" s="20">
        <f>IFERROR((VALUE(LEFT(TEXT(K146,"00000000"),4))-VALUE(LEFT(F146,4)))*12+(VALUE(MID(TEXT(K146,"00000000"),5,2))-VALUE(MID(F146,5,2))),"")</f>
        <v/>
      </c>
      <c r="AC146" s="20">
        <f>IF(OR(L146="",NOT(ISNUMBER(L146))),0,MAX(0,MIN(60,(VALUE(LEFT(F146,4))-VALUE(LEFT(TEXT(L146,"00000000"),4)))*12+(VALUE(MID(F146,5,2))-VALUE(MID(TEXT(L146,"00000000"),5,2))))))</f>
        <v/>
      </c>
      <c r="AD146" s="20">
        <f>IF(OR(L146="",NOT(ISNUMBER(L146))),0,IF(VALUE(F146)&lt;VALUE(LEFT(TEXT(L146,"00000000"),6)),1,0))</f>
        <v/>
      </c>
      <c r="AE146" s="20">
        <f>IF(OR(M146="",NOT(ISNUMBER(M146))),0,IF(VALUE(F146)&lt;VALUE(LEFT(TEXT(M146,"00000000"),6)),1,0))</f>
        <v/>
      </c>
      <c r="AF146" s="20">
        <f>IF(AND(AD146=0,AE146=0),1,0)</f>
        <v/>
      </c>
      <c r="AG146" s="20">
        <f>IF(ISNUMBER(X146),X146,IFERROR(VALUE(LEFT(TEXT(J146,"00000000"),4)),""))</f>
        <v/>
      </c>
      <c r="AH146" s="20">
        <f>IFERROR(XLOOKUP(AG146,Vintage_Rates!$A$2:$A$1000,Vintage_Rates!$B$2:$B$1000,""),"")</f>
        <v/>
      </c>
      <c r="AI146" s="20">
        <f>IF(ISNUMBER(Y146),Y146,IFERROR((G146-AH146)*100,""))</f>
        <v/>
      </c>
      <c r="AJ146" s="20">
        <f>IF(ISNUMBER(V146),V146,IFERROR(XLOOKUP(VALUE(F146),PLC_Rates!$A$2:$A$1000,PLC_Rates!$B$2:$B$1000,""),""))</f>
        <v/>
      </c>
      <c r="AK146" s="20">
        <f>IF(ISNUMBER(Z146),Z146,IF(AE146=0,0,MAX(0,MIN(10,((VALUE(LEFT(TEXT(M146,"00000000"),4))-VALUE(LEFT(F146,4)))*12+(VALUE(MID(TEXT(M146,"00000000"),5,2))-VALUE(MID(F146,5,2))))/12))))</f>
        <v/>
      </c>
      <c r="AL146" s="20">
        <f>IFERROR(G146*100-AJ146,"")</f>
        <v/>
      </c>
      <c r="AM146" s="20">
        <f>IFERROR(G146*100-(AJ146+(1+AK146)*12.5),"")</f>
        <v/>
      </c>
      <c r="AN146" s="21">
        <f>IFERROR(MIN(H146/1000000,100),"")</f>
        <v/>
      </c>
      <c r="AO146" s="20">
        <f>IFERROR(INDEX(FHA_Lookup!$B$2:$B$11,MATCH(TRUE,ISNUMBER(SEARCH(FHA_Lookup!$A$2:$A$11,UPPER(SUBSTITUTE(O146," ","")))),0)),"OTHER")</f>
        <v/>
      </c>
      <c r="AP146" s="20">
        <f>IFERROR(INDEX(FHA_Lookup!$C$2:$C$11,MATCH(TRUE,ISNUMBER(SEARCH(FHA_Lookup!$A$2:$A$11,UPPER(SUBSTITUTE(O146," ","")))),0)),"OTHER")</f>
        <v/>
      </c>
      <c r="AQ146" s="20">
        <f>IF(AP146="NC",1,0)</f>
        <v/>
      </c>
      <c r="AR146" s="20">
        <f>IF(UPPER(TRIM(P146))="AFF",1,0)</f>
        <v/>
      </c>
      <c r="AS146" s="20">
        <f>IF(UPPER(TRIM(P146))="BAF",1,0)</f>
        <v/>
      </c>
      <c r="AT146" s="20">
        <f>IF(UPPER(TRIM(P146))="MKT",1,0)</f>
        <v/>
      </c>
      <c r="AU146" s="20">
        <f>IF(AO146="221d4",1,0)</f>
        <v/>
      </c>
      <c r="AV146" s="20">
        <f>IF(AO146="223a7",1,0)</f>
        <v/>
      </c>
      <c r="AW146" s="20">
        <f>IF(AO146="232",1,0)</f>
        <v/>
      </c>
      <c r="AX146" s="20">
        <f>IF(AO146="538",1,0)</f>
        <v/>
      </c>
      <c r="AY146" s="20">
        <f>IF(AO146="241",1,0)</f>
        <v/>
      </c>
      <c r="AZ146" s="20">
        <f>IF(AO146="220",1,0)</f>
        <v/>
      </c>
      <c r="BA146" s="20">
        <f>IF(AO146="OTHER",1,0)</f>
        <v/>
      </c>
      <c r="BB146" s="20">
        <f>IF(UPPER(TRIM(C146))="LM",1,0)</f>
        <v/>
      </c>
      <c r="BC146" s="20">
        <f>IF(UPPER(TRIM(C146))="PN",1,0)</f>
        <v/>
      </c>
      <c r="BD146" s="20">
        <f>IF(UPPER(TRIM(C146))="LS",1,0)</f>
        <v/>
      </c>
      <c r="BE146" s="20">
        <f>IF(UPPER(TRIM(C146))="RX",1,0)</f>
        <v/>
      </c>
      <c r="BF146" s="22">
        <f>IFERROR((Parameters!$C$6*AM146+Parameters!$C$7*MAX(AM146-(-150),0)+Parameters!$C$8*MAX(AM146-(-50),0)+Parameters!$C$9*MAX(AM146-(0),0)+Parameters!$C$10*MAX(AM146-(50),0)+Parameters!$C$11*MAX(AM146-(100),0)+Parameters!$C$12*MAX(AM146-(150),0)+Parameters!$C$13*MAX(AM146-(250),0)),0)</f>
        <v/>
      </c>
      <c r="BG146" s="22">
        <f>IFERROR((Parameters!$C$14*AA146+Parameters!$C$15*MAX(AA146-(12),0)+Parameters!$C$16*MAX(AA146-(36),0)+Parameters!$C$17*MAX(AA146-(60),0)+Parameters!$C$18*MAX(AA146-(84),0)+Parameters!$C$19*MAX(AA146-(120),0)+Parameters!$C$20*MAX(AA146-(180),0)),0)</f>
        <v/>
      </c>
      <c r="BH146" s="22">
        <f>IFERROR((Parameters!$C$21*AK146+Parameters!$C$22*MAX(AK146-(0),0)+Parameters!$C$23*MAX(AK146-(2),0)+Parameters!$C$24*MAX(AK146-(5),0)+Parameters!$C$25*MAX(AK146-(8),0)),0)</f>
        <v/>
      </c>
      <c r="BI146" s="22">
        <f>IFERROR((Parameters!$C$26*AI146+Parameters!$C$27*MAX(AI146-(-100),0)+Parameters!$C$28*MAX(AI146-(-25),0)+Parameters!$C$29*MAX(AI146-(25),0)+Parameters!$C$30*MAX(AI146-(100),0)),0)</f>
        <v/>
      </c>
      <c r="BJ146" s="22">
        <f>IFERROR((Parameters!$C$31*AN146+Parameters!$C$32*MAX(AN146-(2),0)+Parameters!$C$33*MAX(AN146-(10),0)+Parameters!$C$34*MAX(AN146-(25),0)),0)</f>
        <v/>
      </c>
      <c r="BK146" s="22">
        <f>IFERROR((Parameters!$C$35*AB146+Parameters!$C$36*MAX(AB146-(12),0)+Parameters!$C$37*MAX(AB146-(24),0)+Parameters!$C$38*MAX(AB146-(60),0)),0)</f>
        <v/>
      </c>
      <c r="BL146" s="22">
        <f>IFERROR((Parameters!$C$39*AC146+Parameters!$C$40*MAX(AC146-(6),0)+Parameters!$C$41*MAX(AC146-(12),0)+Parameters!$C$42*MAX(AC146-(24),0)),0)</f>
        <v/>
      </c>
      <c r="BM146" s="22">
        <f>IFERROR(Parameters!$C$43*(MAX(AM146,0)*MIN(MAX(AK146,0),10))/100,0)</f>
        <v/>
      </c>
      <c r="BN146" s="22">
        <f>Parameters!$C$44*AE146</f>
        <v/>
      </c>
      <c r="BO146" s="22">
        <f>Parameters!$C$45*AU146 + Parameters!$C$46*AV146 + Parameters!$C$47*AW146 + Parameters!$C$48*AX146 + Parameters!$C$49*AY146 + Parameters!$C$50*AZ146 + Parameters!$C$51*BA146</f>
        <v/>
      </c>
      <c r="BP146" s="22">
        <f>Parameters!$C$52*AQ146</f>
        <v/>
      </c>
      <c r="BQ146" s="22">
        <f>Parameters!$C$53*AR146+Parameters!$C$54*AS146+Parameters!$C$55*AT146</f>
        <v/>
      </c>
      <c r="BR146" s="22">
        <f>Parameters!$C$56*BB146+Parameters!$C$57*BC146+Parameters!$C$58*BD146+Parameters!$C$59*BE146</f>
        <v/>
      </c>
      <c r="BS146" s="23">
        <f>Parameters!$B$2</f>
        <v/>
      </c>
      <c r="BT146" s="23">
        <f>BS146+BF146 + BG146 + BH146 + BI146 + BJ146 + BK146 + BL146 + BM146 + BN146 + BO146 + BP146 + BQ146 + BR146</f>
        <v/>
      </c>
      <c r="BU146" s="24">
        <f>IF(AD146=1,0,1/(1+EXP(-BT146))*Parameters!$B$3)</f>
        <v/>
      </c>
      <c r="BV146" s="25">
        <f>(1-(1-BU146)^12)*100</f>
        <v/>
      </c>
      <c r="BW146" s="25">
        <f>IF(AD146=1,0,(1-(1-1/(1+EXP(-Parameters!$B$2)))^12)*100)</f>
        <v/>
      </c>
      <c r="BX146" s="25">
        <f>IF(AD146=1,0,BV146-(1-(1-(1/(1+EXP(-(BT146-BF146)))*Parameters!$B$3))^12)*100)</f>
        <v/>
      </c>
      <c r="BY146" s="25">
        <f>IF(AD146=1,0,BV146-(1-(1-(1/(1+EXP(-(BT146-BG146)))*Parameters!$B$3))^12)*100)</f>
        <v/>
      </c>
      <c r="BZ146" s="25">
        <f>IF(AD146=1,0,BV146-(1-(1-(1/(1+EXP(-(BT146-BH146)))*Parameters!$B$3))^12)*100)</f>
        <v/>
      </c>
      <c r="CA146" s="25">
        <f>IF(AD146=1,0,BV146-(1-(1-(1/(1+EXP(-(BT146-BI146)))*Parameters!$B$3))^12)*100)</f>
        <v/>
      </c>
      <c r="CB146" s="25">
        <f>IF(AD146=1,0,BV146-(1-(1-(1/(1+EXP(-(BT146-BJ146)))*Parameters!$B$3))^12)*100)</f>
        <v/>
      </c>
      <c r="CC146" s="25">
        <f>IF(AD146=1,0,BV146-(1-(1-(1/(1+EXP(-(BT146-BK146)))*Parameters!$B$3))^12)*100)</f>
        <v/>
      </c>
      <c r="CD146" s="25">
        <f>IF(AD146=1,0,BV146-(1-(1-(1/(1+EXP(-(BT146-BL146)))*Parameters!$B$3))^12)*100)</f>
        <v/>
      </c>
      <c r="CE146" s="25">
        <f>IF(AD146=1,0,BV146-(1-(1-(1/(1+EXP(-(BT146-BM146)))*Parameters!$B$3))^12)*100)</f>
        <v/>
      </c>
      <c r="CF146" s="25">
        <f>IF(AD146=1,0,BV146-(1-(1-(1/(1+EXP(-(BT146-BN146)))*Parameters!$B$3))^12)*100)</f>
        <v/>
      </c>
      <c r="CG146" s="25">
        <f>IF(AD146=1,0,BV146-(1-(1-(1/(1+EXP(-(BT146-BO146)))*Parameters!$B$3))^12)*100)</f>
        <v/>
      </c>
      <c r="CH146" s="25">
        <f>IF(AD146=1,0,BV146-(1-(1-(1/(1+EXP(-(BT146-BP146)))*Parameters!$B$3))^12)*100)</f>
        <v/>
      </c>
      <c r="CI146" s="25">
        <f>IF(AD146=1,0,BV146-(1-(1-(1/(1+EXP(-(BT146-BQ146)))*Parameters!$B$3))^12)*100)</f>
        <v/>
      </c>
      <c r="CJ146" s="25">
        <f>IF(AD146=1,0,BV146-(1-(1-(1/(1+EXP(-(BT146-BR146)))*Parameters!$B$3))^12)*100)</f>
        <v/>
      </c>
    </row>
    <row r="147">
      <c r="A147" s="17" t="inlineStr">
        <is>
          <t>GNR_AFF_2018</t>
        </is>
      </c>
      <c r="B147" s="17" t="inlineStr">
        <is>
          <t>36195VCL2</t>
        </is>
      </c>
      <c r="C147" s="17" t="inlineStr">
        <is>
          <t>PN</t>
        </is>
      </c>
      <c r="D147" s="17" t="inlineStr">
        <is>
          <t>ROSE COMMUNITY CAPITAL, LLC</t>
        </is>
      </c>
      <c r="E147" s="17" t="inlineStr">
        <is>
          <t>36195VCL2_000000004235707</t>
        </is>
      </c>
      <c r="F147" s="17" t="n">
        <v>202603</v>
      </c>
      <c r="G147" s="18" t="n">
        <v>3.99</v>
      </c>
      <c r="H147" s="19" t="n">
        <v>1611242.81</v>
      </c>
      <c r="I147" s="17" t="n">
        <v>493</v>
      </c>
      <c r="J147" s="17" t="n">
        <v>20170401</v>
      </c>
      <c r="K147" s="17" t="n">
        <v>20580601</v>
      </c>
      <c r="L147" s="17" t="n">
        <v>20180701</v>
      </c>
      <c r="M147" s="17" t="n">
        <v>20280701</v>
      </c>
      <c r="N147" s="17" t="n">
        <v>10</v>
      </c>
      <c r="O147" s="17" t="inlineStr">
        <is>
          <t>221(d)(4)</t>
        </is>
      </c>
      <c r="P147" s="17" t="inlineStr">
        <is>
          <t>BAF</t>
        </is>
      </c>
      <c r="Q147" s="17" t="n"/>
      <c r="R147" s="17" t="n"/>
      <c r="S147" s="17" t="n"/>
      <c r="T147" s="17" t="inlineStr">
        <is>
          <t>OH</t>
        </is>
      </c>
      <c r="U147" s="17" t="n">
        <v>40</v>
      </c>
      <c r="V147" s="17" t="n">
        <v>490.5</v>
      </c>
      <c r="W147" s="17" t="n">
        <v>107</v>
      </c>
      <c r="X147" s="17" t="n">
        <v>2017</v>
      </c>
      <c r="Y147" s="17" t="n">
        <v>52</v>
      </c>
      <c r="Z147" s="17" t="n">
        <v>3</v>
      </c>
      <c r="AA147" s="20">
        <f>IF(ISNUMBER(W147),W147,IFERROR(MAX(0,(VALUE(LEFT(F147,4))-VALUE(LEFT(TEXT(J147,"00000000"),4)))*12+(VALUE(MID(F147,5,2))-VALUE(MID(TEXT(J147,"00000000"),5,2)))),""))</f>
        <v/>
      </c>
      <c r="AB147" s="20">
        <f>IFERROR((VALUE(LEFT(TEXT(K147,"00000000"),4))-VALUE(LEFT(F147,4)))*12+(VALUE(MID(TEXT(K147,"00000000"),5,2))-VALUE(MID(F147,5,2))),"")</f>
        <v/>
      </c>
      <c r="AC147" s="20">
        <f>IF(OR(L147="",NOT(ISNUMBER(L147))),0,MAX(0,MIN(60,(VALUE(LEFT(F147,4))-VALUE(LEFT(TEXT(L147,"00000000"),4)))*12+(VALUE(MID(F147,5,2))-VALUE(MID(TEXT(L147,"00000000"),5,2))))))</f>
        <v/>
      </c>
      <c r="AD147" s="20">
        <f>IF(OR(L147="",NOT(ISNUMBER(L147))),0,IF(VALUE(F147)&lt;VALUE(LEFT(TEXT(L147,"00000000"),6)),1,0))</f>
        <v/>
      </c>
      <c r="AE147" s="20">
        <f>IF(OR(M147="",NOT(ISNUMBER(M147))),0,IF(VALUE(F147)&lt;VALUE(LEFT(TEXT(M147,"00000000"),6)),1,0))</f>
        <v/>
      </c>
      <c r="AF147" s="20">
        <f>IF(AND(AD147=0,AE147=0),1,0)</f>
        <v/>
      </c>
      <c r="AG147" s="20">
        <f>IF(ISNUMBER(X147),X147,IFERROR(VALUE(LEFT(TEXT(J147,"00000000"),4)),""))</f>
        <v/>
      </c>
      <c r="AH147" s="20">
        <f>IFERROR(XLOOKUP(AG147,Vintage_Rates!$A$2:$A$1000,Vintage_Rates!$B$2:$B$1000,""),"")</f>
        <v/>
      </c>
      <c r="AI147" s="20">
        <f>IF(ISNUMBER(Y147),Y147,IFERROR((G147-AH147)*100,""))</f>
        <v/>
      </c>
      <c r="AJ147" s="20">
        <f>IF(ISNUMBER(V147),V147,IFERROR(XLOOKUP(VALUE(F147),PLC_Rates!$A$2:$A$1000,PLC_Rates!$B$2:$B$1000,""),""))</f>
        <v/>
      </c>
      <c r="AK147" s="20">
        <f>IF(ISNUMBER(Z147),Z147,IF(AE147=0,0,MAX(0,MIN(10,((VALUE(LEFT(TEXT(M147,"00000000"),4))-VALUE(LEFT(F147,4)))*12+(VALUE(MID(TEXT(M147,"00000000"),5,2))-VALUE(MID(F147,5,2))))/12))))</f>
        <v/>
      </c>
      <c r="AL147" s="20">
        <f>IFERROR(G147*100-AJ147,"")</f>
        <v/>
      </c>
      <c r="AM147" s="20">
        <f>IFERROR(G147*100-(AJ147+(1+AK147)*12.5),"")</f>
        <v/>
      </c>
      <c r="AN147" s="21">
        <f>IFERROR(MIN(H147/1000000,100),"")</f>
        <v/>
      </c>
      <c r="AO147" s="20">
        <f>IFERROR(INDEX(FHA_Lookup!$B$2:$B$11,MATCH(TRUE,ISNUMBER(SEARCH(FHA_Lookup!$A$2:$A$11,UPPER(SUBSTITUTE(O147," ","")))),0)),"OTHER")</f>
        <v/>
      </c>
      <c r="AP147" s="20">
        <f>IFERROR(INDEX(FHA_Lookup!$C$2:$C$11,MATCH(TRUE,ISNUMBER(SEARCH(FHA_Lookup!$A$2:$A$11,UPPER(SUBSTITUTE(O147," ","")))),0)),"OTHER")</f>
        <v/>
      </c>
      <c r="AQ147" s="20">
        <f>IF(AP147="NC",1,0)</f>
        <v/>
      </c>
      <c r="AR147" s="20">
        <f>IF(UPPER(TRIM(P147))="AFF",1,0)</f>
        <v/>
      </c>
      <c r="AS147" s="20">
        <f>IF(UPPER(TRIM(P147))="BAF",1,0)</f>
        <v/>
      </c>
      <c r="AT147" s="20">
        <f>IF(UPPER(TRIM(P147))="MKT",1,0)</f>
        <v/>
      </c>
      <c r="AU147" s="20">
        <f>IF(AO147="221d4",1,0)</f>
        <v/>
      </c>
      <c r="AV147" s="20">
        <f>IF(AO147="223a7",1,0)</f>
        <v/>
      </c>
      <c r="AW147" s="20">
        <f>IF(AO147="232",1,0)</f>
        <v/>
      </c>
      <c r="AX147" s="20">
        <f>IF(AO147="538",1,0)</f>
        <v/>
      </c>
      <c r="AY147" s="20">
        <f>IF(AO147="241",1,0)</f>
        <v/>
      </c>
      <c r="AZ147" s="20">
        <f>IF(AO147="220",1,0)</f>
        <v/>
      </c>
      <c r="BA147" s="20">
        <f>IF(AO147="OTHER",1,0)</f>
        <v/>
      </c>
      <c r="BB147" s="20">
        <f>IF(UPPER(TRIM(C147))="LM",1,0)</f>
        <v/>
      </c>
      <c r="BC147" s="20">
        <f>IF(UPPER(TRIM(C147))="PN",1,0)</f>
        <v/>
      </c>
      <c r="BD147" s="20">
        <f>IF(UPPER(TRIM(C147))="LS",1,0)</f>
        <v/>
      </c>
      <c r="BE147" s="20">
        <f>IF(UPPER(TRIM(C147))="RX",1,0)</f>
        <v/>
      </c>
      <c r="BF147" s="22">
        <f>IFERROR((Parameters!$C$6*AM147+Parameters!$C$7*MAX(AM147-(-150),0)+Parameters!$C$8*MAX(AM147-(-50),0)+Parameters!$C$9*MAX(AM147-(0),0)+Parameters!$C$10*MAX(AM147-(50),0)+Parameters!$C$11*MAX(AM147-(100),0)+Parameters!$C$12*MAX(AM147-(150),0)+Parameters!$C$13*MAX(AM147-(250),0)),0)</f>
        <v/>
      </c>
      <c r="BG147" s="22">
        <f>IFERROR((Parameters!$C$14*AA147+Parameters!$C$15*MAX(AA147-(12),0)+Parameters!$C$16*MAX(AA147-(36),0)+Parameters!$C$17*MAX(AA147-(60),0)+Parameters!$C$18*MAX(AA147-(84),0)+Parameters!$C$19*MAX(AA147-(120),0)+Parameters!$C$20*MAX(AA147-(180),0)),0)</f>
        <v/>
      </c>
      <c r="BH147" s="22">
        <f>IFERROR((Parameters!$C$21*AK147+Parameters!$C$22*MAX(AK147-(0),0)+Parameters!$C$23*MAX(AK147-(2),0)+Parameters!$C$24*MAX(AK147-(5),0)+Parameters!$C$25*MAX(AK147-(8),0)),0)</f>
        <v/>
      </c>
      <c r="BI147" s="22">
        <f>IFERROR((Parameters!$C$26*AI147+Parameters!$C$27*MAX(AI147-(-100),0)+Parameters!$C$28*MAX(AI147-(-25),0)+Parameters!$C$29*MAX(AI147-(25),0)+Parameters!$C$30*MAX(AI147-(100),0)),0)</f>
        <v/>
      </c>
      <c r="BJ147" s="22">
        <f>IFERROR((Parameters!$C$31*AN147+Parameters!$C$32*MAX(AN147-(2),0)+Parameters!$C$33*MAX(AN147-(10),0)+Parameters!$C$34*MAX(AN147-(25),0)),0)</f>
        <v/>
      </c>
      <c r="BK147" s="22">
        <f>IFERROR((Parameters!$C$35*AB147+Parameters!$C$36*MAX(AB147-(12),0)+Parameters!$C$37*MAX(AB147-(24),0)+Parameters!$C$38*MAX(AB147-(60),0)),0)</f>
        <v/>
      </c>
      <c r="BL147" s="22">
        <f>IFERROR((Parameters!$C$39*AC147+Parameters!$C$40*MAX(AC147-(6),0)+Parameters!$C$41*MAX(AC147-(12),0)+Parameters!$C$42*MAX(AC147-(24),0)),0)</f>
        <v/>
      </c>
      <c r="BM147" s="22">
        <f>IFERROR(Parameters!$C$43*(MAX(AM147,0)*MIN(MAX(AK147,0),10))/100,0)</f>
        <v/>
      </c>
      <c r="BN147" s="22">
        <f>Parameters!$C$44*AE147</f>
        <v/>
      </c>
      <c r="BO147" s="22">
        <f>Parameters!$C$45*AU147 + Parameters!$C$46*AV147 + Parameters!$C$47*AW147 + Parameters!$C$48*AX147 + Parameters!$C$49*AY147 + Parameters!$C$50*AZ147 + Parameters!$C$51*BA147</f>
        <v/>
      </c>
      <c r="BP147" s="22">
        <f>Parameters!$C$52*AQ147</f>
        <v/>
      </c>
      <c r="BQ147" s="22">
        <f>Parameters!$C$53*AR147+Parameters!$C$54*AS147+Parameters!$C$55*AT147</f>
        <v/>
      </c>
      <c r="BR147" s="22">
        <f>Parameters!$C$56*BB147+Parameters!$C$57*BC147+Parameters!$C$58*BD147+Parameters!$C$59*BE147</f>
        <v/>
      </c>
      <c r="BS147" s="23">
        <f>Parameters!$B$2</f>
        <v/>
      </c>
      <c r="BT147" s="23">
        <f>BS147+BF147 + BG147 + BH147 + BI147 + BJ147 + BK147 + BL147 + BM147 + BN147 + BO147 + BP147 + BQ147 + BR147</f>
        <v/>
      </c>
      <c r="BU147" s="24">
        <f>IF(AD147=1,0,1/(1+EXP(-BT147))*Parameters!$B$3)</f>
        <v/>
      </c>
      <c r="BV147" s="25">
        <f>(1-(1-BU147)^12)*100</f>
        <v/>
      </c>
      <c r="BW147" s="25">
        <f>IF(AD147=1,0,(1-(1-1/(1+EXP(-Parameters!$B$2)))^12)*100)</f>
        <v/>
      </c>
      <c r="BX147" s="25">
        <f>IF(AD147=1,0,BV147-(1-(1-(1/(1+EXP(-(BT147-BF147)))*Parameters!$B$3))^12)*100)</f>
        <v/>
      </c>
      <c r="BY147" s="25">
        <f>IF(AD147=1,0,BV147-(1-(1-(1/(1+EXP(-(BT147-BG147)))*Parameters!$B$3))^12)*100)</f>
        <v/>
      </c>
      <c r="BZ147" s="25">
        <f>IF(AD147=1,0,BV147-(1-(1-(1/(1+EXP(-(BT147-BH147)))*Parameters!$B$3))^12)*100)</f>
        <v/>
      </c>
      <c r="CA147" s="25">
        <f>IF(AD147=1,0,BV147-(1-(1-(1/(1+EXP(-(BT147-BI147)))*Parameters!$B$3))^12)*100)</f>
        <v/>
      </c>
      <c r="CB147" s="25">
        <f>IF(AD147=1,0,BV147-(1-(1-(1/(1+EXP(-(BT147-BJ147)))*Parameters!$B$3))^12)*100)</f>
        <v/>
      </c>
      <c r="CC147" s="25">
        <f>IF(AD147=1,0,BV147-(1-(1-(1/(1+EXP(-(BT147-BK147)))*Parameters!$B$3))^12)*100)</f>
        <v/>
      </c>
      <c r="CD147" s="25">
        <f>IF(AD147=1,0,BV147-(1-(1-(1/(1+EXP(-(BT147-BL147)))*Parameters!$B$3))^12)*100)</f>
        <v/>
      </c>
      <c r="CE147" s="25">
        <f>IF(AD147=1,0,BV147-(1-(1-(1/(1+EXP(-(BT147-BM147)))*Parameters!$B$3))^12)*100)</f>
        <v/>
      </c>
      <c r="CF147" s="25">
        <f>IF(AD147=1,0,BV147-(1-(1-(1/(1+EXP(-(BT147-BN147)))*Parameters!$B$3))^12)*100)</f>
        <v/>
      </c>
      <c r="CG147" s="25">
        <f>IF(AD147=1,0,BV147-(1-(1-(1/(1+EXP(-(BT147-BO147)))*Parameters!$B$3))^12)*100)</f>
        <v/>
      </c>
      <c r="CH147" s="25">
        <f>IF(AD147=1,0,BV147-(1-(1-(1/(1+EXP(-(BT147-BP147)))*Parameters!$B$3))^12)*100)</f>
        <v/>
      </c>
      <c r="CI147" s="25">
        <f>IF(AD147=1,0,BV147-(1-(1-(1/(1+EXP(-(BT147-BQ147)))*Parameters!$B$3))^12)*100)</f>
        <v/>
      </c>
      <c r="CJ147" s="25">
        <f>IF(AD147=1,0,BV147-(1-(1-(1/(1+EXP(-(BT147-BR147)))*Parameters!$B$3))^12)*100)</f>
        <v/>
      </c>
    </row>
    <row r="148">
      <c r="A148" s="17" t="inlineStr">
        <is>
          <t>GNR_AFF_2018</t>
        </is>
      </c>
      <c r="B148" s="17" t="inlineStr">
        <is>
          <t>3617QWYJ2</t>
        </is>
      </c>
      <c r="C148" s="17" t="inlineStr">
        <is>
          <t>LM</t>
        </is>
      </c>
      <c r="D148" s="17" t="inlineStr">
        <is>
          <t>ROSE COMMUNITY CAPITAL, LLC</t>
        </is>
      </c>
      <c r="E148" s="17" t="inlineStr">
        <is>
          <t>3617QWYJ2_000000003111121</t>
        </is>
      </c>
      <c r="F148" s="17" t="n">
        <v>202603</v>
      </c>
      <c r="G148" s="18" t="n">
        <v>3.2</v>
      </c>
      <c r="H148" s="19" t="n">
        <v>56139337.85</v>
      </c>
      <c r="I148" s="17" t="n">
        <v>390</v>
      </c>
      <c r="J148" s="17" t="n">
        <v>20210401</v>
      </c>
      <c r="K148" s="17" t="n">
        <v>20531101</v>
      </c>
      <c r="L148" s="17" t="n">
        <v>20220601</v>
      </c>
      <c r="M148" s="17" t="n">
        <v>20310601</v>
      </c>
      <c r="N148" s="17" t="n">
        <v>10</v>
      </c>
      <c r="O148" s="17" t="inlineStr">
        <is>
          <t>207/223(f)</t>
        </is>
      </c>
      <c r="P148" s="17" t="inlineStr">
        <is>
          <t>BAF</t>
        </is>
      </c>
      <c r="Q148" s="17" t="inlineStr">
        <is>
          <t>M</t>
        </is>
      </c>
      <c r="R148" s="17" t="n"/>
      <c r="S148" s="17" t="n">
        <v>1</v>
      </c>
      <c r="T148" s="17" t="inlineStr">
        <is>
          <t>NJ</t>
        </is>
      </c>
      <c r="U148" s="17" t="n">
        <v>429</v>
      </c>
      <c r="V148" s="17" t="n">
        <v>490.5</v>
      </c>
      <c r="W148" s="17" t="n">
        <v>59</v>
      </c>
      <c r="X148" s="17" t="n">
        <v>2021</v>
      </c>
      <c r="Y148" s="17" t="n">
        <v>62</v>
      </c>
      <c r="Z148" s="17" t="n">
        <v>6</v>
      </c>
      <c r="AA148" s="20">
        <f>IF(ISNUMBER(W148),W148,IFERROR(MAX(0,(VALUE(LEFT(F148,4))-VALUE(LEFT(TEXT(J148,"00000000"),4)))*12+(VALUE(MID(F148,5,2))-VALUE(MID(TEXT(J148,"00000000"),5,2)))),""))</f>
        <v/>
      </c>
      <c r="AB148" s="20">
        <f>IFERROR((VALUE(LEFT(TEXT(K148,"00000000"),4))-VALUE(LEFT(F148,4)))*12+(VALUE(MID(TEXT(K148,"00000000"),5,2))-VALUE(MID(F148,5,2))),"")</f>
        <v/>
      </c>
      <c r="AC148" s="20">
        <f>IF(OR(L148="",NOT(ISNUMBER(L148))),0,MAX(0,MIN(60,(VALUE(LEFT(F148,4))-VALUE(LEFT(TEXT(L148,"00000000"),4)))*12+(VALUE(MID(F148,5,2))-VALUE(MID(TEXT(L148,"00000000"),5,2))))))</f>
        <v/>
      </c>
      <c r="AD148" s="20">
        <f>IF(OR(L148="",NOT(ISNUMBER(L148))),0,IF(VALUE(F148)&lt;VALUE(LEFT(TEXT(L148,"00000000"),6)),1,0))</f>
        <v/>
      </c>
      <c r="AE148" s="20">
        <f>IF(OR(M148="",NOT(ISNUMBER(M148))),0,IF(VALUE(F148)&lt;VALUE(LEFT(TEXT(M148,"00000000"),6)),1,0))</f>
        <v/>
      </c>
      <c r="AF148" s="20">
        <f>IF(AND(AD148=0,AE148=0),1,0)</f>
        <v/>
      </c>
      <c r="AG148" s="20">
        <f>IF(ISNUMBER(X148),X148,IFERROR(VALUE(LEFT(TEXT(J148,"00000000"),4)),""))</f>
        <v/>
      </c>
      <c r="AH148" s="20">
        <f>IFERROR(XLOOKUP(AG148,Vintage_Rates!$A$2:$A$1000,Vintage_Rates!$B$2:$B$1000,""),"")</f>
        <v/>
      </c>
      <c r="AI148" s="20">
        <f>IF(ISNUMBER(Y148),Y148,IFERROR((G148-AH148)*100,""))</f>
        <v/>
      </c>
      <c r="AJ148" s="20">
        <f>IF(ISNUMBER(V148),V148,IFERROR(XLOOKUP(VALUE(F148),PLC_Rates!$A$2:$A$1000,PLC_Rates!$B$2:$B$1000,""),""))</f>
        <v/>
      </c>
      <c r="AK148" s="20">
        <f>IF(ISNUMBER(Z148),Z148,IF(AE148=0,0,MAX(0,MIN(10,((VALUE(LEFT(TEXT(M148,"00000000"),4))-VALUE(LEFT(F148,4)))*12+(VALUE(MID(TEXT(M148,"00000000"),5,2))-VALUE(MID(F148,5,2))))/12))))</f>
        <v/>
      </c>
      <c r="AL148" s="20">
        <f>IFERROR(G148*100-AJ148,"")</f>
        <v/>
      </c>
      <c r="AM148" s="20">
        <f>IFERROR(G148*100-(AJ148+(1+AK148)*12.5),"")</f>
        <v/>
      </c>
      <c r="AN148" s="21">
        <f>IFERROR(MIN(H148/1000000,100),"")</f>
        <v/>
      </c>
      <c r="AO148" s="20">
        <f>IFERROR(INDEX(FHA_Lookup!$B$2:$B$11,MATCH(TRUE,ISNUMBER(SEARCH(FHA_Lookup!$A$2:$A$11,UPPER(SUBSTITUTE(O148," ","")))),0)),"OTHER")</f>
        <v/>
      </c>
      <c r="AP148" s="20">
        <f>IFERROR(INDEX(FHA_Lookup!$C$2:$C$11,MATCH(TRUE,ISNUMBER(SEARCH(FHA_Lookup!$A$2:$A$11,UPPER(SUBSTITUTE(O148," ","")))),0)),"OTHER")</f>
        <v/>
      </c>
      <c r="AQ148" s="20">
        <f>IF(AP148="NC",1,0)</f>
        <v/>
      </c>
      <c r="AR148" s="20">
        <f>IF(UPPER(TRIM(P148))="AFF",1,0)</f>
        <v/>
      </c>
      <c r="AS148" s="20">
        <f>IF(UPPER(TRIM(P148))="BAF",1,0)</f>
        <v/>
      </c>
      <c r="AT148" s="20">
        <f>IF(UPPER(TRIM(P148))="MKT",1,0)</f>
        <v/>
      </c>
      <c r="AU148" s="20">
        <f>IF(AO148="221d4",1,0)</f>
        <v/>
      </c>
      <c r="AV148" s="20">
        <f>IF(AO148="223a7",1,0)</f>
        <v/>
      </c>
      <c r="AW148" s="20">
        <f>IF(AO148="232",1,0)</f>
        <v/>
      </c>
      <c r="AX148" s="20">
        <f>IF(AO148="538",1,0)</f>
        <v/>
      </c>
      <c r="AY148" s="20">
        <f>IF(AO148="241",1,0)</f>
        <v/>
      </c>
      <c r="AZ148" s="20">
        <f>IF(AO148="220",1,0)</f>
        <v/>
      </c>
      <c r="BA148" s="20">
        <f>IF(AO148="OTHER",1,0)</f>
        <v/>
      </c>
      <c r="BB148" s="20">
        <f>IF(UPPER(TRIM(C148))="LM",1,0)</f>
        <v/>
      </c>
      <c r="BC148" s="20">
        <f>IF(UPPER(TRIM(C148))="PN",1,0)</f>
        <v/>
      </c>
      <c r="BD148" s="20">
        <f>IF(UPPER(TRIM(C148))="LS",1,0)</f>
        <v/>
      </c>
      <c r="BE148" s="20">
        <f>IF(UPPER(TRIM(C148))="RX",1,0)</f>
        <v/>
      </c>
      <c r="BF148" s="22">
        <f>IFERROR((Parameters!$C$6*AM148+Parameters!$C$7*MAX(AM148-(-150),0)+Parameters!$C$8*MAX(AM148-(-50),0)+Parameters!$C$9*MAX(AM148-(0),0)+Parameters!$C$10*MAX(AM148-(50),0)+Parameters!$C$11*MAX(AM148-(100),0)+Parameters!$C$12*MAX(AM148-(150),0)+Parameters!$C$13*MAX(AM148-(250),0)),0)</f>
        <v/>
      </c>
      <c r="BG148" s="22">
        <f>IFERROR((Parameters!$C$14*AA148+Parameters!$C$15*MAX(AA148-(12),0)+Parameters!$C$16*MAX(AA148-(36),0)+Parameters!$C$17*MAX(AA148-(60),0)+Parameters!$C$18*MAX(AA148-(84),0)+Parameters!$C$19*MAX(AA148-(120),0)+Parameters!$C$20*MAX(AA148-(180),0)),0)</f>
        <v/>
      </c>
      <c r="BH148" s="22">
        <f>IFERROR((Parameters!$C$21*AK148+Parameters!$C$22*MAX(AK148-(0),0)+Parameters!$C$23*MAX(AK148-(2),0)+Parameters!$C$24*MAX(AK148-(5),0)+Parameters!$C$25*MAX(AK148-(8),0)),0)</f>
        <v/>
      </c>
      <c r="BI148" s="22">
        <f>IFERROR((Parameters!$C$26*AI148+Parameters!$C$27*MAX(AI148-(-100),0)+Parameters!$C$28*MAX(AI148-(-25),0)+Parameters!$C$29*MAX(AI148-(25),0)+Parameters!$C$30*MAX(AI148-(100),0)),0)</f>
        <v/>
      </c>
      <c r="BJ148" s="22">
        <f>IFERROR((Parameters!$C$31*AN148+Parameters!$C$32*MAX(AN148-(2),0)+Parameters!$C$33*MAX(AN148-(10),0)+Parameters!$C$34*MAX(AN148-(25),0)),0)</f>
        <v/>
      </c>
      <c r="BK148" s="22">
        <f>IFERROR((Parameters!$C$35*AB148+Parameters!$C$36*MAX(AB148-(12),0)+Parameters!$C$37*MAX(AB148-(24),0)+Parameters!$C$38*MAX(AB148-(60),0)),0)</f>
        <v/>
      </c>
      <c r="BL148" s="22">
        <f>IFERROR((Parameters!$C$39*AC148+Parameters!$C$40*MAX(AC148-(6),0)+Parameters!$C$41*MAX(AC148-(12),0)+Parameters!$C$42*MAX(AC148-(24),0)),0)</f>
        <v/>
      </c>
      <c r="BM148" s="22">
        <f>IFERROR(Parameters!$C$43*(MAX(AM148,0)*MIN(MAX(AK148,0),10))/100,0)</f>
        <v/>
      </c>
      <c r="BN148" s="22">
        <f>Parameters!$C$44*AE148</f>
        <v/>
      </c>
      <c r="BO148" s="22">
        <f>Parameters!$C$45*AU148 + Parameters!$C$46*AV148 + Parameters!$C$47*AW148 + Parameters!$C$48*AX148 + Parameters!$C$49*AY148 + Parameters!$C$50*AZ148 + Parameters!$C$51*BA148</f>
        <v/>
      </c>
      <c r="BP148" s="22">
        <f>Parameters!$C$52*AQ148</f>
        <v/>
      </c>
      <c r="BQ148" s="22">
        <f>Parameters!$C$53*AR148+Parameters!$C$54*AS148+Parameters!$C$55*AT148</f>
        <v/>
      </c>
      <c r="BR148" s="22">
        <f>Parameters!$C$56*BB148+Parameters!$C$57*BC148+Parameters!$C$58*BD148+Parameters!$C$59*BE148</f>
        <v/>
      </c>
      <c r="BS148" s="23">
        <f>Parameters!$B$2</f>
        <v/>
      </c>
      <c r="BT148" s="23">
        <f>BS148+BF148 + BG148 + BH148 + BI148 + BJ148 + BK148 + BL148 + BM148 + BN148 + BO148 + BP148 + BQ148 + BR148</f>
        <v/>
      </c>
      <c r="BU148" s="24">
        <f>IF(AD148=1,0,1/(1+EXP(-BT148))*Parameters!$B$3)</f>
        <v/>
      </c>
      <c r="BV148" s="25">
        <f>(1-(1-BU148)^12)*100</f>
        <v/>
      </c>
      <c r="BW148" s="25">
        <f>IF(AD148=1,0,(1-(1-1/(1+EXP(-Parameters!$B$2)))^12)*100)</f>
        <v/>
      </c>
      <c r="BX148" s="25">
        <f>IF(AD148=1,0,BV148-(1-(1-(1/(1+EXP(-(BT148-BF148)))*Parameters!$B$3))^12)*100)</f>
        <v/>
      </c>
      <c r="BY148" s="25">
        <f>IF(AD148=1,0,BV148-(1-(1-(1/(1+EXP(-(BT148-BG148)))*Parameters!$B$3))^12)*100)</f>
        <v/>
      </c>
      <c r="BZ148" s="25">
        <f>IF(AD148=1,0,BV148-(1-(1-(1/(1+EXP(-(BT148-BH148)))*Parameters!$B$3))^12)*100)</f>
        <v/>
      </c>
      <c r="CA148" s="25">
        <f>IF(AD148=1,0,BV148-(1-(1-(1/(1+EXP(-(BT148-BI148)))*Parameters!$B$3))^12)*100)</f>
        <v/>
      </c>
      <c r="CB148" s="25">
        <f>IF(AD148=1,0,BV148-(1-(1-(1/(1+EXP(-(BT148-BJ148)))*Parameters!$B$3))^12)*100)</f>
        <v/>
      </c>
      <c r="CC148" s="25">
        <f>IF(AD148=1,0,BV148-(1-(1-(1/(1+EXP(-(BT148-BK148)))*Parameters!$B$3))^12)*100)</f>
        <v/>
      </c>
      <c r="CD148" s="25">
        <f>IF(AD148=1,0,BV148-(1-(1-(1/(1+EXP(-(BT148-BL148)))*Parameters!$B$3))^12)*100)</f>
        <v/>
      </c>
      <c r="CE148" s="25">
        <f>IF(AD148=1,0,BV148-(1-(1-(1/(1+EXP(-(BT148-BM148)))*Parameters!$B$3))^12)*100)</f>
        <v/>
      </c>
      <c r="CF148" s="25">
        <f>IF(AD148=1,0,BV148-(1-(1-(1/(1+EXP(-(BT148-BN148)))*Parameters!$B$3))^12)*100)</f>
        <v/>
      </c>
      <c r="CG148" s="25">
        <f>IF(AD148=1,0,BV148-(1-(1-(1/(1+EXP(-(BT148-BO148)))*Parameters!$B$3))^12)*100)</f>
        <v/>
      </c>
      <c r="CH148" s="25">
        <f>IF(AD148=1,0,BV148-(1-(1-(1/(1+EXP(-(BT148-BP148)))*Parameters!$B$3))^12)*100)</f>
        <v/>
      </c>
      <c r="CI148" s="25">
        <f>IF(AD148=1,0,BV148-(1-(1-(1/(1+EXP(-(BT148-BQ148)))*Parameters!$B$3))^12)*100)</f>
        <v/>
      </c>
      <c r="CJ148" s="25">
        <f>IF(AD148=1,0,BV148-(1-(1-(1/(1+EXP(-(BT148-BR148)))*Parameters!$B$3))^12)*100)</f>
        <v/>
      </c>
    </row>
    <row r="149">
      <c r="A149" s="17" t="inlineStr">
        <is>
          <t>GNR_AFF_2018</t>
        </is>
      </c>
      <c r="B149" s="17" t="inlineStr">
        <is>
          <t>36194HMT6</t>
        </is>
      </c>
      <c r="C149" s="17" t="inlineStr">
        <is>
          <t>PN</t>
        </is>
      </c>
      <c r="D149" s="17" t="inlineStr">
        <is>
          <t>BERKELEY POINT CAPITAL, LLC DBA NEWMARK</t>
        </is>
      </c>
      <c r="E149" s="17" t="inlineStr">
        <is>
          <t>36194HMT6_000000001211377</t>
        </is>
      </c>
      <c r="F149" s="17" t="n">
        <v>202603</v>
      </c>
      <c r="G149" s="18" t="n">
        <v>3.9</v>
      </c>
      <c r="H149" s="19" t="n">
        <v>1627483.35</v>
      </c>
      <c r="I149" s="17" t="n">
        <v>420</v>
      </c>
      <c r="J149" s="17" t="n">
        <v>20160901</v>
      </c>
      <c r="K149" s="17" t="n">
        <v>20511001</v>
      </c>
      <c r="L149" s="17" t="n"/>
      <c r="M149" s="17" t="n">
        <v>20261101</v>
      </c>
      <c r="N149" s="17" t="n">
        <v>10</v>
      </c>
      <c r="O149" s="17" t="inlineStr">
        <is>
          <t>207 / 223 (F)</t>
        </is>
      </c>
      <c r="P149" s="17" t="inlineStr">
        <is>
          <t>BAF</t>
        </is>
      </c>
      <c r="Q149" s="17" t="n"/>
      <c r="R149" s="17" t="n"/>
      <c r="S149" s="17" t="n"/>
      <c r="T149" s="17" t="inlineStr">
        <is>
          <t>NY</t>
        </is>
      </c>
      <c r="U149" s="17" t="n">
        <v>21</v>
      </c>
      <c r="V149" s="17" t="n">
        <v>490.5</v>
      </c>
      <c r="W149" s="17" t="n">
        <v>114</v>
      </c>
      <c r="X149" s="17" t="n">
        <v>2016</v>
      </c>
      <c r="Y149" s="17" t="n">
        <v>45</v>
      </c>
      <c r="Z149" s="17" t="n">
        <v>1</v>
      </c>
      <c r="AA149" s="20">
        <f>IF(ISNUMBER(W149),W149,IFERROR(MAX(0,(VALUE(LEFT(F149,4))-VALUE(LEFT(TEXT(J149,"00000000"),4)))*12+(VALUE(MID(F149,5,2))-VALUE(MID(TEXT(J149,"00000000"),5,2)))),""))</f>
        <v/>
      </c>
      <c r="AB149" s="20">
        <f>IFERROR((VALUE(LEFT(TEXT(K149,"00000000"),4))-VALUE(LEFT(F149,4)))*12+(VALUE(MID(TEXT(K149,"00000000"),5,2))-VALUE(MID(F149,5,2))),"")</f>
        <v/>
      </c>
      <c r="AC149" s="20">
        <f>IF(OR(L149="",NOT(ISNUMBER(L149))),0,MAX(0,MIN(60,(VALUE(LEFT(F149,4))-VALUE(LEFT(TEXT(L149,"00000000"),4)))*12+(VALUE(MID(F149,5,2))-VALUE(MID(TEXT(L149,"00000000"),5,2))))))</f>
        <v/>
      </c>
      <c r="AD149" s="20">
        <f>IF(OR(L149="",NOT(ISNUMBER(L149))),0,IF(VALUE(F149)&lt;VALUE(LEFT(TEXT(L149,"00000000"),6)),1,0))</f>
        <v/>
      </c>
      <c r="AE149" s="20">
        <f>IF(OR(M149="",NOT(ISNUMBER(M149))),0,IF(VALUE(F149)&lt;VALUE(LEFT(TEXT(M149,"00000000"),6)),1,0))</f>
        <v/>
      </c>
      <c r="AF149" s="20">
        <f>IF(AND(AD149=0,AE149=0),1,0)</f>
        <v/>
      </c>
      <c r="AG149" s="20">
        <f>IF(ISNUMBER(X149),X149,IFERROR(VALUE(LEFT(TEXT(J149,"00000000"),4)),""))</f>
        <v/>
      </c>
      <c r="AH149" s="20">
        <f>IFERROR(XLOOKUP(AG149,Vintage_Rates!$A$2:$A$1000,Vintage_Rates!$B$2:$B$1000,""),"")</f>
        <v/>
      </c>
      <c r="AI149" s="20">
        <f>IF(ISNUMBER(Y149),Y149,IFERROR((G149-AH149)*100,""))</f>
        <v/>
      </c>
      <c r="AJ149" s="20">
        <f>IF(ISNUMBER(V149),V149,IFERROR(XLOOKUP(VALUE(F149),PLC_Rates!$A$2:$A$1000,PLC_Rates!$B$2:$B$1000,""),""))</f>
        <v/>
      </c>
      <c r="AK149" s="20">
        <f>IF(ISNUMBER(Z149),Z149,IF(AE149=0,0,MAX(0,MIN(10,((VALUE(LEFT(TEXT(M149,"00000000"),4))-VALUE(LEFT(F149,4)))*12+(VALUE(MID(TEXT(M149,"00000000"),5,2))-VALUE(MID(F149,5,2))))/12))))</f>
        <v/>
      </c>
      <c r="AL149" s="20">
        <f>IFERROR(G149*100-AJ149,"")</f>
        <v/>
      </c>
      <c r="AM149" s="20">
        <f>IFERROR(G149*100-(AJ149+(1+AK149)*12.5),"")</f>
        <v/>
      </c>
      <c r="AN149" s="21">
        <f>IFERROR(MIN(H149/1000000,100),"")</f>
        <v/>
      </c>
      <c r="AO149" s="20">
        <f>IFERROR(INDEX(FHA_Lookup!$B$2:$B$11,MATCH(TRUE,ISNUMBER(SEARCH(FHA_Lookup!$A$2:$A$11,UPPER(SUBSTITUTE(O149," ","")))),0)),"OTHER")</f>
        <v/>
      </c>
      <c r="AP149" s="20">
        <f>IFERROR(INDEX(FHA_Lookup!$C$2:$C$11,MATCH(TRUE,ISNUMBER(SEARCH(FHA_Lookup!$A$2:$A$11,UPPER(SUBSTITUTE(O149," ","")))),0)),"OTHER")</f>
        <v/>
      </c>
      <c r="AQ149" s="20">
        <f>IF(AP149="NC",1,0)</f>
        <v/>
      </c>
      <c r="AR149" s="20">
        <f>IF(UPPER(TRIM(P149))="AFF",1,0)</f>
        <v/>
      </c>
      <c r="AS149" s="20">
        <f>IF(UPPER(TRIM(P149))="BAF",1,0)</f>
        <v/>
      </c>
      <c r="AT149" s="20">
        <f>IF(UPPER(TRIM(P149))="MKT",1,0)</f>
        <v/>
      </c>
      <c r="AU149" s="20">
        <f>IF(AO149="221d4",1,0)</f>
        <v/>
      </c>
      <c r="AV149" s="20">
        <f>IF(AO149="223a7",1,0)</f>
        <v/>
      </c>
      <c r="AW149" s="20">
        <f>IF(AO149="232",1,0)</f>
        <v/>
      </c>
      <c r="AX149" s="20">
        <f>IF(AO149="538",1,0)</f>
        <v/>
      </c>
      <c r="AY149" s="20">
        <f>IF(AO149="241",1,0)</f>
        <v/>
      </c>
      <c r="AZ149" s="20">
        <f>IF(AO149="220",1,0)</f>
        <v/>
      </c>
      <c r="BA149" s="20">
        <f>IF(AO149="OTHER",1,0)</f>
        <v/>
      </c>
      <c r="BB149" s="20">
        <f>IF(UPPER(TRIM(C149))="LM",1,0)</f>
        <v/>
      </c>
      <c r="BC149" s="20">
        <f>IF(UPPER(TRIM(C149))="PN",1,0)</f>
        <v/>
      </c>
      <c r="BD149" s="20">
        <f>IF(UPPER(TRIM(C149))="LS",1,0)</f>
        <v/>
      </c>
      <c r="BE149" s="20">
        <f>IF(UPPER(TRIM(C149))="RX",1,0)</f>
        <v/>
      </c>
      <c r="BF149" s="22">
        <f>IFERROR((Parameters!$C$6*AM149+Parameters!$C$7*MAX(AM149-(-150),0)+Parameters!$C$8*MAX(AM149-(-50),0)+Parameters!$C$9*MAX(AM149-(0),0)+Parameters!$C$10*MAX(AM149-(50),0)+Parameters!$C$11*MAX(AM149-(100),0)+Parameters!$C$12*MAX(AM149-(150),0)+Parameters!$C$13*MAX(AM149-(250),0)),0)</f>
        <v/>
      </c>
      <c r="BG149" s="22">
        <f>IFERROR((Parameters!$C$14*AA149+Parameters!$C$15*MAX(AA149-(12),0)+Parameters!$C$16*MAX(AA149-(36),0)+Parameters!$C$17*MAX(AA149-(60),0)+Parameters!$C$18*MAX(AA149-(84),0)+Parameters!$C$19*MAX(AA149-(120),0)+Parameters!$C$20*MAX(AA149-(180),0)),0)</f>
        <v/>
      </c>
      <c r="BH149" s="22">
        <f>IFERROR((Parameters!$C$21*AK149+Parameters!$C$22*MAX(AK149-(0),0)+Parameters!$C$23*MAX(AK149-(2),0)+Parameters!$C$24*MAX(AK149-(5),0)+Parameters!$C$25*MAX(AK149-(8),0)),0)</f>
        <v/>
      </c>
      <c r="BI149" s="22">
        <f>IFERROR((Parameters!$C$26*AI149+Parameters!$C$27*MAX(AI149-(-100),0)+Parameters!$C$28*MAX(AI149-(-25),0)+Parameters!$C$29*MAX(AI149-(25),0)+Parameters!$C$30*MAX(AI149-(100),0)),0)</f>
        <v/>
      </c>
      <c r="BJ149" s="22">
        <f>IFERROR((Parameters!$C$31*AN149+Parameters!$C$32*MAX(AN149-(2),0)+Parameters!$C$33*MAX(AN149-(10),0)+Parameters!$C$34*MAX(AN149-(25),0)),0)</f>
        <v/>
      </c>
      <c r="BK149" s="22">
        <f>IFERROR((Parameters!$C$35*AB149+Parameters!$C$36*MAX(AB149-(12),0)+Parameters!$C$37*MAX(AB149-(24),0)+Parameters!$C$38*MAX(AB149-(60),0)),0)</f>
        <v/>
      </c>
      <c r="BL149" s="22">
        <f>IFERROR((Parameters!$C$39*AC149+Parameters!$C$40*MAX(AC149-(6),0)+Parameters!$C$41*MAX(AC149-(12),0)+Parameters!$C$42*MAX(AC149-(24),0)),0)</f>
        <v/>
      </c>
      <c r="BM149" s="22">
        <f>IFERROR(Parameters!$C$43*(MAX(AM149,0)*MIN(MAX(AK149,0),10))/100,0)</f>
        <v/>
      </c>
      <c r="BN149" s="22">
        <f>Parameters!$C$44*AE149</f>
        <v/>
      </c>
      <c r="BO149" s="22">
        <f>Parameters!$C$45*AU149 + Parameters!$C$46*AV149 + Parameters!$C$47*AW149 + Parameters!$C$48*AX149 + Parameters!$C$49*AY149 + Parameters!$C$50*AZ149 + Parameters!$C$51*BA149</f>
        <v/>
      </c>
      <c r="BP149" s="22">
        <f>Parameters!$C$52*AQ149</f>
        <v/>
      </c>
      <c r="BQ149" s="22">
        <f>Parameters!$C$53*AR149+Parameters!$C$54*AS149+Parameters!$C$55*AT149</f>
        <v/>
      </c>
      <c r="BR149" s="22">
        <f>Parameters!$C$56*BB149+Parameters!$C$57*BC149+Parameters!$C$58*BD149+Parameters!$C$59*BE149</f>
        <v/>
      </c>
      <c r="BS149" s="23">
        <f>Parameters!$B$2</f>
        <v/>
      </c>
      <c r="BT149" s="23">
        <f>BS149+BF149 + BG149 + BH149 + BI149 + BJ149 + BK149 + BL149 + BM149 + BN149 + BO149 + BP149 + BQ149 + BR149</f>
        <v/>
      </c>
      <c r="BU149" s="24">
        <f>IF(AD149=1,0,1/(1+EXP(-BT149))*Parameters!$B$3)</f>
        <v/>
      </c>
      <c r="BV149" s="25">
        <f>(1-(1-BU149)^12)*100</f>
        <v/>
      </c>
      <c r="BW149" s="25">
        <f>IF(AD149=1,0,(1-(1-1/(1+EXP(-Parameters!$B$2)))^12)*100)</f>
        <v/>
      </c>
      <c r="BX149" s="25">
        <f>IF(AD149=1,0,BV149-(1-(1-(1/(1+EXP(-(BT149-BF149)))*Parameters!$B$3))^12)*100)</f>
        <v/>
      </c>
      <c r="BY149" s="25">
        <f>IF(AD149=1,0,BV149-(1-(1-(1/(1+EXP(-(BT149-BG149)))*Parameters!$B$3))^12)*100)</f>
        <v/>
      </c>
      <c r="BZ149" s="25">
        <f>IF(AD149=1,0,BV149-(1-(1-(1/(1+EXP(-(BT149-BH149)))*Parameters!$B$3))^12)*100)</f>
        <v/>
      </c>
      <c r="CA149" s="25">
        <f>IF(AD149=1,0,BV149-(1-(1-(1/(1+EXP(-(BT149-BI149)))*Parameters!$B$3))^12)*100)</f>
        <v/>
      </c>
      <c r="CB149" s="25">
        <f>IF(AD149=1,0,BV149-(1-(1-(1/(1+EXP(-(BT149-BJ149)))*Parameters!$B$3))^12)*100)</f>
        <v/>
      </c>
      <c r="CC149" s="25">
        <f>IF(AD149=1,0,BV149-(1-(1-(1/(1+EXP(-(BT149-BK149)))*Parameters!$B$3))^12)*100)</f>
        <v/>
      </c>
      <c r="CD149" s="25">
        <f>IF(AD149=1,0,BV149-(1-(1-(1/(1+EXP(-(BT149-BL149)))*Parameters!$B$3))^12)*100)</f>
        <v/>
      </c>
      <c r="CE149" s="25">
        <f>IF(AD149=1,0,BV149-(1-(1-(1/(1+EXP(-(BT149-BM149)))*Parameters!$B$3))^12)*100)</f>
        <v/>
      </c>
      <c r="CF149" s="25">
        <f>IF(AD149=1,0,BV149-(1-(1-(1/(1+EXP(-(BT149-BN149)))*Parameters!$B$3))^12)*100)</f>
        <v/>
      </c>
      <c r="CG149" s="25">
        <f>IF(AD149=1,0,BV149-(1-(1-(1/(1+EXP(-(BT149-BO149)))*Parameters!$B$3))^12)*100)</f>
        <v/>
      </c>
      <c r="CH149" s="25">
        <f>IF(AD149=1,0,BV149-(1-(1-(1/(1+EXP(-(BT149-BP149)))*Parameters!$B$3))^12)*100)</f>
        <v/>
      </c>
      <c r="CI149" s="25">
        <f>IF(AD149=1,0,BV149-(1-(1-(1/(1+EXP(-(BT149-BQ149)))*Parameters!$B$3))^12)*100)</f>
        <v/>
      </c>
      <c r="CJ149" s="25">
        <f>IF(AD149=1,0,BV149-(1-(1-(1/(1+EXP(-(BT149-BR149)))*Parameters!$B$3))^12)*100)</f>
        <v/>
      </c>
    </row>
    <row r="150">
      <c r="A150" s="17" t="inlineStr">
        <is>
          <t>GNR_AFF_2018</t>
        </is>
      </c>
      <c r="B150" s="17" t="inlineStr">
        <is>
          <t>3617UAXE7</t>
        </is>
      </c>
      <c r="C150" s="17" t="inlineStr">
        <is>
          <t>PN</t>
        </is>
      </c>
      <c r="D150" s="17" t="inlineStr">
        <is>
          <t>LUMENT REAL ESTATE CAPITAL,LLC</t>
        </is>
      </c>
      <c r="E150" s="17" t="inlineStr">
        <is>
          <t>3617UAXE7_000000006411221</t>
        </is>
      </c>
      <c r="F150" s="17" t="n">
        <v>202603</v>
      </c>
      <c r="G150" s="18" t="n">
        <v>2.12</v>
      </c>
      <c r="H150" s="19" t="n">
        <v>2397917.04</v>
      </c>
      <c r="I150" s="17" t="n">
        <v>420</v>
      </c>
      <c r="J150" s="17" t="n">
        <v>20201228</v>
      </c>
      <c r="K150" s="17" t="n">
        <v>20560101</v>
      </c>
      <c r="L150" s="17" t="n"/>
      <c r="M150" s="17" t="n">
        <v>20310201</v>
      </c>
      <c r="N150" s="17" t="n">
        <v>10</v>
      </c>
      <c r="O150" s="17" t="inlineStr">
        <is>
          <t>207/223(F)</t>
        </is>
      </c>
      <c r="P150" s="17" t="inlineStr">
        <is>
          <t>BAF</t>
        </is>
      </c>
      <c r="Q150" s="17" t="n"/>
      <c r="R150" s="17" t="n"/>
      <c r="S150" s="17" t="n"/>
      <c r="T150" s="17" t="inlineStr">
        <is>
          <t>LA</t>
        </is>
      </c>
      <c r="U150" s="17" t="n">
        <v>35</v>
      </c>
      <c r="V150" s="17" t="n">
        <v>490.5</v>
      </c>
      <c r="W150" s="17" t="n">
        <v>63</v>
      </c>
      <c r="X150" s="17" t="n">
        <v>2020</v>
      </c>
      <c r="Y150" s="17" t="n">
        <v>-73</v>
      </c>
      <c r="Z150" s="17" t="n">
        <v>5</v>
      </c>
      <c r="AA150" s="20">
        <f>IF(ISNUMBER(W150),W150,IFERROR(MAX(0,(VALUE(LEFT(F150,4))-VALUE(LEFT(TEXT(J150,"00000000"),4)))*12+(VALUE(MID(F150,5,2))-VALUE(MID(TEXT(J150,"00000000"),5,2)))),""))</f>
        <v/>
      </c>
      <c r="AB150" s="20">
        <f>IFERROR((VALUE(LEFT(TEXT(K150,"00000000"),4))-VALUE(LEFT(F150,4)))*12+(VALUE(MID(TEXT(K150,"00000000"),5,2))-VALUE(MID(F150,5,2))),"")</f>
        <v/>
      </c>
      <c r="AC150" s="20">
        <f>IF(OR(L150="",NOT(ISNUMBER(L150))),0,MAX(0,MIN(60,(VALUE(LEFT(F150,4))-VALUE(LEFT(TEXT(L150,"00000000"),4)))*12+(VALUE(MID(F150,5,2))-VALUE(MID(TEXT(L150,"00000000"),5,2))))))</f>
        <v/>
      </c>
      <c r="AD150" s="20">
        <f>IF(OR(L150="",NOT(ISNUMBER(L150))),0,IF(VALUE(F150)&lt;VALUE(LEFT(TEXT(L150,"00000000"),6)),1,0))</f>
        <v/>
      </c>
      <c r="AE150" s="20">
        <f>IF(OR(M150="",NOT(ISNUMBER(M150))),0,IF(VALUE(F150)&lt;VALUE(LEFT(TEXT(M150,"00000000"),6)),1,0))</f>
        <v/>
      </c>
      <c r="AF150" s="20">
        <f>IF(AND(AD150=0,AE150=0),1,0)</f>
        <v/>
      </c>
      <c r="AG150" s="20">
        <f>IF(ISNUMBER(X150),X150,IFERROR(VALUE(LEFT(TEXT(J150,"00000000"),4)),""))</f>
        <v/>
      </c>
      <c r="AH150" s="20">
        <f>IFERROR(XLOOKUP(AG150,Vintage_Rates!$A$2:$A$1000,Vintage_Rates!$B$2:$B$1000,""),"")</f>
        <v/>
      </c>
      <c r="AI150" s="20">
        <f>IF(ISNUMBER(Y150),Y150,IFERROR((G150-AH150)*100,""))</f>
        <v/>
      </c>
      <c r="AJ150" s="20">
        <f>IF(ISNUMBER(V150),V150,IFERROR(XLOOKUP(VALUE(F150),PLC_Rates!$A$2:$A$1000,PLC_Rates!$B$2:$B$1000,""),""))</f>
        <v/>
      </c>
      <c r="AK150" s="20">
        <f>IF(ISNUMBER(Z150),Z150,IF(AE150=0,0,MAX(0,MIN(10,((VALUE(LEFT(TEXT(M150,"00000000"),4))-VALUE(LEFT(F150,4)))*12+(VALUE(MID(TEXT(M150,"00000000"),5,2))-VALUE(MID(F150,5,2))))/12))))</f>
        <v/>
      </c>
      <c r="AL150" s="20">
        <f>IFERROR(G150*100-AJ150,"")</f>
        <v/>
      </c>
      <c r="AM150" s="20">
        <f>IFERROR(G150*100-(AJ150+(1+AK150)*12.5),"")</f>
        <v/>
      </c>
      <c r="AN150" s="21">
        <f>IFERROR(MIN(H150/1000000,100),"")</f>
        <v/>
      </c>
      <c r="AO150" s="20">
        <f>IFERROR(INDEX(FHA_Lookup!$B$2:$B$11,MATCH(TRUE,ISNUMBER(SEARCH(FHA_Lookup!$A$2:$A$11,UPPER(SUBSTITUTE(O150," ","")))),0)),"OTHER")</f>
        <v/>
      </c>
      <c r="AP150" s="20">
        <f>IFERROR(INDEX(FHA_Lookup!$C$2:$C$11,MATCH(TRUE,ISNUMBER(SEARCH(FHA_Lookup!$A$2:$A$11,UPPER(SUBSTITUTE(O150," ","")))),0)),"OTHER")</f>
        <v/>
      </c>
      <c r="AQ150" s="20">
        <f>IF(AP150="NC",1,0)</f>
        <v/>
      </c>
      <c r="AR150" s="20">
        <f>IF(UPPER(TRIM(P150))="AFF",1,0)</f>
        <v/>
      </c>
      <c r="AS150" s="20">
        <f>IF(UPPER(TRIM(P150))="BAF",1,0)</f>
        <v/>
      </c>
      <c r="AT150" s="20">
        <f>IF(UPPER(TRIM(P150))="MKT",1,0)</f>
        <v/>
      </c>
      <c r="AU150" s="20">
        <f>IF(AO150="221d4",1,0)</f>
        <v/>
      </c>
      <c r="AV150" s="20">
        <f>IF(AO150="223a7",1,0)</f>
        <v/>
      </c>
      <c r="AW150" s="20">
        <f>IF(AO150="232",1,0)</f>
        <v/>
      </c>
      <c r="AX150" s="20">
        <f>IF(AO150="538",1,0)</f>
        <v/>
      </c>
      <c r="AY150" s="20">
        <f>IF(AO150="241",1,0)</f>
        <v/>
      </c>
      <c r="AZ150" s="20">
        <f>IF(AO150="220",1,0)</f>
        <v/>
      </c>
      <c r="BA150" s="20">
        <f>IF(AO150="OTHER",1,0)</f>
        <v/>
      </c>
      <c r="BB150" s="20">
        <f>IF(UPPER(TRIM(C150))="LM",1,0)</f>
        <v/>
      </c>
      <c r="BC150" s="20">
        <f>IF(UPPER(TRIM(C150))="PN",1,0)</f>
        <v/>
      </c>
      <c r="BD150" s="20">
        <f>IF(UPPER(TRIM(C150))="LS",1,0)</f>
        <v/>
      </c>
      <c r="BE150" s="20">
        <f>IF(UPPER(TRIM(C150))="RX",1,0)</f>
        <v/>
      </c>
      <c r="BF150" s="22">
        <f>IFERROR((Parameters!$C$6*AM150+Parameters!$C$7*MAX(AM150-(-150),0)+Parameters!$C$8*MAX(AM150-(-50),0)+Parameters!$C$9*MAX(AM150-(0),0)+Parameters!$C$10*MAX(AM150-(50),0)+Parameters!$C$11*MAX(AM150-(100),0)+Parameters!$C$12*MAX(AM150-(150),0)+Parameters!$C$13*MAX(AM150-(250),0)),0)</f>
        <v/>
      </c>
      <c r="BG150" s="22">
        <f>IFERROR((Parameters!$C$14*AA150+Parameters!$C$15*MAX(AA150-(12),0)+Parameters!$C$16*MAX(AA150-(36),0)+Parameters!$C$17*MAX(AA150-(60),0)+Parameters!$C$18*MAX(AA150-(84),0)+Parameters!$C$19*MAX(AA150-(120),0)+Parameters!$C$20*MAX(AA150-(180),0)),0)</f>
        <v/>
      </c>
      <c r="BH150" s="22">
        <f>IFERROR((Parameters!$C$21*AK150+Parameters!$C$22*MAX(AK150-(0),0)+Parameters!$C$23*MAX(AK150-(2),0)+Parameters!$C$24*MAX(AK150-(5),0)+Parameters!$C$25*MAX(AK150-(8),0)),0)</f>
        <v/>
      </c>
      <c r="BI150" s="22">
        <f>IFERROR((Parameters!$C$26*AI150+Parameters!$C$27*MAX(AI150-(-100),0)+Parameters!$C$28*MAX(AI150-(-25),0)+Parameters!$C$29*MAX(AI150-(25),0)+Parameters!$C$30*MAX(AI150-(100),0)),0)</f>
        <v/>
      </c>
      <c r="BJ150" s="22">
        <f>IFERROR((Parameters!$C$31*AN150+Parameters!$C$32*MAX(AN150-(2),0)+Parameters!$C$33*MAX(AN150-(10),0)+Parameters!$C$34*MAX(AN150-(25),0)),0)</f>
        <v/>
      </c>
      <c r="BK150" s="22">
        <f>IFERROR((Parameters!$C$35*AB150+Parameters!$C$36*MAX(AB150-(12),0)+Parameters!$C$37*MAX(AB150-(24),0)+Parameters!$C$38*MAX(AB150-(60),0)),0)</f>
        <v/>
      </c>
      <c r="BL150" s="22">
        <f>IFERROR((Parameters!$C$39*AC150+Parameters!$C$40*MAX(AC150-(6),0)+Parameters!$C$41*MAX(AC150-(12),0)+Parameters!$C$42*MAX(AC150-(24),0)),0)</f>
        <v/>
      </c>
      <c r="BM150" s="22">
        <f>IFERROR(Parameters!$C$43*(MAX(AM150,0)*MIN(MAX(AK150,0),10))/100,0)</f>
        <v/>
      </c>
      <c r="BN150" s="22">
        <f>Parameters!$C$44*AE150</f>
        <v/>
      </c>
      <c r="BO150" s="22">
        <f>Parameters!$C$45*AU150 + Parameters!$C$46*AV150 + Parameters!$C$47*AW150 + Parameters!$C$48*AX150 + Parameters!$C$49*AY150 + Parameters!$C$50*AZ150 + Parameters!$C$51*BA150</f>
        <v/>
      </c>
      <c r="BP150" s="22">
        <f>Parameters!$C$52*AQ150</f>
        <v/>
      </c>
      <c r="BQ150" s="22">
        <f>Parameters!$C$53*AR150+Parameters!$C$54*AS150+Parameters!$C$55*AT150</f>
        <v/>
      </c>
      <c r="BR150" s="22">
        <f>Parameters!$C$56*BB150+Parameters!$C$57*BC150+Parameters!$C$58*BD150+Parameters!$C$59*BE150</f>
        <v/>
      </c>
      <c r="BS150" s="23">
        <f>Parameters!$B$2</f>
        <v/>
      </c>
      <c r="BT150" s="23">
        <f>BS150+BF150 + BG150 + BH150 + BI150 + BJ150 + BK150 + BL150 + BM150 + BN150 + BO150 + BP150 + BQ150 + BR150</f>
        <v/>
      </c>
      <c r="BU150" s="24">
        <f>IF(AD150=1,0,1/(1+EXP(-BT150))*Parameters!$B$3)</f>
        <v/>
      </c>
      <c r="BV150" s="25">
        <f>(1-(1-BU150)^12)*100</f>
        <v/>
      </c>
      <c r="BW150" s="25">
        <f>IF(AD150=1,0,(1-(1-1/(1+EXP(-Parameters!$B$2)))^12)*100)</f>
        <v/>
      </c>
      <c r="BX150" s="25">
        <f>IF(AD150=1,0,BV150-(1-(1-(1/(1+EXP(-(BT150-BF150)))*Parameters!$B$3))^12)*100)</f>
        <v/>
      </c>
      <c r="BY150" s="25">
        <f>IF(AD150=1,0,BV150-(1-(1-(1/(1+EXP(-(BT150-BG150)))*Parameters!$B$3))^12)*100)</f>
        <v/>
      </c>
      <c r="BZ150" s="25">
        <f>IF(AD150=1,0,BV150-(1-(1-(1/(1+EXP(-(BT150-BH150)))*Parameters!$B$3))^12)*100)</f>
        <v/>
      </c>
      <c r="CA150" s="25">
        <f>IF(AD150=1,0,BV150-(1-(1-(1/(1+EXP(-(BT150-BI150)))*Parameters!$B$3))^12)*100)</f>
        <v/>
      </c>
      <c r="CB150" s="25">
        <f>IF(AD150=1,0,BV150-(1-(1-(1/(1+EXP(-(BT150-BJ150)))*Parameters!$B$3))^12)*100)</f>
        <v/>
      </c>
      <c r="CC150" s="25">
        <f>IF(AD150=1,0,BV150-(1-(1-(1/(1+EXP(-(BT150-BK150)))*Parameters!$B$3))^12)*100)</f>
        <v/>
      </c>
      <c r="CD150" s="25">
        <f>IF(AD150=1,0,BV150-(1-(1-(1/(1+EXP(-(BT150-BL150)))*Parameters!$B$3))^12)*100)</f>
        <v/>
      </c>
      <c r="CE150" s="25">
        <f>IF(AD150=1,0,BV150-(1-(1-(1/(1+EXP(-(BT150-BM150)))*Parameters!$B$3))^12)*100)</f>
        <v/>
      </c>
      <c r="CF150" s="25">
        <f>IF(AD150=1,0,BV150-(1-(1-(1/(1+EXP(-(BT150-BN150)))*Parameters!$B$3))^12)*100)</f>
        <v/>
      </c>
      <c r="CG150" s="25">
        <f>IF(AD150=1,0,BV150-(1-(1-(1/(1+EXP(-(BT150-BO150)))*Parameters!$B$3))^12)*100)</f>
        <v/>
      </c>
      <c r="CH150" s="25">
        <f>IF(AD150=1,0,BV150-(1-(1-(1/(1+EXP(-(BT150-BP150)))*Parameters!$B$3))^12)*100)</f>
        <v/>
      </c>
      <c r="CI150" s="25">
        <f>IF(AD150=1,0,BV150-(1-(1-(1/(1+EXP(-(BT150-BQ150)))*Parameters!$B$3))^12)*100)</f>
        <v/>
      </c>
      <c r="CJ150" s="25">
        <f>IF(AD150=1,0,BV150-(1-(1-(1/(1+EXP(-(BT150-BR150)))*Parameters!$B$3))^12)*100)</f>
        <v/>
      </c>
    </row>
    <row r="151">
      <c r="A151" s="17" t="inlineStr">
        <is>
          <t>GNR_AFF_2018</t>
        </is>
      </c>
      <c r="B151" s="17" t="inlineStr">
        <is>
          <t>36194HNP3</t>
        </is>
      </c>
      <c r="C151" s="17" t="inlineStr">
        <is>
          <t>PN</t>
        </is>
      </c>
      <c r="D151" s="17" t="inlineStr">
        <is>
          <t>BERKELEY POINT CAPITAL, LLC DBA NEWMARK</t>
        </is>
      </c>
      <c r="E151" s="17" t="inlineStr">
        <is>
          <t>36194HNP3_000000006711272</t>
        </is>
      </c>
      <c r="F151" s="17" t="n">
        <v>202603</v>
      </c>
      <c r="G151" s="18" t="n">
        <v>3.19</v>
      </c>
      <c r="H151" s="19" t="n">
        <v>16931291.35</v>
      </c>
      <c r="I151" s="17" t="n">
        <v>420</v>
      </c>
      <c r="J151" s="17" t="n">
        <v>20170731</v>
      </c>
      <c r="K151" s="17" t="n">
        <v>20520801</v>
      </c>
      <c r="L151" s="17" t="n"/>
      <c r="M151" s="17" t="n">
        <v>20270901</v>
      </c>
      <c r="N151" s="17" t="n">
        <v>10</v>
      </c>
      <c r="O151" s="17" t="inlineStr">
        <is>
          <t>207/223(F)</t>
        </is>
      </c>
      <c r="P151" s="17" t="inlineStr">
        <is>
          <t>BAF</t>
        </is>
      </c>
      <c r="Q151" s="17" t="n"/>
      <c r="R151" s="17" t="n"/>
      <c r="S151" s="17" t="n"/>
      <c r="T151" s="17" t="inlineStr">
        <is>
          <t>FL</t>
        </is>
      </c>
      <c r="U151" s="17" t="n">
        <v>312</v>
      </c>
      <c r="V151" s="17" t="n">
        <v>490.5</v>
      </c>
      <c r="W151" s="17" t="n">
        <v>104</v>
      </c>
      <c r="X151" s="17" t="n">
        <v>2017</v>
      </c>
      <c r="Y151" s="17" t="n">
        <v>-28</v>
      </c>
      <c r="Z151" s="17" t="n">
        <v>2</v>
      </c>
      <c r="AA151" s="20">
        <f>IF(ISNUMBER(W151),W151,IFERROR(MAX(0,(VALUE(LEFT(F151,4))-VALUE(LEFT(TEXT(J151,"00000000"),4)))*12+(VALUE(MID(F151,5,2))-VALUE(MID(TEXT(J151,"00000000"),5,2)))),""))</f>
        <v/>
      </c>
      <c r="AB151" s="20">
        <f>IFERROR((VALUE(LEFT(TEXT(K151,"00000000"),4))-VALUE(LEFT(F151,4)))*12+(VALUE(MID(TEXT(K151,"00000000"),5,2))-VALUE(MID(F151,5,2))),"")</f>
        <v/>
      </c>
      <c r="AC151" s="20">
        <f>IF(OR(L151="",NOT(ISNUMBER(L151))),0,MAX(0,MIN(60,(VALUE(LEFT(F151,4))-VALUE(LEFT(TEXT(L151,"00000000"),4)))*12+(VALUE(MID(F151,5,2))-VALUE(MID(TEXT(L151,"00000000"),5,2))))))</f>
        <v/>
      </c>
      <c r="AD151" s="20">
        <f>IF(OR(L151="",NOT(ISNUMBER(L151))),0,IF(VALUE(F151)&lt;VALUE(LEFT(TEXT(L151,"00000000"),6)),1,0))</f>
        <v/>
      </c>
      <c r="AE151" s="20">
        <f>IF(OR(M151="",NOT(ISNUMBER(M151))),0,IF(VALUE(F151)&lt;VALUE(LEFT(TEXT(M151,"00000000"),6)),1,0))</f>
        <v/>
      </c>
      <c r="AF151" s="20">
        <f>IF(AND(AD151=0,AE151=0),1,0)</f>
        <v/>
      </c>
      <c r="AG151" s="20">
        <f>IF(ISNUMBER(X151),X151,IFERROR(VALUE(LEFT(TEXT(J151,"00000000"),4)),""))</f>
        <v/>
      </c>
      <c r="AH151" s="20">
        <f>IFERROR(XLOOKUP(AG151,Vintage_Rates!$A$2:$A$1000,Vintage_Rates!$B$2:$B$1000,""),"")</f>
        <v/>
      </c>
      <c r="AI151" s="20">
        <f>IF(ISNUMBER(Y151),Y151,IFERROR((G151-AH151)*100,""))</f>
        <v/>
      </c>
      <c r="AJ151" s="20">
        <f>IF(ISNUMBER(V151),V151,IFERROR(XLOOKUP(VALUE(F151),PLC_Rates!$A$2:$A$1000,PLC_Rates!$B$2:$B$1000,""),""))</f>
        <v/>
      </c>
      <c r="AK151" s="20">
        <f>IF(ISNUMBER(Z151),Z151,IF(AE151=0,0,MAX(0,MIN(10,((VALUE(LEFT(TEXT(M151,"00000000"),4))-VALUE(LEFT(F151,4)))*12+(VALUE(MID(TEXT(M151,"00000000"),5,2))-VALUE(MID(F151,5,2))))/12))))</f>
        <v/>
      </c>
      <c r="AL151" s="20">
        <f>IFERROR(G151*100-AJ151,"")</f>
        <v/>
      </c>
      <c r="AM151" s="20">
        <f>IFERROR(G151*100-(AJ151+(1+AK151)*12.5),"")</f>
        <v/>
      </c>
      <c r="AN151" s="21">
        <f>IFERROR(MIN(H151/1000000,100),"")</f>
        <v/>
      </c>
      <c r="AO151" s="20">
        <f>IFERROR(INDEX(FHA_Lookup!$B$2:$B$11,MATCH(TRUE,ISNUMBER(SEARCH(FHA_Lookup!$A$2:$A$11,UPPER(SUBSTITUTE(O151," ","")))),0)),"OTHER")</f>
        <v/>
      </c>
      <c r="AP151" s="20">
        <f>IFERROR(INDEX(FHA_Lookup!$C$2:$C$11,MATCH(TRUE,ISNUMBER(SEARCH(FHA_Lookup!$A$2:$A$11,UPPER(SUBSTITUTE(O151," ","")))),0)),"OTHER")</f>
        <v/>
      </c>
      <c r="AQ151" s="20">
        <f>IF(AP151="NC",1,0)</f>
        <v/>
      </c>
      <c r="AR151" s="20">
        <f>IF(UPPER(TRIM(P151))="AFF",1,0)</f>
        <v/>
      </c>
      <c r="AS151" s="20">
        <f>IF(UPPER(TRIM(P151))="BAF",1,0)</f>
        <v/>
      </c>
      <c r="AT151" s="20">
        <f>IF(UPPER(TRIM(P151))="MKT",1,0)</f>
        <v/>
      </c>
      <c r="AU151" s="20">
        <f>IF(AO151="221d4",1,0)</f>
        <v/>
      </c>
      <c r="AV151" s="20">
        <f>IF(AO151="223a7",1,0)</f>
        <v/>
      </c>
      <c r="AW151" s="20">
        <f>IF(AO151="232",1,0)</f>
        <v/>
      </c>
      <c r="AX151" s="20">
        <f>IF(AO151="538",1,0)</f>
        <v/>
      </c>
      <c r="AY151" s="20">
        <f>IF(AO151="241",1,0)</f>
        <v/>
      </c>
      <c r="AZ151" s="20">
        <f>IF(AO151="220",1,0)</f>
        <v/>
      </c>
      <c r="BA151" s="20">
        <f>IF(AO151="OTHER",1,0)</f>
        <v/>
      </c>
      <c r="BB151" s="20">
        <f>IF(UPPER(TRIM(C151))="LM",1,0)</f>
        <v/>
      </c>
      <c r="BC151" s="20">
        <f>IF(UPPER(TRIM(C151))="PN",1,0)</f>
        <v/>
      </c>
      <c r="BD151" s="20">
        <f>IF(UPPER(TRIM(C151))="LS",1,0)</f>
        <v/>
      </c>
      <c r="BE151" s="20">
        <f>IF(UPPER(TRIM(C151))="RX",1,0)</f>
        <v/>
      </c>
      <c r="BF151" s="22">
        <f>IFERROR((Parameters!$C$6*AM151+Parameters!$C$7*MAX(AM151-(-150),0)+Parameters!$C$8*MAX(AM151-(-50),0)+Parameters!$C$9*MAX(AM151-(0),0)+Parameters!$C$10*MAX(AM151-(50),0)+Parameters!$C$11*MAX(AM151-(100),0)+Parameters!$C$12*MAX(AM151-(150),0)+Parameters!$C$13*MAX(AM151-(250),0)),0)</f>
        <v/>
      </c>
      <c r="BG151" s="22">
        <f>IFERROR((Parameters!$C$14*AA151+Parameters!$C$15*MAX(AA151-(12),0)+Parameters!$C$16*MAX(AA151-(36),0)+Parameters!$C$17*MAX(AA151-(60),0)+Parameters!$C$18*MAX(AA151-(84),0)+Parameters!$C$19*MAX(AA151-(120),0)+Parameters!$C$20*MAX(AA151-(180),0)),0)</f>
        <v/>
      </c>
      <c r="BH151" s="22">
        <f>IFERROR((Parameters!$C$21*AK151+Parameters!$C$22*MAX(AK151-(0),0)+Parameters!$C$23*MAX(AK151-(2),0)+Parameters!$C$24*MAX(AK151-(5),0)+Parameters!$C$25*MAX(AK151-(8),0)),0)</f>
        <v/>
      </c>
      <c r="BI151" s="22">
        <f>IFERROR((Parameters!$C$26*AI151+Parameters!$C$27*MAX(AI151-(-100),0)+Parameters!$C$28*MAX(AI151-(-25),0)+Parameters!$C$29*MAX(AI151-(25),0)+Parameters!$C$30*MAX(AI151-(100),0)),0)</f>
        <v/>
      </c>
      <c r="BJ151" s="22">
        <f>IFERROR((Parameters!$C$31*AN151+Parameters!$C$32*MAX(AN151-(2),0)+Parameters!$C$33*MAX(AN151-(10),0)+Parameters!$C$34*MAX(AN151-(25),0)),0)</f>
        <v/>
      </c>
      <c r="BK151" s="22">
        <f>IFERROR((Parameters!$C$35*AB151+Parameters!$C$36*MAX(AB151-(12),0)+Parameters!$C$37*MAX(AB151-(24),0)+Parameters!$C$38*MAX(AB151-(60),0)),0)</f>
        <v/>
      </c>
      <c r="BL151" s="22">
        <f>IFERROR((Parameters!$C$39*AC151+Parameters!$C$40*MAX(AC151-(6),0)+Parameters!$C$41*MAX(AC151-(12),0)+Parameters!$C$42*MAX(AC151-(24),0)),0)</f>
        <v/>
      </c>
      <c r="BM151" s="22">
        <f>IFERROR(Parameters!$C$43*(MAX(AM151,0)*MIN(MAX(AK151,0),10))/100,0)</f>
        <v/>
      </c>
      <c r="BN151" s="22">
        <f>Parameters!$C$44*AE151</f>
        <v/>
      </c>
      <c r="BO151" s="22">
        <f>Parameters!$C$45*AU151 + Parameters!$C$46*AV151 + Parameters!$C$47*AW151 + Parameters!$C$48*AX151 + Parameters!$C$49*AY151 + Parameters!$C$50*AZ151 + Parameters!$C$51*BA151</f>
        <v/>
      </c>
      <c r="BP151" s="22">
        <f>Parameters!$C$52*AQ151</f>
        <v/>
      </c>
      <c r="BQ151" s="22">
        <f>Parameters!$C$53*AR151+Parameters!$C$54*AS151+Parameters!$C$55*AT151</f>
        <v/>
      </c>
      <c r="BR151" s="22">
        <f>Parameters!$C$56*BB151+Parameters!$C$57*BC151+Parameters!$C$58*BD151+Parameters!$C$59*BE151</f>
        <v/>
      </c>
      <c r="BS151" s="23">
        <f>Parameters!$B$2</f>
        <v/>
      </c>
      <c r="BT151" s="23">
        <f>BS151+BF151 + BG151 + BH151 + BI151 + BJ151 + BK151 + BL151 + BM151 + BN151 + BO151 + BP151 + BQ151 + BR151</f>
        <v/>
      </c>
      <c r="BU151" s="24">
        <f>IF(AD151=1,0,1/(1+EXP(-BT151))*Parameters!$B$3)</f>
        <v/>
      </c>
      <c r="BV151" s="25">
        <f>(1-(1-BU151)^12)*100</f>
        <v/>
      </c>
      <c r="BW151" s="25">
        <f>IF(AD151=1,0,(1-(1-1/(1+EXP(-Parameters!$B$2)))^12)*100)</f>
        <v/>
      </c>
      <c r="BX151" s="25">
        <f>IF(AD151=1,0,BV151-(1-(1-(1/(1+EXP(-(BT151-BF151)))*Parameters!$B$3))^12)*100)</f>
        <v/>
      </c>
      <c r="BY151" s="25">
        <f>IF(AD151=1,0,BV151-(1-(1-(1/(1+EXP(-(BT151-BG151)))*Parameters!$B$3))^12)*100)</f>
        <v/>
      </c>
      <c r="BZ151" s="25">
        <f>IF(AD151=1,0,BV151-(1-(1-(1/(1+EXP(-(BT151-BH151)))*Parameters!$B$3))^12)*100)</f>
        <v/>
      </c>
      <c r="CA151" s="25">
        <f>IF(AD151=1,0,BV151-(1-(1-(1/(1+EXP(-(BT151-BI151)))*Parameters!$B$3))^12)*100)</f>
        <v/>
      </c>
      <c r="CB151" s="25">
        <f>IF(AD151=1,0,BV151-(1-(1-(1/(1+EXP(-(BT151-BJ151)))*Parameters!$B$3))^12)*100)</f>
        <v/>
      </c>
      <c r="CC151" s="25">
        <f>IF(AD151=1,0,BV151-(1-(1-(1/(1+EXP(-(BT151-BK151)))*Parameters!$B$3))^12)*100)</f>
        <v/>
      </c>
      <c r="CD151" s="25">
        <f>IF(AD151=1,0,BV151-(1-(1-(1/(1+EXP(-(BT151-BL151)))*Parameters!$B$3))^12)*100)</f>
        <v/>
      </c>
      <c r="CE151" s="25">
        <f>IF(AD151=1,0,BV151-(1-(1-(1/(1+EXP(-(BT151-BM151)))*Parameters!$B$3))^12)*100)</f>
        <v/>
      </c>
      <c r="CF151" s="25">
        <f>IF(AD151=1,0,BV151-(1-(1-(1/(1+EXP(-(BT151-BN151)))*Parameters!$B$3))^12)*100)</f>
        <v/>
      </c>
      <c r="CG151" s="25">
        <f>IF(AD151=1,0,BV151-(1-(1-(1/(1+EXP(-(BT151-BO151)))*Parameters!$B$3))^12)*100)</f>
        <v/>
      </c>
      <c r="CH151" s="25">
        <f>IF(AD151=1,0,BV151-(1-(1-(1/(1+EXP(-(BT151-BP151)))*Parameters!$B$3))^12)*100)</f>
        <v/>
      </c>
      <c r="CI151" s="25">
        <f>IF(AD151=1,0,BV151-(1-(1-(1/(1+EXP(-(BT151-BQ151)))*Parameters!$B$3))^12)*100)</f>
        <v/>
      </c>
      <c r="CJ151" s="25">
        <f>IF(AD151=1,0,BV151-(1-(1-(1/(1+EXP(-(BT151-BR151)))*Parameters!$B$3))^12)*100)</f>
        <v/>
      </c>
    </row>
    <row r="152">
      <c r="A152" s="17" t="inlineStr">
        <is>
          <t>GNR_AFF_2018</t>
        </is>
      </c>
      <c r="B152" s="17" t="inlineStr">
        <is>
          <t>3617AGRX1</t>
        </is>
      </c>
      <c r="C152" s="17" t="inlineStr">
        <is>
          <t>PN</t>
        </is>
      </c>
      <c r="D152" s="17" t="inlineStr">
        <is>
          <t>BERKADIA COMMERCIAL MORTGAGE, LLC</t>
        </is>
      </c>
      <c r="E152" s="17" t="inlineStr">
        <is>
          <t>3617AGRX1_000000007311922</t>
        </is>
      </c>
      <c r="F152" s="17" t="n">
        <v>202603</v>
      </c>
      <c r="G152" s="18" t="n">
        <v>4.25</v>
      </c>
      <c r="H152" s="19" t="n">
        <v>137012.65</v>
      </c>
      <c r="I152" s="17" t="n">
        <v>360</v>
      </c>
      <c r="J152" s="17" t="n">
        <v>20170828</v>
      </c>
      <c r="K152" s="17" t="n">
        <v>20471201</v>
      </c>
      <c r="L152" s="17" t="n"/>
      <c r="M152" s="17" t="n">
        <v>20280101</v>
      </c>
      <c r="N152" s="17" t="n">
        <v>10</v>
      </c>
      <c r="O152" s="17" t="inlineStr">
        <is>
          <t>221(d)(4) 223(a)(7)</t>
        </is>
      </c>
      <c r="P152" s="17" t="inlineStr">
        <is>
          <t>BAF</t>
        </is>
      </c>
      <c r="Q152" s="17" t="n"/>
      <c r="R152" s="17" t="n"/>
      <c r="S152" s="17" t="n"/>
      <c r="T152" s="17" t="inlineStr">
        <is>
          <t>IN</t>
        </is>
      </c>
      <c r="U152" s="17" t="n">
        <v>30</v>
      </c>
      <c r="V152" s="17" t="n">
        <v>490.5</v>
      </c>
      <c r="W152" s="17" t="n">
        <v>103</v>
      </c>
      <c r="X152" s="17" t="n">
        <v>2017</v>
      </c>
      <c r="Y152" s="17" t="n">
        <v>78</v>
      </c>
      <c r="Z152" s="17" t="n">
        <v>3</v>
      </c>
      <c r="AA152" s="20">
        <f>IF(ISNUMBER(W152),W152,IFERROR(MAX(0,(VALUE(LEFT(F152,4))-VALUE(LEFT(TEXT(J152,"00000000"),4)))*12+(VALUE(MID(F152,5,2))-VALUE(MID(TEXT(J152,"00000000"),5,2)))),""))</f>
        <v/>
      </c>
      <c r="AB152" s="20">
        <f>IFERROR((VALUE(LEFT(TEXT(K152,"00000000"),4))-VALUE(LEFT(F152,4)))*12+(VALUE(MID(TEXT(K152,"00000000"),5,2))-VALUE(MID(F152,5,2))),"")</f>
        <v/>
      </c>
      <c r="AC152" s="20">
        <f>IF(OR(L152="",NOT(ISNUMBER(L152))),0,MAX(0,MIN(60,(VALUE(LEFT(F152,4))-VALUE(LEFT(TEXT(L152,"00000000"),4)))*12+(VALUE(MID(F152,5,2))-VALUE(MID(TEXT(L152,"00000000"),5,2))))))</f>
        <v/>
      </c>
      <c r="AD152" s="20">
        <f>IF(OR(L152="",NOT(ISNUMBER(L152))),0,IF(VALUE(F152)&lt;VALUE(LEFT(TEXT(L152,"00000000"),6)),1,0))</f>
        <v/>
      </c>
      <c r="AE152" s="20">
        <f>IF(OR(M152="",NOT(ISNUMBER(M152))),0,IF(VALUE(F152)&lt;VALUE(LEFT(TEXT(M152,"00000000"),6)),1,0))</f>
        <v/>
      </c>
      <c r="AF152" s="20">
        <f>IF(AND(AD152=0,AE152=0),1,0)</f>
        <v/>
      </c>
      <c r="AG152" s="20">
        <f>IF(ISNUMBER(X152),X152,IFERROR(VALUE(LEFT(TEXT(J152,"00000000"),4)),""))</f>
        <v/>
      </c>
      <c r="AH152" s="20">
        <f>IFERROR(XLOOKUP(AG152,Vintage_Rates!$A$2:$A$1000,Vintage_Rates!$B$2:$B$1000,""),"")</f>
        <v/>
      </c>
      <c r="AI152" s="20">
        <f>IF(ISNUMBER(Y152),Y152,IFERROR((G152-AH152)*100,""))</f>
        <v/>
      </c>
      <c r="AJ152" s="20">
        <f>IF(ISNUMBER(V152),V152,IFERROR(XLOOKUP(VALUE(F152),PLC_Rates!$A$2:$A$1000,PLC_Rates!$B$2:$B$1000,""),""))</f>
        <v/>
      </c>
      <c r="AK152" s="20">
        <f>IF(ISNUMBER(Z152),Z152,IF(AE152=0,0,MAX(0,MIN(10,((VALUE(LEFT(TEXT(M152,"00000000"),4))-VALUE(LEFT(F152,4)))*12+(VALUE(MID(TEXT(M152,"00000000"),5,2))-VALUE(MID(F152,5,2))))/12))))</f>
        <v/>
      </c>
      <c r="AL152" s="20">
        <f>IFERROR(G152*100-AJ152,"")</f>
        <v/>
      </c>
      <c r="AM152" s="20">
        <f>IFERROR(G152*100-(AJ152+(1+AK152)*12.5),"")</f>
        <v/>
      </c>
      <c r="AN152" s="21">
        <f>IFERROR(MIN(H152/1000000,100),"")</f>
        <v/>
      </c>
      <c r="AO152" s="20">
        <f>IFERROR(INDEX(FHA_Lookup!$B$2:$B$11,MATCH(TRUE,ISNUMBER(SEARCH(FHA_Lookup!$A$2:$A$11,UPPER(SUBSTITUTE(O152," ","")))),0)),"OTHER")</f>
        <v/>
      </c>
      <c r="AP152" s="20">
        <f>IFERROR(INDEX(FHA_Lookup!$C$2:$C$11,MATCH(TRUE,ISNUMBER(SEARCH(FHA_Lookup!$A$2:$A$11,UPPER(SUBSTITUTE(O152," ","")))),0)),"OTHER")</f>
        <v/>
      </c>
      <c r="AQ152" s="20">
        <f>IF(AP152="NC",1,0)</f>
        <v/>
      </c>
      <c r="AR152" s="20">
        <f>IF(UPPER(TRIM(P152))="AFF",1,0)</f>
        <v/>
      </c>
      <c r="AS152" s="20">
        <f>IF(UPPER(TRIM(P152))="BAF",1,0)</f>
        <v/>
      </c>
      <c r="AT152" s="20">
        <f>IF(UPPER(TRIM(P152))="MKT",1,0)</f>
        <v/>
      </c>
      <c r="AU152" s="20">
        <f>IF(AO152="221d4",1,0)</f>
        <v/>
      </c>
      <c r="AV152" s="20">
        <f>IF(AO152="223a7",1,0)</f>
        <v/>
      </c>
      <c r="AW152" s="20">
        <f>IF(AO152="232",1,0)</f>
        <v/>
      </c>
      <c r="AX152" s="20">
        <f>IF(AO152="538",1,0)</f>
        <v/>
      </c>
      <c r="AY152" s="20">
        <f>IF(AO152="241",1,0)</f>
        <v/>
      </c>
      <c r="AZ152" s="20">
        <f>IF(AO152="220",1,0)</f>
        <v/>
      </c>
      <c r="BA152" s="20">
        <f>IF(AO152="OTHER",1,0)</f>
        <v/>
      </c>
      <c r="BB152" s="20">
        <f>IF(UPPER(TRIM(C152))="LM",1,0)</f>
        <v/>
      </c>
      <c r="BC152" s="20">
        <f>IF(UPPER(TRIM(C152))="PN",1,0)</f>
        <v/>
      </c>
      <c r="BD152" s="20">
        <f>IF(UPPER(TRIM(C152))="LS",1,0)</f>
        <v/>
      </c>
      <c r="BE152" s="20">
        <f>IF(UPPER(TRIM(C152))="RX",1,0)</f>
        <v/>
      </c>
      <c r="BF152" s="22">
        <f>IFERROR((Parameters!$C$6*AM152+Parameters!$C$7*MAX(AM152-(-150),0)+Parameters!$C$8*MAX(AM152-(-50),0)+Parameters!$C$9*MAX(AM152-(0),0)+Parameters!$C$10*MAX(AM152-(50),0)+Parameters!$C$11*MAX(AM152-(100),0)+Parameters!$C$12*MAX(AM152-(150),0)+Parameters!$C$13*MAX(AM152-(250),0)),0)</f>
        <v/>
      </c>
      <c r="BG152" s="22">
        <f>IFERROR((Parameters!$C$14*AA152+Parameters!$C$15*MAX(AA152-(12),0)+Parameters!$C$16*MAX(AA152-(36),0)+Parameters!$C$17*MAX(AA152-(60),0)+Parameters!$C$18*MAX(AA152-(84),0)+Parameters!$C$19*MAX(AA152-(120),0)+Parameters!$C$20*MAX(AA152-(180),0)),0)</f>
        <v/>
      </c>
      <c r="BH152" s="22">
        <f>IFERROR((Parameters!$C$21*AK152+Parameters!$C$22*MAX(AK152-(0),0)+Parameters!$C$23*MAX(AK152-(2),0)+Parameters!$C$24*MAX(AK152-(5),0)+Parameters!$C$25*MAX(AK152-(8),0)),0)</f>
        <v/>
      </c>
      <c r="BI152" s="22">
        <f>IFERROR((Parameters!$C$26*AI152+Parameters!$C$27*MAX(AI152-(-100),0)+Parameters!$C$28*MAX(AI152-(-25),0)+Parameters!$C$29*MAX(AI152-(25),0)+Parameters!$C$30*MAX(AI152-(100),0)),0)</f>
        <v/>
      </c>
      <c r="BJ152" s="22">
        <f>IFERROR((Parameters!$C$31*AN152+Parameters!$C$32*MAX(AN152-(2),0)+Parameters!$C$33*MAX(AN152-(10),0)+Parameters!$C$34*MAX(AN152-(25),0)),0)</f>
        <v/>
      </c>
      <c r="BK152" s="22">
        <f>IFERROR((Parameters!$C$35*AB152+Parameters!$C$36*MAX(AB152-(12),0)+Parameters!$C$37*MAX(AB152-(24),0)+Parameters!$C$38*MAX(AB152-(60),0)),0)</f>
        <v/>
      </c>
      <c r="BL152" s="22">
        <f>IFERROR((Parameters!$C$39*AC152+Parameters!$C$40*MAX(AC152-(6),0)+Parameters!$C$41*MAX(AC152-(12),0)+Parameters!$C$42*MAX(AC152-(24),0)),0)</f>
        <v/>
      </c>
      <c r="BM152" s="22">
        <f>IFERROR(Parameters!$C$43*(MAX(AM152,0)*MIN(MAX(AK152,0),10))/100,0)</f>
        <v/>
      </c>
      <c r="BN152" s="22">
        <f>Parameters!$C$44*AE152</f>
        <v/>
      </c>
      <c r="BO152" s="22">
        <f>Parameters!$C$45*AU152 + Parameters!$C$46*AV152 + Parameters!$C$47*AW152 + Parameters!$C$48*AX152 + Parameters!$C$49*AY152 + Parameters!$C$50*AZ152 + Parameters!$C$51*BA152</f>
        <v/>
      </c>
      <c r="BP152" s="22">
        <f>Parameters!$C$52*AQ152</f>
        <v/>
      </c>
      <c r="BQ152" s="22">
        <f>Parameters!$C$53*AR152+Parameters!$C$54*AS152+Parameters!$C$55*AT152</f>
        <v/>
      </c>
      <c r="BR152" s="22">
        <f>Parameters!$C$56*BB152+Parameters!$C$57*BC152+Parameters!$C$58*BD152+Parameters!$C$59*BE152</f>
        <v/>
      </c>
      <c r="BS152" s="23">
        <f>Parameters!$B$2</f>
        <v/>
      </c>
      <c r="BT152" s="23">
        <f>BS152+BF152 + BG152 + BH152 + BI152 + BJ152 + BK152 + BL152 + BM152 + BN152 + BO152 + BP152 + BQ152 + BR152</f>
        <v/>
      </c>
      <c r="BU152" s="24">
        <f>IF(AD152=1,0,1/(1+EXP(-BT152))*Parameters!$B$3)</f>
        <v/>
      </c>
      <c r="BV152" s="25">
        <f>(1-(1-BU152)^12)*100</f>
        <v/>
      </c>
      <c r="BW152" s="25">
        <f>IF(AD152=1,0,(1-(1-1/(1+EXP(-Parameters!$B$2)))^12)*100)</f>
        <v/>
      </c>
      <c r="BX152" s="25">
        <f>IF(AD152=1,0,BV152-(1-(1-(1/(1+EXP(-(BT152-BF152)))*Parameters!$B$3))^12)*100)</f>
        <v/>
      </c>
      <c r="BY152" s="25">
        <f>IF(AD152=1,0,BV152-(1-(1-(1/(1+EXP(-(BT152-BG152)))*Parameters!$B$3))^12)*100)</f>
        <v/>
      </c>
      <c r="BZ152" s="25">
        <f>IF(AD152=1,0,BV152-(1-(1-(1/(1+EXP(-(BT152-BH152)))*Parameters!$B$3))^12)*100)</f>
        <v/>
      </c>
      <c r="CA152" s="25">
        <f>IF(AD152=1,0,BV152-(1-(1-(1/(1+EXP(-(BT152-BI152)))*Parameters!$B$3))^12)*100)</f>
        <v/>
      </c>
      <c r="CB152" s="25">
        <f>IF(AD152=1,0,BV152-(1-(1-(1/(1+EXP(-(BT152-BJ152)))*Parameters!$B$3))^12)*100)</f>
        <v/>
      </c>
      <c r="CC152" s="25">
        <f>IF(AD152=1,0,BV152-(1-(1-(1/(1+EXP(-(BT152-BK152)))*Parameters!$B$3))^12)*100)</f>
        <v/>
      </c>
      <c r="CD152" s="25">
        <f>IF(AD152=1,0,BV152-(1-(1-(1/(1+EXP(-(BT152-BL152)))*Parameters!$B$3))^12)*100)</f>
        <v/>
      </c>
      <c r="CE152" s="25">
        <f>IF(AD152=1,0,BV152-(1-(1-(1/(1+EXP(-(BT152-BM152)))*Parameters!$B$3))^12)*100)</f>
        <v/>
      </c>
      <c r="CF152" s="25">
        <f>IF(AD152=1,0,BV152-(1-(1-(1/(1+EXP(-(BT152-BN152)))*Parameters!$B$3))^12)*100)</f>
        <v/>
      </c>
      <c r="CG152" s="25">
        <f>IF(AD152=1,0,BV152-(1-(1-(1/(1+EXP(-(BT152-BO152)))*Parameters!$B$3))^12)*100)</f>
        <v/>
      </c>
      <c r="CH152" s="25">
        <f>IF(AD152=1,0,BV152-(1-(1-(1/(1+EXP(-(BT152-BP152)))*Parameters!$B$3))^12)*100)</f>
        <v/>
      </c>
      <c r="CI152" s="25">
        <f>IF(AD152=1,0,BV152-(1-(1-(1/(1+EXP(-(BT152-BQ152)))*Parameters!$B$3))^12)*100)</f>
        <v/>
      </c>
      <c r="CJ152" s="25">
        <f>IF(AD152=1,0,BV152-(1-(1-(1/(1+EXP(-(BT152-BR152)))*Parameters!$B$3))^12)*100)</f>
        <v/>
      </c>
    </row>
    <row r="153">
      <c r="A153" s="17" t="inlineStr">
        <is>
          <t>GNR_AFF_2018</t>
        </is>
      </c>
      <c r="B153" s="17" t="inlineStr">
        <is>
          <t>3617JUCB5</t>
        </is>
      </c>
      <c r="C153" s="17" t="inlineStr">
        <is>
          <t>PN</t>
        </is>
      </c>
      <c r="D153" s="17" t="inlineStr">
        <is>
          <t>WALKER &amp; DUNLOP, LLC</t>
        </is>
      </c>
      <c r="E153" s="17" t="inlineStr">
        <is>
          <t>3617JUCB5_000000006135884</t>
        </is>
      </c>
      <c r="F153" s="17" t="n">
        <v>202603</v>
      </c>
      <c r="G153" s="18" t="n">
        <v>4.38</v>
      </c>
      <c r="H153" s="19" t="n">
        <v>5380195.55</v>
      </c>
      <c r="I153" s="17" t="n">
        <v>499</v>
      </c>
      <c r="J153" s="17" t="n">
        <v>20190701</v>
      </c>
      <c r="K153" s="17" t="n">
        <v>20610301</v>
      </c>
      <c r="L153" s="17" t="n"/>
      <c r="M153" s="17" t="n">
        <v>20310401</v>
      </c>
      <c r="N153" s="17" t="n">
        <v>10</v>
      </c>
      <c r="O153" s="17" t="inlineStr">
        <is>
          <t>221(D)(4)</t>
        </is>
      </c>
      <c r="P153" s="17" t="inlineStr">
        <is>
          <t>BAF</t>
        </is>
      </c>
      <c r="Q153" s="17" t="n"/>
      <c r="R153" s="17" t="n"/>
      <c r="S153" s="17" t="n"/>
      <c r="T153" s="17" t="inlineStr">
        <is>
          <t>GA</t>
        </is>
      </c>
      <c r="U153" s="17" t="n">
        <v>100</v>
      </c>
      <c r="V153" s="17" t="n">
        <v>490.5</v>
      </c>
      <c r="W153" s="17" t="n">
        <v>80</v>
      </c>
      <c r="X153" s="17" t="n">
        <v>2019</v>
      </c>
      <c r="Y153" s="17" t="n">
        <v>71</v>
      </c>
      <c r="Z153" s="17" t="n">
        <v>6</v>
      </c>
      <c r="AA153" s="20">
        <f>IF(ISNUMBER(W153),W153,IFERROR(MAX(0,(VALUE(LEFT(F153,4))-VALUE(LEFT(TEXT(J153,"00000000"),4)))*12+(VALUE(MID(F153,5,2))-VALUE(MID(TEXT(J153,"00000000"),5,2)))),""))</f>
        <v/>
      </c>
      <c r="AB153" s="20">
        <f>IFERROR((VALUE(LEFT(TEXT(K153,"00000000"),4))-VALUE(LEFT(F153,4)))*12+(VALUE(MID(TEXT(K153,"00000000"),5,2))-VALUE(MID(F153,5,2))),"")</f>
        <v/>
      </c>
      <c r="AC153" s="20">
        <f>IF(OR(L153="",NOT(ISNUMBER(L153))),0,MAX(0,MIN(60,(VALUE(LEFT(F153,4))-VALUE(LEFT(TEXT(L153,"00000000"),4)))*12+(VALUE(MID(F153,5,2))-VALUE(MID(TEXT(L153,"00000000"),5,2))))))</f>
        <v/>
      </c>
      <c r="AD153" s="20">
        <f>IF(OR(L153="",NOT(ISNUMBER(L153))),0,IF(VALUE(F153)&lt;VALUE(LEFT(TEXT(L153,"00000000"),6)),1,0))</f>
        <v/>
      </c>
      <c r="AE153" s="20">
        <f>IF(OR(M153="",NOT(ISNUMBER(M153))),0,IF(VALUE(F153)&lt;VALUE(LEFT(TEXT(M153,"00000000"),6)),1,0))</f>
        <v/>
      </c>
      <c r="AF153" s="20">
        <f>IF(AND(AD153=0,AE153=0),1,0)</f>
        <v/>
      </c>
      <c r="AG153" s="20">
        <f>IF(ISNUMBER(X153),X153,IFERROR(VALUE(LEFT(TEXT(J153,"00000000"),4)),""))</f>
        <v/>
      </c>
      <c r="AH153" s="20">
        <f>IFERROR(XLOOKUP(AG153,Vintage_Rates!$A$2:$A$1000,Vintage_Rates!$B$2:$B$1000,""),"")</f>
        <v/>
      </c>
      <c r="AI153" s="20">
        <f>IF(ISNUMBER(Y153),Y153,IFERROR((G153-AH153)*100,""))</f>
        <v/>
      </c>
      <c r="AJ153" s="20">
        <f>IF(ISNUMBER(V153),V153,IFERROR(XLOOKUP(VALUE(F153),PLC_Rates!$A$2:$A$1000,PLC_Rates!$B$2:$B$1000,""),""))</f>
        <v/>
      </c>
      <c r="AK153" s="20">
        <f>IF(ISNUMBER(Z153),Z153,IF(AE153=0,0,MAX(0,MIN(10,((VALUE(LEFT(TEXT(M153,"00000000"),4))-VALUE(LEFT(F153,4)))*12+(VALUE(MID(TEXT(M153,"00000000"),5,2))-VALUE(MID(F153,5,2))))/12))))</f>
        <v/>
      </c>
      <c r="AL153" s="20">
        <f>IFERROR(G153*100-AJ153,"")</f>
        <v/>
      </c>
      <c r="AM153" s="20">
        <f>IFERROR(G153*100-(AJ153+(1+AK153)*12.5),"")</f>
        <v/>
      </c>
      <c r="AN153" s="21">
        <f>IFERROR(MIN(H153/1000000,100),"")</f>
        <v/>
      </c>
      <c r="AO153" s="20">
        <f>IFERROR(INDEX(FHA_Lookup!$B$2:$B$11,MATCH(TRUE,ISNUMBER(SEARCH(FHA_Lookup!$A$2:$A$11,UPPER(SUBSTITUTE(O153," ","")))),0)),"OTHER")</f>
        <v/>
      </c>
      <c r="AP153" s="20">
        <f>IFERROR(INDEX(FHA_Lookup!$C$2:$C$11,MATCH(TRUE,ISNUMBER(SEARCH(FHA_Lookup!$A$2:$A$11,UPPER(SUBSTITUTE(O153," ","")))),0)),"OTHER")</f>
        <v/>
      </c>
      <c r="AQ153" s="20">
        <f>IF(AP153="NC",1,0)</f>
        <v/>
      </c>
      <c r="AR153" s="20">
        <f>IF(UPPER(TRIM(P153))="AFF",1,0)</f>
        <v/>
      </c>
      <c r="AS153" s="20">
        <f>IF(UPPER(TRIM(P153))="BAF",1,0)</f>
        <v/>
      </c>
      <c r="AT153" s="20">
        <f>IF(UPPER(TRIM(P153))="MKT",1,0)</f>
        <v/>
      </c>
      <c r="AU153" s="20">
        <f>IF(AO153="221d4",1,0)</f>
        <v/>
      </c>
      <c r="AV153" s="20">
        <f>IF(AO153="223a7",1,0)</f>
        <v/>
      </c>
      <c r="AW153" s="20">
        <f>IF(AO153="232",1,0)</f>
        <v/>
      </c>
      <c r="AX153" s="20">
        <f>IF(AO153="538",1,0)</f>
        <v/>
      </c>
      <c r="AY153" s="20">
        <f>IF(AO153="241",1,0)</f>
        <v/>
      </c>
      <c r="AZ153" s="20">
        <f>IF(AO153="220",1,0)</f>
        <v/>
      </c>
      <c r="BA153" s="20">
        <f>IF(AO153="OTHER",1,0)</f>
        <v/>
      </c>
      <c r="BB153" s="20">
        <f>IF(UPPER(TRIM(C153))="LM",1,0)</f>
        <v/>
      </c>
      <c r="BC153" s="20">
        <f>IF(UPPER(TRIM(C153))="PN",1,0)</f>
        <v/>
      </c>
      <c r="BD153" s="20">
        <f>IF(UPPER(TRIM(C153))="LS",1,0)</f>
        <v/>
      </c>
      <c r="BE153" s="20">
        <f>IF(UPPER(TRIM(C153))="RX",1,0)</f>
        <v/>
      </c>
      <c r="BF153" s="22">
        <f>IFERROR((Parameters!$C$6*AM153+Parameters!$C$7*MAX(AM153-(-150),0)+Parameters!$C$8*MAX(AM153-(-50),0)+Parameters!$C$9*MAX(AM153-(0),0)+Parameters!$C$10*MAX(AM153-(50),0)+Parameters!$C$11*MAX(AM153-(100),0)+Parameters!$C$12*MAX(AM153-(150),0)+Parameters!$C$13*MAX(AM153-(250),0)),0)</f>
        <v/>
      </c>
      <c r="BG153" s="22">
        <f>IFERROR((Parameters!$C$14*AA153+Parameters!$C$15*MAX(AA153-(12),0)+Parameters!$C$16*MAX(AA153-(36),0)+Parameters!$C$17*MAX(AA153-(60),0)+Parameters!$C$18*MAX(AA153-(84),0)+Parameters!$C$19*MAX(AA153-(120),0)+Parameters!$C$20*MAX(AA153-(180),0)),0)</f>
        <v/>
      </c>
      <c r="BH153" s="22">
        <f>IFERROR((Parameters!$C$21*AK153+Parameters!$C$22*MAX(AK153-(0),0)+Parameters!$C$23*MAX(AK153-(2),0)+Parameters!$C$24*MAX(AK153-(5),0)+Parameters!$C$25*MAX(AK153-(8),0)),0)</f>
        <v/>
      </c>
      <c r="BI153" s="22">
        <f>IFERROR((Parameters!$C$26*AI153+Parameters!$C$27*MAX(AI153-(-100),0)+Parameters!$C$28*MAX(AI153-(-25),0)+Parameters!$C$29*MAX(AI153-(25),0)+Parameters!$C$30*MAX(AI153-(100),0)),0)</f>
        <v/>
      </c>
      <c r="BJ153" s="22">
        <f>IFERROR((Parameters!$C$31*AN153+Parameters!$C$32*MAX(AN153-(2),0)+Parameters!$C$33*MAX(AN153-(10),0)+Parameters!$C$34*MAX(AN153-(25),0)),0)</f>
        <v/>
      </c>
      <c r="BK153" s="22">
        <f>IFERROR((Parameters!$C$35*AB153+Parameters!$C$36*MAX(AB153-(12),0)+Parameters!$C$37*MAX(AB153-(24),0)+Parameters!$C$38*MAX(AB153-(60),0)),0)</f>
        <v/>
      </c>
      <c r="BL153" s="22">
        <f>IFERROR((Parameters!$C$39*AC153+Parameters!$C$40*MAX(AC153-(6),0)+Parameters!$C$41*MAX(AC153-(12),0)+Parameters!$C$42*MAX(AC153-(24),0)),0)</f>
        <v/>
      </c>
      <c r="BM153" s="22">
        <f>IFERROR(Parameters!$C$43*(MAX(AM153,0)*MIN(MAX(AK153,0),10))/100,0)</f>
        <v/>
      </c>
      <c r="BN153" s="22">
        <f>Parameters!$C$44*AE153</f>
        <v/>
      </c>
      <c r="BO153" s="22">
        <f>Parameters!$C$45*AU153 + Parameters!$C$46*AV153 + Parameters!$C$47*AW153 + Parameters!$C$48*AX153 + Parameters!$C$49*AY153 + Parameters!$C$50*AZ153 + Parameters!$C$51*BA153</f>
        <v/>
      </c>
      <c r="BP153" s="22">
        <f>Parameters!$C$52*AQ153</f>
        <v/>
      </c>
      <c r="BQ153" s="22">
        <f>Parameters!$C$53*AR153+Parameters!$C$54*AS153+Parameters!$C$55*AT153</f>
        <v/>
      </c>
      <c r="BR153" s="22">
        <f>Parameters!$C$56*BB153+Parameters!$C$57*BC153+Parameters!$C$58*BD153+Parameters!$C$59*BE153</f>
        <v/>
      </c>
      <c r="BS153" s="23">
        <f>Parameters!$B$2</f>
        <v/>
      </c>
      <c r="BT153" s="23">
        <f>BS153+BF153 + BG153 + BH153 + BI153 + BJ153 + BK153 + BL153 + BM153 + BN153 + BO153 + BP153 + BQ153 + BR153</f>
        <v/>
      </c>
      <c r="BU153" s="24">
        <f>IF(AD153=1,0,1/(1+EXP(-BT153))*Parameters!$B$3)</f>
        <v/>
      </c>
      <c r="BV153" s="25">
        <f>(1-(1-BU153)^12)*100</f>
        <v/>
      </c>
      <c r="BW153" s="25">
        <f>IF(AD153=1,0,(1-(1-1/(1+EXP(-Parameters!$B$2)))^12)*100)</f>
        <v/>
      </c>
      <c r="BX153" s="25">
        <f>IF(AD153=1,0,BV153-(1-(1-(1/(1+EXP(-(BT153-BF153)))*Parameters!$B$3))^12)*100)</f>
        <v/>
      </c>
      <c r="BY153" s="25">
        <f>IF(AD153=1,0,BV153-(1-(1-(1/(1+EXP(-(BT153-BG153)))*Parameters!$B$3))^12)*100)</f>
        <v/>
      </c>
      <c r="BZ153" s="25">
        <f>IF(AD153=1,0,BV153-(1-(1-(1/(1+EXP(-(BT153-BH153)))*Parameters!$B$3))^12)*100)</f>
        <v/>
      </c>
      <c r="CA153" s="25">
        <f>IF(AD153=1,0,BV153-(1-(1-(1/(1+EXP(-(BT153-BI153)))*Parameters!$B$3))^12)*100)</f>
        <v/>
      </c>
      <c r="CB153" s="25">
        <f>IF(AD153=1,0,BV153-(1-(1-(1/(1+EXP(-(BT153-BJ153)))*Parameters!$B$3))^12)*100)</f>
        <v/>
      </c>
      <c r="CC153" s="25">
        <f>IF(AD153=1,0,BV153-(1-(1-(1/(1+EXP(-(BT153-BK153)))*Parameters!$B$3))^12)*100)</f>
        <v/>
      </c>
      <c r="CD153" s="25">
        <f>IF(AD153=1,0,BV153-(1-(1-(1/(1+EXP(-(BT153-BL153)))*Parameters!$B$3))^12)*100)</f>
        <v/>
      </c>
      <c r="CE153" s="25">
        <f>IF(AD153=1,0,BV153-(1-(1-(1/(1+EXP(-(BT153-BM153)))*Parameters!$B$3))^12)*100)</f>
        <v/>
      </c>
      <c r="CF153" s="25">
        <f>IF(AD153=1,0,BV153-(1-(1-(1/(1+EXP(-(BT153-BN153)))*Parameters!$B$3))^12)*100)</f>
        <v/>
      </c>
      <c r="CG153" s="25">
        <f>IF(AD153=1,0,BV153-(1-(1-(1/(1+EXP(-(BT153-BO153)))*Parameters!$B$3))^12)*100)</f>
        <v/>
      </c>
      <c r="CH153" s="25">
        <f>IF(AD153=1,0,BV153-(1-(1-(1/(1+EXP(-(BT153-BP153)))*Parameters!$B$3))^12)*100)</f>
        <v/>
      </c>
      <c r="CI153" s="25">
        <f>IF(AD153=1,0,BV153-(1-(1-(1/(1+EXP(-(BT153-BQ153)))*Parameters!$B$3))^12)*100)</f>
        <v/>
      </c>
      <c r="CJ153" s="25">
        <f>IF(AD153=1,0,BV153-(1-(1-(1/(1+EXP(-(BT153-BR153)))*Parameters!$B$3))^12)*100)</f>
        <v/>
      </c>
    </row>
    <row r="154">
      <c r="A154" s="17" t="inlineStr">
        <is>
          <t>GNR_AFF_2018</t>
        </is>
      </c>
      <c r="B154" s="17" t="inlineStr">
        <is>
          <t>3617BBJM4</t>
        </is>
      </c>
      <c r="C154" s="17" t="inlineStr">
        <is>
          <t>PN</t>
        </is>
      </c>
      <c r="D154" s="17" t="inlineStr">
        <is>
          <t>LUMENT REAL ESTATE CAPITAL,LLC</t>
        </is>
      </c>
      <c r="E154" s="17" t="inlineStr">
        <is>
          <t>3617BBJM4_000000000011274</t>
        </is>
      </c>
      <c r="F154" s="17" t="n">
        <v>202603</v>
      </c>
      <c r="G154" s="18" t="n">
        <v>3.34</v>
      </c>
      <c r="H154" s="19" t="n">
        <v>4292774.11</v>
      </c>
      <c r="I154" s="17" t="n">
        <v>420</v>
      </c>
      <c r="J154" s="17" t="n">
        <v>20171215</v>
      </c>
      <c r="K154" s="17" t="n">
        <v>20530101</v>
      </c>
      <c r="L154" s="17" t="n"/>
      <c r="M154" s="17" t="n">
        <v>20230201</v>
      </c>
      <c r="N154" s="17" t="n">
        <v>5</v>
      </c>
      <c r="O154" s="17" t="inlineStr">
        <is>
          <t>207/223F</t>
        </is>
      </c>
      <c r="P154" s="17" t="inlineStr">
        <is>
          <t>AFF</t>
        </is>
      </c>
      <c r="Q154" s="17" t="n"/>
      <c r="R154" s="17" t="n"/>
      <c r="S154" s="17" t="n"/>
      <c r="T154" s="17" t="inlineStr">
        <is>
          <t>MD</t>
        </is>
      </c>
      <c r="U154" s="17" t="n">
        <v>414</v>
      </c>
      <c r="V154" s="17" t="n">
        <v>490.5</v>
      </c>
      <c r="W154" s="17" t="n">
        <v>99</v>
      </c>
      <c r="X154" s="17" t="n">
        <v>2017</v>
      </c>
      <c r="Y154" s="17" t="n">
        <v>-13</v>
      </c>
      <c r="Z154" s="17" t="n">
        <v>0</v>
      </c>
      <c r="AA154" s="20">
        <f>IF(ISNUMBER(W154),W154,IFERROR(MAX(0,(VALUE(LEFT(F154,4))-VALUE(LEFT(TEXT(J154,"00000000"),4)))*12+(VALUE(MID(F154,5,2))-VALUE(MID(TEXT(J154,"00000000"),5,2)))),""))</f>
        <v/>
      </c>
      <c r="AB154" s="20">
        <f>IFERROR((VALUE(LEFT(TEXT(K154,"00000000"),4))-VALUE(LEFT(F154,4)))*12+(VALUE(MID(TEXT(K154,"00000000"),5,2))-VALUE(MID(F154,5,2))),"")</f>
        <v/>
      </c>
      <c r="AC154" s="20">
        <f>IF(OR(L154="",NOT(ISNUMBER(L154))),0,MAX(0,MIN(60,(VALUE(LEFT(F154,4))-VALUE(LEFT(TEXT(L154,"00000000"),4)))*12+(VALUE(MID(F154,5,2))-VALUE(MID(TEXT(L154,"00000000"),5,2))))))</f>
        <v/>
      </c>
      <c r="AD154" s="20">
        <f>IF(OR(L154="",NOT(ISNUMBER(L154))),0,IF(VALUE(F154)&lt;VALUE(LEFT(TEXT(L154,"00000000"),6)),1,0))</f>
        <v/>
      </c>
      <c r="AE154" s="20">
        <f>IF(OR(M154="",NOT(ISNUMBER(M154))),0,IF(VALUE(F154)&lt;VALUE(LEFT(TEXT(M154,"00000000"),6)),1,0))</f>
        <v/>
      </c>
      <c r="AF154" s="20">
        <f>IF(AND(AD154=0,AE154=0),1,0)</f>
        <v/>
      </c>
      <c r="AG154" s="20">
        <f>IF(ISNUMBER(X154),X154,IFERROR(VALUE(LEFT(TEXT(J154,"00000000"),4)),""))</f>
        <v/>
      </c>
      <c r="AH154" s="20">
        <f>IFERROR(XLOOKUP(AG154,Vintage_Rates!$A$2:$A$1000,Vintage_Rates!$B$2:$B$1000,""),"")</f>
        <v/>
      </c>
      <c r="AI154" s="20">
        <f>IF(ISNUMBER(Y154),Y154,IFERROR((G154-AH154)*100,""))</f>
        <v/>
      </c>
      <c r="AJ154" s="20">
        <f>IF(ISNUMBER(V154),V154,IFERROR(XLOOKUP(VALUE(F154),PLC_Rates!$A$2:$A$1000,PLC_Rates!$B$2:$B$1000,""),""))</f>
        <v/>
      </c>
      <c r="AK154" s="20">
        <f>IF(ISNUMBER(Z154),Z154,IF(AE154=0,0,MAX(0,MIN(10,((VALUE(LEFT(TEXT(M154,"00000000"),4))-VALUE(LEFT(F154,4)))*12+(VALUE(MID(TEXT(M154,"00000000"),5,2))-VALUE(MID(F154,5,2))))/12))))</f>
        <v/>
      </c>
      <c r="AL154" s="20">
        <f>IFERROR(G154*100-AJ154,"")</f>
        <v/>
      </c>
      <c r="AM154" s="20">
        <f>IFERROR(G154*100-(AJ154+(1+AK154)*12.5),"")</f>
        <v/>
      </c>
      <c r="AN154" s="21">
        <f>IFERROR(MIN(H154/1000000,100),"")</f>
        <v/>
      </c>
      <c r="AO154" s="20">
        <f>IFERROR(INDEX(FHA_Lookup!$B$2:$B$11,MATCH(TRUE,ISNUMBER(SEARCH(FHA_Lookup!$A$2:$A$11,UPPER(SUBSTITUTE(O154," ","")))),0)),"OTHER")</f>
        <v/>
      </c>
      <c r="AP154" s="20">
        <f>IFERROR(INDEX(FHA_Lookup!$C$2:$C$11,MATCH(TRUE,ISNUMBER(SEARCH(FHA_Lookup!$A$2:$A$11,UPPER(SUBSTITUTE(O154," ","")))),0)),"OTHER")</f>
        <v/>
      </c>
      <c r="AQ154" s="20">
        <f>IF(AP154="NC",1,0)</f>
        <v/>
      </c>
      <c r="AR154" s="20">
        <f>IF(UPPER(TRIM(P154))="AFF",1,0)</f>
        <v/>
      </c>
      <c r="AS154" s="20">
        <f>IF(UPPER(TRIM(P154))="BAF",1,0)</f>
        <v/>
      </c>
      <c r="AT154" s="20">
        <f>IF(UPPER(TRIM(P154))="MKT",1,0)</f>
        <v/>
      </c>
      <c r="AU154" s="20">
        <f>IF(AO154="221d4",1,0)</f>
        <v/>
      </c>
      <c r="AV154" s="20">
        <f>IF(AO154="223a7",1,0)</f>
        <v/>
      </c>
      <c r="AW154" s="20">
        <f>IF(AO154="232",1,0)</f>
        <v/>
      </c>
      <c r="AX154" s="20">
        <f>IF(AO154="538",1,0)</f>
        <v/>
      </c>
      <c r="AY154" s="20">
        <f>IF(AO154="241",1,0)</f>
        <v/>
      </c>
      <c r="AZ154" s="20">
        <f>IF(AO154="220",1,0)</f>
        <v/>
      </c>
      <c r="BA154" s="20">
        <f>IF(AO154="OTHER",1,0)</f>
        <v/>
      </c>
      <c r="BB154" s="20">
        <f>IF(UPPER(TRIM(C154))="LM",1,0)</f>
        <v/>
      </c>
      <c r="BC154" s="20">
        <f>IF(UPPER(TRIM(C154))="PN",1,0)</f>
        <v/>
      </c>
      <c r="BD154" s="20">
        <f>IF(UPPER(TRIM(C154))="LS",1,0)</f>
        <v/>
      </c>
      <c r="BE154" s="20">
        <f>IF(UPPER(TRIM(C154))="RX",1,0)</f>
        <v/>
      </c>
      <c r="BF154" s="22">
        <f>IFERROR((Parameters!$C$6*AM154+Parameters!$C$7*MAX(AM154-(-150),0)+Parameters!$C$8*MAX(AM154-(-50),0)+Parameters!$C$9*MAX(AM154-(0),0)+Parameters!$C$10*MAX(AM154-(50),0)+Parameters!$C$11*MAX(AM154-(100),0)+Parameters!$C$12*MAX(AM154-(150),0)+Parameters!$C$13*MAX(AM154-(250),0)),0)</f>
        <v/>
      </c>
      <c r="BG154" s="22">
        <f>IFERROR((Parameters!$C$14*AA154+Parameters!$C$15*MAX(AA154-(12),0)+Parameters!$C$16*MAX(AA154-(36),0)+Parameters!$C$17*MAX(AA154-(60),0)+Parameters!$C$18*MAX(AA154-(84),0)+Parameters!$C$19*MAX(AA154-(120),0)+Parameters!$C$20*MAX(AA154-(180),0)),0)</f>
        <v/>
      </c>
      <c r="BH154" s="22">
        <f>IFERROR((Parameters!$C$21*AK154+Parameters!$C$22*MAX(AK154-(0),0)+Parameters!$C$23*MAX(AK154-(2),0)+Parameters!$C$24*MAX(AK154-(5),0)+Parameters!$C$25*MAX(AK154-(8),0)),0)</f>
        <v/>
      </c>
      <c r="BI154" s="22">
        <f>IFERROR((Parameters!$C$26*AI154+Parameters!$C$27*MAX(AI154-(-100),0)+Parameters!$C$28*MAX(AI154-(-25),0)+Parameters!$C$29*MAX(AI154-(25),0)+Parameters!$C$30*MAX(AI154-(100),0)),0)</f>
        <v/>
      </c>
      <c r="BJ154" s="22">
        <f>IFERROR((Parameters!$C$31*AN154+Parameters!$C$32*MAX(AN154-(2),0)+Parameters!$C$33*MAX(AN154-(10),0)+Parameters!$C$34*MAX(AN154-(25),0)),0)</f>
        <v/>
      </c>
      <c r="BK154" s="22">
        <f>IFERROR((Parameters!$C$35*AB154+Parameters!$C$36*MAX(AB154-(12),0)+Parameters!$C$37*MAX(AB154-(24),0)+Parameters!$C$38*MAX(AB154-(60),0)),0)</f>
        <v/>
      </c>
      <c r="BL154" s="22">
        <f>IFERROR((Parameters!$C$39*AC154+Parameters!$C$40*MAX(AC154-(6),0)+Parameters!$C$41*MAX(AC154-(12),0)+Parameters!$C$42*MAX(AC154-(24),0)),0)</f>
        <v/>
      </c>
      <c r="BM154" s="22">
        <f>IFERROR(Parameters!$C$43*(MAX(AM154,0)*MIN(MAX(AK154,0),10))/100,0)</f>
        <v/>
      </c>
      <c r="BN154" s="22">
        <f>Parameters!$C$44*AE154</f>
        <v/>
      </c>
      <c r="BO154" s="22">
        <f>Parameters!$C$45*AU154 + Parameters!$C$46*AV154 + Parameters!$C$47*AW154 + Parameters!$C$48*AX154 + Parameters!$C$49*AY154 + Parameters!$C$50*AZ154 + Parameters!$C$51*BA154</f>
        <v/>
      </c>
      <c r="BP154" s="22">
        <f>Parameters!$C$52*AQ154</f>
        <v/>
      </c>
      <c r="BQ154" s="22">
        <f>Parameters!$C$53*AR154+Parameters!$C$54*AS154+Parameters!$C$55*AT154</f>
        <v/>
      </c>
      <c r="BR154" s="22">
        <f>Parameters!$C$56*BB154+Parameters!$C$57*BC154+Parameters!$C$58*BD154+Parameters!$C$59*BE154</f>
        <v/>
      </c>
      <c r="BS154" s="23">
        <f>Parameters!$B$2</f>
        <v/>
      </c>
      <c r="BT154" s="23">
        <f>BS154+BF154 + BG154 + BH154 + BI154 + BJ154 + BK154 + BL154 + BM154 + BN154 + BO154 + BP154 + BQ154 + BR154</f>
        <v/>
      </c>
      <c r="BU154" s="24">
        <f>IF(AD154=1,0,1/(1+EXP(-BT154))*Parameters!$B$3)</f>
        <v/>
      </c>
      <c r="BV154" s="25">
        <f>(1-(1-BU154)^12)*100</f>
        <v/>
      </c>
      <c r="BW154" s="25">
        <f>IF(AD154=1,0,(1-(1-1/(1+EXP(-Parameters!$B$2)))^12)*100)</f>
        <v/>
      </c>
      <c r="BX154" s="25">
        <f>IF(AD154=1,0,BV154-(1-(1-(1/(1+EXP(-(BT154-BF154)))*Parameters!$B$3))^12)*100)</f>
        <v/>
      </c>
      <c r="BY154" s="25">
        <f>IF(AD154=1,0,BV154-(1-(1-(1/(1+EXP(-(BT154-BG154)))*Parameters!$B$3))^12)*100)</f>
        <v/>
      </c>
      <c r="BZ154" s="25">
        <f>IF(AD154=1,0,BV154-(1-(1-(1/(1+EXP(-(BT154-BH154)))*Parameters!$B$3))^12)*100)</f>
        <v/>
      </c>
      <c r="CA154" s="25">
        <f>IF(AD154=1,0,BV154-(1-(1-(1/(1+EXP(-(BT154-BI154)))*Parameters!$B$3))^12)*100)</f>
        <v/>
      </c>
      <c r="CB154" s="25">
        <f>IF(AD154=1,0,BV154-(1-(1-(1/(1+EXP(-(BT154-BJ154)))*Parameters!$B$3))^12)*100)</f>
        <v/>
      </c>
      <c r="CC154" s="25">
        <f>IF(AD154=1,0,BV154-(1-(1-(1/(1+EXP(-(BT154-BK154)))*Parameters!$B$3))^12)*100)</f>
        <v/>
      </c>
      <c r="CD154" s="25">
        <f>IF(AD154=1,0,BV154-(1-(1-(1/(1+EXP(-(BT154-BL154)))*Parameters!$B$3))^12)*100)</f>
        <v/>
      </c>
      <c r="CE154" s="25">
        <f>IF(AD154=1,0,BV154-(1-(1-(1/(1+EXP(-(BT154-BM154)))*Parameters!$B$3))^12)*100)</f>
        <v/>
      </c>
      <c r="CF154" s="25">
        <f>IF(AD154=1,0,BV154-(1-(1-(1/(1+EXP(-(BT154-BN154)))*Parameters!$B$3))^12)*100)</f>
        <v/>
      </c>
      <c r="CG154" s="25">
        <f>IF(AD154=1,0,BV154-(1-(1-(1/(1+EXP(-(BT154-BO154)))*Parameters!$B$3))^12)*100)</f>
        <v/>
      </c>
      <c r="CH154" s="25">
        <f>IF(AD154=1,0,BV154-(1-(1-(1/(1+EXP(-(BT154-BP154)))*Parameters!$B$3))^12)*100)</f>
        <v/>
      </c>
      <c r="CI154" s="25">
        <f>IF(AD154=1,0,BV154-(1-(1-(1/(1+EXP(-(BT154-BQ154)))*Parameters!$B$3))^12)*100)</f>
        <v/>
      </c>
      <c r="CJ154" s="25">
        <f>IF(AD154=1,0,BV154-(1-(1-(1/(1+EXP(-(BT154-BR154)))*Parameters!$B$3))^12)*100)</f>
        <v/>
      </c>
    </row>
    <row r="155">
      <c r="A155" s="17" t="inlineStr">
        <is>
          <t>GNR_AFF_2018</t>
        </is>
      </c>
      <c r="B155" s="17" t="inlineStr">
        <is>
          <t>3617QANT0</t>
        </is>
      </c>
      <c r="C155" s="17" t="inlineStr">
        <is>
          <t>PN</t>
        </is>
      </c>
      <c r="D155" s="17" t="inlineStr">
        <is>
          <t>WALKER &amp; DUNLOP, LLC</t>
        </is>
      </c>
      <c r="E155" s="17" t="inlineStr">
        <is>
          <t>3617QANT0_000000005336360</t>
        </is>
      </c>
      <c r="F155" s="17" t="n">
        <v>202603</v>
      </c>
      <c r="G155" s="18" t="n">
        <v>2.4</v>
      </c>
      <c r="H155" s="19" t="n">
        <v>5013754.87</v>
      </c>
      <c r="I155" s="17" t="n">
        <v>480</v>
      </c>
      <c r="J155" s="17" t="n">
        <v>20200929</v>
      </c>
      <c r="K155" s="17" t="n">
        <v>20601001</v>
      </c>
      <c r="L155" s="17" t="n"/>
      <c r="M155" s="17" t="n">
        <v>20301101</v>
      </c>
      <c r="N155" s="17" t="n">
        <v>10</v>
      </c>
      <c r="O155" s="17" t="inlineStr">
        <is>
          <t>221(D)(4)223(A)(7)</t>
        </is>
      </c>
      <c r="P155" s="17" t="inlineStr">
        <is>
          <t>BAF</t>
        </is>
      </c>
      <c r="Q155" s="17" t="n"/>
      <c r="R155" s="17" t="n"/>
      <c r="S155" s="17" t="n"/>
      <c r="T155" s="17" t="inlineStr">
        <is>
          <t>NC</t>
        </is>
      </c>
      <c r="U155" s="17" t="n">
        <v>100</v>
      </c>
      <c r="V155" s="17" t="n">
        <v>490.5</v>
      </c>
      <c r="W155" s="17" t="n">
        <v>66</v>
      </c>
      <c r="X155" s="17" t="n">
        <v>2020</v>
      </c>
      <c r="Y155" s="17" t="n">
        <v>-45</v>
      </c>
      <c r="Z155" s="17" t="n">
        <v>5</v>
      </c>
      <c r="AA155" s="20">
        <f>IF(ISNUMBER(W155),W155,IFERROR(MAX(0,(VALUE(LEFT(F155,4))-VALUE(LEFT(TEXT(J155,"00000000"),4)))*12+(VALUE(MID(F155,5,2))-VALUE(MID(TEXT(J155,"00000000"),5,2)))),""))</f>
        <v/>
      </c>
      <c r="AB155" s="20">
        <f>IFERROR((VALUE(LEFT(TEXT(K155,"00000000"),4))-VALUE(LEFT(F155,4)))*12+(VALUE(MID(TEXT(K155,"00000000"),5,2))-VALUE(MID(F155,5,2))),"")</f>
        <v/>
      </c>
      <c r="AC155" s="20">
        <f>IF(OR(L155="",NOT(ISNUMBER(L155))),0,MAX(0,MIN(60,(VALUE(LEFT(F155,4))-VALUE(LEFT(TEXT(L155,"00000000"),4)))*12+(VALUE(MID(F155,5,2))-VALUE(MID(TEXT(L155,"00000000"),5,2))))))</f>
        <v/>
      </c>
      <c r="AD155" s="20">
        <f>IF(OR(L155="",NOT(ISNUMBER(L155))),0,IF(VALUE(F155)&lt;VALUE(LEFT(TEXT(L155,"00000000"),6)),1,0))</f>
        <v/>
      </c>
      <c r="AE155" s="20">
        <f>IF(OR(M155="",NOT(ISNUMBER(M155))),0,IF(VALUE(F155)&lt;VALUE(LEFT(TEXT(M155,"00000000"),6)),1,0))</f>
        <v/>
      </c>
      <c r="AF155" s="20">
        <f>IF(AND(AD155=0,AE155=0),1,0)</f>
        <v/>
      </c>
      <c r="AG155" s="20">
        <f>IF(ISNUMBER(X155),X155,IFERROR(VALUE(LEFT(TEXT(J155,"00000000"),4)),""))</f>
        <v/>
      </c>
      <c r="AH155" s="20">
        <f>IFERROR(XLOOKUP(AG155,Vintage_Rates!$A$2:$A$1000,Vintage_Rates!$B$2:$B$1000,""),"")</f>
        <v/>
      </c>
      <c r="AI155" s="20">
        <f>IF(ISNUMBER(Y155),Y155,IFERROR((G155-AH155)*100,""))</f>
        <v/>
      </c>
      <c r="AJ155" s="20">
        <f>IF(ISNUMBER(V155),V155,IFERROR(XLOOKUP(VALUE(F155),PLC_Rates!$A$2:$A$1000,PLC_Rates!$B$2:$B$1000,""),""))</f>
        <v/>
      </c>
      <c r="AK155" s="20">
        <f>IF(ISNUMBER(Z155),Z155,IF(AE155=0,0,MAX(0,MIN(10,((VALUE(LEFT(TEXT(M155,"00000000"),4))-VALUE(LEFT(F155,4)))*12+(VALUE(MID(TEXT(M155,"00000000"),5,2))-VALUE(MID(F155,5,2))))/12))))</f>
        <v/>
      </c>
      <c r="AL155" s="20">
        <f>IFERROR(G155*100-AJ155,"")</f>
        <v/>
      </c>
      <c r="AM155" s="20">
        <f>IFERROR(G155*100-(AJ155+(1+AK155)*12.5),"")</f>
        <v/>
      </c>
      <c r="AN155" s="21">
        <f>IFERROR(MIN(H155/1000000,100),"")</f>
        <v/>
      </c>
      <c r="AO155" s="20">
        <f>IFERROR(INDEX(FHA_Lookup!$B$2:$B$11,MATCH(TRUE,ISNUMBER(SEARCH(FHA_Lookup!$A$2:$A$11,UPPER(SUBSTITUTE(O155," ","")))),0)),"OTHER")</f>
        <v/>
      </c>
      <c r="AP155" s="20">
        <f>IFERROR(INDEX(FHA_Lookup!$C$2:$C$11,MATCH(TRUE,ISNUMBER(SEARCH(FHA_Lookup!$A$2:$A$11,UPPER(SUBSTITUTE(O155," ","")))),0)),"OTHER")</f>
        <v/>
      </c>
      <c r="AQ155" s="20">
        <f>IF(AP155="NC",1,0)</f>
        <v/>
      </c>
      <c r="AR155" s="20">
        <f>IF(UPPER(TRIM(P155))="AFF",1,0)</f>
        <v/>
      </c>
      <c r="AS155" s="20">
        <f>IF(UPPER(TRIM(P155))="BAF",1,0)</f>
        <v/>
      </c>
      <c r="AT155" s="20">
        <f>IF(UPPER(TRIM(P155))="MKT",1,0)</f>
        <v/>
      </c>
      <c r="AU155" s="20">
        <f>IF(AO155="221d4",1,0)</f>
        <v/>
      </c>
      <c r="AV155" s="20">
        <f>IF(AO155="223a7",1,0)</f>
        <v/>
      </c>
      <c r="AW155" s="20">
        <f>IF(AO155="232",1,0)</f>
        <v/>
      </c>
      <c r="AX155" s="20">
        <f>IF(AO155="538",1,0)</f>
        <v/>
      </c>
      <c r="AY155" s="20">
        <f>IF(AO155="241",1,0)</f>
        <v/>
      </c>
      <c r="AZ155" s="20">
        <f>IF(AO155="220",1,0)</f>
        <v/>
      </c>
      <c r="BA155" s="20">
        <f>IF(AO155="OTHER",1,0)</f>
        <v/>
      </c>
      <c r="BB155" s="20">
        <f>IF(UPPER(TRIM(C155))="LM",1,0)</f>
        <v/>
      </c>
      <c r="BC155" s="20">
        <f>IF(UPPER(TRIM(C155))="PN",1,0)</f>
        <v/>
      </c>
      <c r="BD155" s="20">
        <f>IF(UPPER(TRIM(C155))="LS",1,0)</f>
        <v/>
      </c>
      <c r="BE155" s="20">
        <f>IF(UPPER(TRIM(C155))="RX",1,0)</f>
        <v/>
      </c>
      <c r="BF155" s="22">
        <f>IFERROR((Parameters!$C$6*AM155+Parameters!$C$7*MAX(AM155-(-150),0)+Parameters!$C$8*MAX(AM155-(-50),0)+Parameters!$C$9*MAX(AM155-(0),0)+Parameters!$C$10*MAX(AM155-(50),0)+Parameters!$C$11*MAX(AM155-(100),0)+Parameters!$C$12*MAX(AM155-(150),0)+Parameters!$C$13*MAX(AM155-(250),0)),0)</f>
        <v/>
      </c>
      <c r="BG155" s="22">
        <f>IFERROR((Parameters!$C$14*AA155+Parameters!$C$15*MAX(AA155-(12),0)+Parameters!$C$16*MAX(AA155-(36),0)+Parameters!$C$17*MAX(AA155-(60),0)+Parameters!$C$18*MAX(AA155-(84),0)+Parameters!$C$19*MAX(AA155-(120),0)+Parameters!$C$20*MAX(AA155-(180),0)),0)</f>
        <v/>
      </c>
      <c r="BH155" s="22">
        <f>IFERROR((Parameters!$C$21*AK155+Parameters!$C$22*MAX(AK155-(0),0)+Parameters!$C$23*MAX(AK155-(2),0)+Parameters!$C$24*MAX(AK155-(5),0)+Parameters!$C$25*MAX(AK155-(8),0)),0)</f>
        <v/>
      </c>
      <c r="BI155" s="22">
        <f>IFERROR((Parameters!$C$26*AI155+Parameters!$C$27*MAX(AI155-(-100),0)+Parameters!$C$28*MAX(AI155-(-25),0)+Parameters!$C$29*MAX(AI155-(25),0)+Parameters!$C$30*MAX(AI155-(100),0)),0)</f>
        <v/>
      </c>
      <c r="BJ155" s="22">
        <f>IFERROR((Parameters!$C$31*AN155+Parameters!$C$32*MAX(AN155-(2),0)+Parameters!$C$33*MAX(AN155-(10),0)+Parameters!$C$34*MAX(AN155-(25),0)),0)</f>
        <v/>
      </c>
      <c r="BK155" s="22">
        <f>IFERROR((Parameters!$C$35*AB155+Parameters!$C$36*MAX(AB155-(12),0)+Parameters!$C$37*MAX(AB155-(24),0)+Parameters!$C$38*MAX(AB155-(60),0)),0)</f>
        <v/>
      </c>
      <c r="BL155" s="22">
        <f>IFERROR((Parameters!$C$39*AC155+Parameters!$C$40*MAX(AC155-(6),0)+Parameters!$C$41*MAX(AC155-(12),0)+Parameters!$C$42*MAX(AC155-(24),0)),0)</f>
        <v/>
      </c>
      <c r="BM155" s="22">
        <f>IFERROR(Parameters!$C$43*(MAX(AM155,0)*MIN(MAX(AK155,0),10))/100,0)</f>
        <v/>
      </c>
      <c r="BN155" s="22">
        <f>Parameters!$C$44*AE155</f>
        <v/>
      </c>
      <c r="BO155" s="22">
        <f>Parameters!$C$45*AU155 + Parameters!$C$46*AV155 + Parameters!$C$47*AW155 + Parameters!$C$48*AX155 + Parameters!$C$49*AY155 + Parameters!$C$50*AZ155 + Parameters!$C$51*BA155</f>
        <v/>
      </c>
      <c r="BP155" s="22">
        <f>Parameters!$C$52*AQ155</f>
        <v/>
      </c>
      <c r="BQ155" s="22">
        <f>Parameters!$C$53*AR155+Parameters!$C$54*AS155+Parameters!$C$55*AT155</f>
        <v/>
      </c>
      <c r="BR155" s="22">
        <f>Parameters!$C$56*BB155+Parameters!$C$57*BC155+Parameters!$C$58*BD155+Parameters!$C$59*BE155</f>
        <v/>
      </c>
      <c r="BS155" s="23">
        <f>Parameters!$B$2</f>
        <v/>
      </c>
      <c r="BT155" s="23">
        <f>BS155+BF155 + BG155 + BH155 + BI155 + BJ155 + BK155 + BL155 + BM155 + BN155 + BO155 + BP155 + BQ155 + BR155</f>
        <v/>
      </c>
      <c r="BU155" s="24">
        <f>IF(AD155=1,0,1/(1+EXP(-BT155))*Parameters!$B$3)</f>
        <v/>
      </c>
      <c r="BV155" s="25">
        <f>(1-(1-BU155)^12)*100</f>
        <v/>
      </c>
      <c r="BW155" s="25">
        <f>IF(AD155=1,0,(1-(1-1/(1+EXP(-Parameters!$B$2)))^12)*100)</f>
        <v/>
      </c>
      <c r="BX155" s="25">
        <f>IF(AD155=1,0,BV155-(1-(1-(1/(1+EXP(-(BT155-BF155)))*Parameters!$B$3))^12)*100)</f>
        <v/>
      </c>
      <c r="BY155" s="25">
        <f>IF(AD155=1,0,BV155-(1-(1-(1/(1+EXP(-(BT155-BG155)))*Parameters!$B$3))^12)*100)</f>
        <v/>
      </c>
      <c r="BZ155" s="25">
        <f>IF(AD155=1,0,BV155-(1-(1-(1/(1+EXP(-(BT155-BH155)))*Parameters!$B$3))^12)*100)</f>
        <v/>
      </c>
      <c r="CA155" s="25">
        <f>IF(AD155=1,0,BV155-(1-(1-(1/(1+EXP(-(BT155-BI155)))*Parameters!$B$3))^12)*100)</f>
        <v/>
      </c>
      <c r="CB155" s="25">
        <f>IF(AD155=1,0,BV155-(1-(1-(1/(1+EXP(-(BT155-BJ155)))*Parameters!$B$3))^12)*100)</f>
        <v/>
      </c>
      <c r="CC155" s="25">
        <f>IF(AD155=1,0,BV155-(1-(1-(1/(1+EXP(-(BT155-BK155)))*Parameters!$B$3))^12)*100)</f>
        <v/>
      </c>
      <c r="CD155" s="25">
        <f>IF(AD155=1,0,BV155-(1-(1-(1/(1+EXP(-(BT155-BL155)))*Parameters!$B$3))^12)*100)</f>
        <v/>
      </c>
      <c r="CE155" s="25">
        <f>IF(AD155=1,0,BV155-(1-(1-(1/(1+EXP(-(BT155-BM155)))*Parameters!$B$3))^12)*100)</f>
        <v/>
      </c>
      <c r="CF155" s="25">
        <f>IF(AD155=1,0,BV155-(1-(1-(1/(1+EXP(-(BT155-BN155)))*Parameters!$B$3))^12)*100)</f>
        <v/>
      </c>
      <c r="CG155" s="25">
        <f>IF(AD155=1,0,BV155-(1-(1-(1/(1+EXP(-(BT155-BO155)))*Parameters!$B$3))^12)*100)</f>
        <v/>
      </c>
      <c r="CH155" s="25">
        <f>IF(AD155=1,0,BV155-(1-(1-(1/(1+EXP(-(BT155-BP155)))*Parameters!$B$3))^12)*100)</f>
        <v/>
      </c>
      <c r="CI155" s="25">
        <f>IF(AD155=1,0,BV155-(1-(1-(1/(1+EXP(-(BT155-BQ155)))*Parameters!$B$3))^12)*100)</f>
        <v/>
      </c>
      <c r="CJ155" s="25">
        <f>IF(AD155=1,0,BV155-(1-(1-(1/(1+EXP(-(BT155-BR155)))*Parameters!$B$3))^12)*100)</f>
        <v/>
      </c>
    </row>
    <row r="156">
      <c r="A156" s="17" t="inlineStr">
        <is>
          <t>GNR_AFF_2018</t>
        </is>
      </c>
      <c r="B156" s="17" t="inlineStr">
        <is>
          <t>3617XJZW3</t>
        </is>
      </c>
      <c r="C156" s="17" t="inlineStr">
        <is>
          <t>LM</t>
        </is>
      </c>
      <c r="D156" s="17" t="inlineStr">
        <is>
          <t>BERKADIA COMMERCIAL MORTGAGE, LLC</t>
        </is>
      </c>
      <c r="E156" s="17" t="inlineStr">
        <is>
          <t>3617XJZW3_000000005111388</t>
        </is>
      </c>
      <c r="F156" s="17" t="n">
        <v>202603</v>
      </c>
      <c r="G156" s="18" t="n">
        <v>3.3</v>
      </c>
      <c r="H156" s="19" t="n">
        <v>1037497.87</v>
      </c>
      <c r="I156" s="17" t="n">
        <v>420</v>
      </c>
      <c r="J156" s="17" t="n">
        <v>20180831</v>
      </c>
      <c r="K156" s="17" t="n">
        <v>20531101</v>
      </c>
      <c r="L156" s="17" t="n">
        <v>20230301</v>
      </c>
      <c r="M156" s="17" t="n">
        <v>20320301</v>
      </c>
      <c r="N156" s="17" t="n">
        <v>10</v>
      </c>
      <c r="O156" s="17" t="inlineStr">
        <is>
          <t>207/223(f)</t>
        </is>
      </c>
      <c r="P156" s="17" t="inlineStr">
        <is>
          <t>BAF</t>
        </is>
      </c>
      <c r="Q156" s="17" t="inlineStr">
        <is>
          <t>M</t>
        </is>
      </c>
      <c r="R156" s="17" t="n"/>
      <c r="S156" s="17" t="n">
        <v>1</v>
      </c>
      <c r="T156" s="17" t="inlineStr">
        <is>
          <t>VA</t>
        </is>
      </c>
      <c r="U156" s="17" t="n">
        <v>23</v>
      </c>
      <c r="V156" s="17" t="n">
        <v>490.5</v>
      </c>
      <c r="W156" s="17" t="n">
        <v>91</v>
      </c>
      <c r="X156" s="17" t="n">
        <v>2018</v>
      </c>
      <c r="Y156" s="17" t="n">
        <v>-72</v>
      </c>
      <c r="Z156" s="17" t="n">
        <v>7</v>
      </c>
      <c r="AA156" s="20">
        <f>IF(ISNUMBER(W156),W156,IFERROR(MAX(0,(VALUE(LEFT(F156,4))-VALUE(LEFT(TEXT(J156,"00000000"),4)))*12+(VALUE(MID(F156,5,2))-VALUE(MID(TEXT(J156,"00000000"),5,2)))),""))</f>
        <v/>
      </c>
      <c r="AB156" s="20">
        <f>IFERROR((VALUE(LEFT(TEXT(K156,"00000000"),4))-VALUE(LEFT(F156,4)))*12+(VALUE(MID(TEXT(K156,"00000000"),5,2))-VALUE(MID(F156,5,2))),"")</f>
        <v/>
      </c>
      <c r="AC156" s="20">
        <f>IF(OR(L156="",NOT(ISNUMBER(L156))),0,MAX(0,MIN(60,(VALUE(LEFT(F156,4))-VALUE(LEFT(TEXT(L156,"00000000"),4)))*12+(VALUE(MID(F156,5,2))-VALUE(MID(TEXT(L156,"00000000"),5,2))))))</f>
        <v/>
      </c>
      <c r="AD156" s="20">
        <f>IF(OR(L156="",NOT(ISNUMBER(L156))),0,IF(VALUE(F156)&lt;VALUE(LEFT(TEXT(L156,"00000000"),6)),1,0))</f>
        <v/>
      </c>
      <c r="AE156" s="20">
        <f>IF(OR(M156="",NOT(ISNUMBER(M156))),0,IF(VALUE(F156)&lt;VALUE(LEFT(TEXT(M156,"00000000"),6)),1,0))</f>
        <v/>
      </c>
      <c r="AF156" s="20">
        <f>IF(AND(AD156=0,AE156=0),1,0)</f>
        <v/>
      </c>
      <c r="AG156" s="20">
        <f>IF(ISNUMBER(X156),X156,IFERROR(VALUE(LEFT(TEXT(J156,"00000000"),4)),""))</f>
        <v/>
      </c>
      <c r="AH156" s="20">
        <f>IFERROR(XLOOKUP(AG156,Vintage_Rates!$A$2:$A$1000,Vintage_Rates!$B$2:$B$1000,""),"")</f>
        <v/>
      </c>
      <c r="AI156" s="20">
        <f>IF(ISNUMBER(Y156),Y156,IFERROR((G156-AH156)*100,""))</f>
        <v/>
      </c>
      <c r="AJ156" s="20">
        <f>IF(ISNUMBER(V156),V156,IFERROR(XLOOKUP(VALUE(F156),PLC_Rates!$A$2:$A$1000,PLC_Rates!$B$2:$B$1000,""),""))</f>
        <v/>
      </c>
      <c r="AK156" s="20">
        <f>IF(ISNUMBER(Z156),Z156,IF(AE156=0,0,MAX(0,MIN(10,((VALUE(LEFT(TEXT(M156,"00000000"),4))-VALUE(LEFT(F156,4)))*12+(VALUE(MID(TEXT(M156,"00000000"),5,2))-VALUE(MID(F156,5,2))))/12))))</f>
        <v/>
      </c>
      <c r="AL156" s="20">
        <f>IFERROR(G156*100-AJ156,"")</f>
        <v/>
      </c>
      <c r="AM156" s="20">
        <f>IFERROR(G156*100-(AJ156+(1+AK156)*12.5),"")</f>
        <v/>
      </c>
      <c r="AN156" s="21">
        <f>IFERROR(MIN(H156/1000000,100),"")</f>
        <v/>
      </c>
      <c r="AO156" s="20">
        <f>IFERROR(INDEX(FHA_Lookup!$B$2:$B$11,MATCH(TRUE,ISNUMBER(SEARCH(FHA_Lookup!$A$2:$A$11,UPPER(SUBSTITUTE(O156," ","")))),0)),"OTHER")</f>
        <v/>
      </c>
      <c r="AP156" s="20">
        <f>IFERROR(INDEX(FHA_Lookup!$C$2:$C$11,MATCH(TRUE,ISNUMBER(SEARCH(FHA_Lookup!$A$2:$A$11,UPPER(SUBSTITUTE(O156," ","")))),0)),"OTHER")</f>
        <v/>
      </c>
      <c r="AQ156" s="20">
        <f>IF(AP156="NC",1,0)</f>
        <v/>
      </c>
      <c r="AR156" s="20">
        <f>IF(UPPER(TRIM(P156))="AFF",1,0)</f>
        <v/>
      </c>
      <c r="AS156" s="20">
        <f>IF(UPPER(TRIM(P156))="BAF",1,0)</f>
        <v/>
      </c>
      <c r="AT156" s="20">
        <f>IF(UPPER(TRIM(P156))="MKT",1,0)</f>
        <v/>
      </c>
      <c r="AU156" s="20">
        <f>IF(AO156="221d4",1,0)</f>
        <v/>
      </c>
      <c r="AV156" s="20">
        <f>IF(AO156="223a7",1,0)</f>
        <v/>
      </c>
      <c r="AW156" s="20">
        <f>IF(AO156="232",1,0)</f>
        <v/>
      </c>
      <c r="AX156" s="20">
        <f>IF(AO156="538",1,0)</f>
        <v/>
      </c>
      <c r="AY156" s="20">
        <f>IF(AO156="241",1,0)</f>
        <v/>
      </c>
      <c r="AZ156" s="20">
        <f>IF(AO156="220",1,0)</f>
        <v/>
      </c>
      <c r="BA156" s="20">
        <f>IF(AO156="OTHER",1,0)</f>
        <v/>
      </c>
      <c r="BB156" s="20">
        <f>IF(UPPER(TRIM(C156))="LM",1,0)</f>
        <v/>
      </c>
      <c r="BC156" s="20">
        <f>IF(UPPER(TRIM(C156))="PN",1,0)</f>
        <v/>
      </c>
      <c r="BD156" s="20">
        <f>IF(UPPER(TRIM(C156))="LS",1,0)</f>
        <v/>
      </c>
      <c r="BE156" s="20">
        <f>IF(UPPER(TRIM(C156))="RX",1,0)</f>
        <v/>
      </c>
      <c r="BF156" s="22">
        <f>IFERROR((Parameters!$C$6*AM156+Parameters!$C$7*MAX(AM156-(-150),0)+Parameters!$C$8*MAX(AM156-(-50),0)+Parameters!$C$9*MAX(AM156-(0),0)+Parameters!$C$10*MAX(AM156-(50),0)+Parameters!$C$11*MAX(AM156-(100),0)+Parameters!$C$12*MAX(AM156-(150),0)+Parameters!$C$13*MAX(AM156-(250),0)),0)</f>
        <v/>
      </c>
      <c r="BG156" s="22">
        <f>IFERROR((Parameters!$C$14*AA156+Parameters!$C$15*MAX(AA156-(12),0)+Parameters!$C$16*MAX(AA156-(36),0)+Parameters!$C$17*MAX(AA156-(60),0)+Parameters!$C$18*MAX(AA156-(84),0)+Parameters!$C$19*MAX(AA156-(120),0)+Parameters!$C$20*MAX(AA156-(180),0)),0)</f>
        <v/>
      </c>
      <c r="BH156" s="22">
        <f>IFERROR((Parameters!$C$21*AK156+Parameters!$C$22*MAX(AK156-(0),0)+Parameters!$C$23*MAX(AK156-(2),0)+Parameters!$C$24*MAX(AK156-(5),0)+Parameters!$C$25*MAX(AK156-(8),0)),0)</f>
        <v/>
      </c>
      <c r="BI156" s="22">
        <f>IFERROR((Parameters!$C$26*AI156+Parameters!$C$27*MAX(AI156-(-100),0)+Parameters!$C$28*MAX(AI156-(-25),0)+Parameters!$C$29*MAX(AI156-(25),0)+Parameters!$C$30*MAX(AI156-(100),0)),0)</f>
        <v/>
      </c>
      <c r="BJ156" s="22">
        <f>IFERROR((Parameters!$C$31*AN156+Parameters!$C$32*MAX(AN156-(2),0)+Parameters!$C$33*MAX(AN156-(10),0)+Parameters!$C$34*MAX(AN156-(25),0)),0)</f>
        <v/>
      </c>
      <c r="BK156" s="22">
        <f>IFERROR((Parameters!$C$35*AB156+Parameters!$C$36*MAX(AB156-(12),0)+Parameters!$C$37*MAX(AB156-(24),0)+Parameters!$C$38*MAX(AB156-(60),0)),0)</f>
        <v/>
      </c>
      <c r="BL156" s="22">
        <f>IFERROR((Parameters!$C$39*AC156+Parameters!$C$40*MAX(AC156-(6),0)+Parameters!$C$41*MAX(AC156-(12),0)+Parameters!$C$42*MAX(AC156-(24),0)),0)</f>
        <v/>
      </c>
      <c r="BM156" s="22">
        <f>IFERROR(Parameters!$C$43*(MAX(AM156,0)*MIN(MAX(AK156,0),10))/100,0)</f>
        <v/>
      </c>
      <c r="BN156" s="22">
        <f>Parameters!$C$44*AE156</f>
        <v/>
      </c>
      <c r="BO156" s="22">
        <f>Parameters!$C$45*AU156 + Parameters!$C$46*AV156 + Parameters!$C$47*AW156 + Parameters!$C$48*AX156 + Parameters!$C$49*AY156 + Parameters!$C$50*AZ156 + Parameters!$C$51*BA156</f>
        <v/>
      </c>
      <c r="BP156" s="22">
        <f>Parameters!$C$52*AQ156</f>
        <v/>
      </c>
      <c r="BQ156" s="22">
        <f>Parameters!$C$53*AR156+Parameters!$C$54*AS156+Parameters!$C$55*AT156</f>
        <v/>
      </c>
      <c r="BR156" s="22">
        <f>Parameters!$C$56*BB156+Parameters!$C$57*BC156+Parameters!$C$58*BD156+Parameters!$C$59*BE156</f>
        <v/>
      </c>
      <c r="BS156" s="23">
        <f>Parameters!$B$2</f>
        <v/>
      </c>
      <c r="BT156" s="23">
        <f>BS156+BF156 + BG156 + BH156 + BI156 + BJ156 + BK156 + BL156 + BM156 + BN156 + BO156 + BP156 + BQ156 + BR156</f>
        <v/>
      </c>
      <c r="BU156" s="24">
        <f>IF(AD156=1,0,1/(1+EXP(-BT156))*Parameters!$B$3)</f>
        <v/>
      </c>
      <c r="BV156" s="25">
        <f>(1-(1-BU156)^12)*100</f>
        <v/>
      </c>
      <c r="BW156" s="25">
        <f>IF(AD156=1,0,(1-(1-1/(1+EXP(-Parameters!$B$2)))^12)*100)</f>
        <v/>
      </c>
      <c r="BX156" s="25">
        <f>IF(AD156=1,0,BV156-(1-(1-(1/(1+EXP(-(BT156-BF156)))*Parameters!$B$3))^12)*100)</f>
        <v/>
      </c>
      <c r="BY156" s="25">
        <f>IF(AD156=1,0,BV156-(1-(1-(1/(1+EXP(-(BT156-BG156)))*Parameters!$B$3))^12)*100)</f>
        <v/>
      </c>
      <c r="BZ156" s="25">
        <f>IF(AD156=1,0,BV156-(1-(1-(1/(1+EXP(-(BT156-BH156)))*Parameters!$B$3))^12)*100)</f>
        <v/>
      </c>
      <c r="CA156" s="25">
        <f>IF(AD156=1,0,BV156-(1-(1-(1/(1+EXP(-(BT156-BI156)))*Parameters!$B$3))^12)*100)</f>
        <v/>
      </c>
      <c r="CB156" s="25">
        <f>IF(AD156=1,0,BV156-(1-(1-(1/(1+EXP(-(BT156-BJ156)))*Parameters!$B$3))^12)*100)</f>
        <v/>
      </c>
      <c r="CC156" s="25">
        <f>IF(AD156=1,0,BV156-(1-(1-(1/(1+EXP(-(BT156-BK156)))*Parameters!$B$3))^12)*100)</f>
        <v/>
      </c>
      <c r="CD156" s="25">
        <f>IF(AD156=1,0,BV156-(1-(1-(1/(1+EXP(-(BT156-BL156)))*Parameters!$B$3))^12)*100)</f>
        <v/>
      </c>
      <c r="CE156" s="25">
        <f>IF(AD156=1,0,BV156-(1-(1-(1/(1+EXP(-(BT156-BM156)))*Parameters!$B$3))^12)*100)</f>
        <v/>
      </c>
      <c r="CF156" s="25">
        <f>IF(AD156=1,0,BV156-(1-(1-(1/(1+EXP(-(BT156-BN156)))*Parameters!$B$3))^12)*100)</f>
        <v/>
      </c>
      <c r="CG156" s="25">
        <f>IF(AD156=1,0,BV156-(1-(1-(1/(1+EXP(-(BT156-BO156)))*Parameters!$B$3))^12)*100)</f>
        <v/>
      </c>
      <c r="CH156" s="25">
        <f>IF(AD156=1,0,BV156-(1-(1-(1/(1+EXP(-(BT156-BP156)))*Parameters!$B$3))^12)*100)</f>
        <v/>
      </c>
      <c r="CI156" s="25">
        <f>IF(AD156=1,0,BV156-(1-(1-(1/(1+EXP(-(BT156-BQ156)))*Parameters!$B$3))^12)*100)</f>
        <v/>
      </c>
      <c r="CJ156" s="25">
        <f>IF(AD156=1,0,BV156-(1-(1-(1/(1+EXP(-(BT156-BR156)))*Parameters!$B$3))^12)*100)</f>
        <v/>
      </c>
    </row>
    <row r="157">
      <c r="A157" s="17" t="inlineStr">
        <is>
          <t>GNR_AFF_2018</t>
        </is>
      </c>
      <c r="B157" s="17" t="inlineStr">
        <is>
          <t>3617Q5YN2</t>
        </is>
      </c>
      <c r="C157" s="17" t="inlineStr">
        <is>
          <t>PN</t>
        </is>
      </c>
      <c r="D157" s="17" t="inlineStr">
        <is>
          <t>LUMENT REAL ESTATE CAPITAL,LLC</t>
        </is>
      </c>
      <c r="E157" s="17" t="inlineStr">
        <is>
          <t>3617Q5YN2_000000002335369</t>
        </is>
      </c>
      <c r="F157" s="17" t="n">
        <v>202603</v>
      </c>
      <c r="G157" s="18" t="n">
        <v>3.22</v>
      </c>
      <c r="H157" s="19" t="n">
        <v>19000484.2</v>
      </c>
      <c r="I157" s="17" t="n">
        <v>500</v>
      </c>
      <c r="J157" s="17" t="n">
        <v>20200901</v>
      </c>
      <c r="K157" s="17" t="n">
        <v>20620601</v>
      </c>
      <c r="L157" s="17" t="n"/>
      <c r="M157" s="17" t="n">
        <v>20320701</v>
      </c>
      <c r="N157" s="17" t="n">
        <v>10</v>
      </c>
      <c r="O157" s="17" t="inlineStr">
        <is>
          <t>221(D)(4)</t>
        </is>
      </c>
      <c r="P157" s="17" t="inlineStr">
        <is>
          <t>AFF</t>
        </is>
      </c>
      <c r="Q157" s="17" t="n"/>
      <c r="R157" s="17" t="n"/>
      <c r="S157" s="17" t="n"/>
      <c r="T157" s="17" t="inlineStr">
        <is>
          <t>MA</t>
        </is>
      </c>
      <c r="U157" s="17" t="n">
        <v>152</v>
      </c>
      <c r="V157" s="17" t="n">
        <v>490.5</v>
      </c>
      <c r="W157" s="17" t="n">
        <v>66</v>
      </c>
      <c r="X157" s="17" t="n">
        <v>2020</v>
      </c>
      <c r="Y157" s="17" t="n">
        <v>37</v>
      </c>
      <c r="Z157" s="17" t="n">
        <v>7</v>
      </c>
      <c r="AA157" s="20">
        <f>IF(ISNUMBER(W157),W157,IFERROR(MAX(0,(VALUE(LEFT(F157,4))-VALUE(LEFT(TEXT(J157,"00000000"),4)))*12+(VALUE(MID(F157,5,2))-VALUE(MID(TEXT(J157,"00000000"),5,2)))),""))</f>
        <v/>
      </c>
      <c r="AB157" s="20">
        <f>IFERROR((VALUE(LEFT(TEXT(K157,"00000000"),4))-VALUE(LEFT(F157,4)))*12+(VALUE(MID(TEXT(K157,"00000000"),5,2))-VALUE(MID(F157,5,2))),"")</f>
        <v/>
      </c>
      <c r="AC157" s="20">
        <f>IF(OR(L157="",NOT(ISNUMBER(L157))),0,MAX(0,MIN(60,(VALUE(LEFT(F157,4))-VALUE(LEFT(TEXT(L157,"00000000"),4)))*12+(VALUE(MID(F157,5,2))-VALUE(MID(TEXT(L157,"00000000"),5,2))))))</f>
        <v/>
      </c>
      <c r="AD157" s="20">
        <f>IF(OR(L157="",NOT(ISNUMBER(L157))),0,IF(VALUE(F157)&lt;VALUE(LEFT(TEXT(L157,"00000000"),6)),1,0))</f>
        <v/>
      </c>
      <c r="AE157" s="20">
        <f>IF(OR(M157="",NOT(ISNUMBER(M157))),0,IF(VALUE(F157)&lt;VALUE(LEFT(TEXT(M157,"00000000"),6)),1,0))</f>
        <v/>
      </c>
      <c r="AF157" s="20">
        <f>IF(AND(AD157=0,AE157=0),1,0)</f>
        <v/>
      </c>
      <c r="AG157" s="20">
        <f>IF(ISNUMBER(X157),X157,IFERROR(VALUE(LEFT(TEXT(J157,"00000000"),4)),""))</f>
        <v/>
      </c>
      <c r="AH157" s="20">
        <f>IFERROR(XLOOKUP(AG157,Vintage_Rates!$A$2:$A$1000,Vintage_Rates!$B$2:$B$1000,""),"")</f>
        <v/>
      </c>
      <c r="AI157" s="20">
        <f>IF(ISNUMBER(Y157),Y157,IFERROR((G157-AH157)*100,""))</f>
        <v/>
      </c>
      <c r="AJ157" s="20">
        <f>IF(ISNUMBER(V157),V157,IFERROR(XLOOKUP(VALUE(F157),PLC_Rates!$A$2:$A$1000,PLC_Rates!$B$2:$B$1000,""),""))</f>
        <v/>
      </c>
      <c r="AK157" s="20">
        <f>IF(ISNUMBER(Z157),Z157,IF(AE157=0,0,MAX(0,MIN(10,((VALUE(LEFT(TEXT(M157,"00000000"),4))-VALUE(LEFT(F157,4)))*12+(VALUE(MID(TEXT(M157,"00000000"),5,2))-VALUE(MID(F157,5,2))))/12))))</f>
        <v/>
      </c>
      <c r="AL157" s="20">
        <f>IFERROR(G157*100-AJ157,"")</f>
        <v/>
      </c>
      <c r="AM157" s="20">
        <f>IFERROR(G157*100-(AJ157+(1+AK157)*12.5),"")</f>
        <v/>
      </c>
      <c r="AN157" s="21">
        <f>IFERROR(MIN(H157/1000000,100),"")</f>
        <v/>
      </c>
      <c r="AO157" s="20">
        <f>IFERROR(INDEX(FHA_Lookup!$B$2:$B$11,MATCH(TRUE,ISNUMBER(SEARCH(FHA_Lookup!$A$2:$A$11,UPPER(SUBSTITUTE(O157," ","")))),0)),"OTHER")</f>
        <v/>
      </c>
      <c r="AP157" s="20">
        <f>IFERROR(INDEX(FHA_Lookup!$C$2:$C$11,MATCH(TRUE,ISNUMBER(SEARCH(FHA_Lookup!$A$2:$A$11,UPPER(SUBSTITUTE(O157," ","")))),0)),"OTHER")</f>
        <v/>
      </c>
      <c r="AQ157" s="20">
        <f>IF(AP157="NC",1,0)</f>
        <v/>
      </c>
      <c r="AR157" s="20">
        <f>IF(UPPER(TRIM(P157))="AFF",1,0)</f>
        <v/>
      </c>
      <c r="AS157" s="20">
        <f>IF(UPPER(TRIM(P157))="BAF",1,0)</f>
        <v/>
      </c>
      <c r="AT157" s="20">
        <f>IF(UPPER(TRIM(P157))="MKT",1,0)</f>
        <v/>
      </c>
      <c r="AU157" s="20">
        <f>IF(AO157="221d4",1,0)</f>
        <v/>
      </c>
      <c r="AV157" s="20">
        <f>IF(AO157="223a7",1,0)</f>
        <v/>
      </c>
      <c r="AW157" s="20">
        <f>IF(AO157="232",1,0)</f>
        <v/>
      </c>
      <c r="AX157" s="20">
        <f>IF(AO157="538",1,0)</f>
        <v/>
      </c>
      <c r="AY157" s="20">
        <f>IF(AO157="241",1,0)</f>
        <v/>
      </c>
      <c r="AZ157" s="20">
        <f>IF(AO157="220",1,0)</f>
        <v/>
      </c>
      <c r="BA157" s="20">
        <f>IF(AO157="OTHER",1,0)</f>
        <v/>
      </c>
      <c r="BB157" s="20">
        <f>IF(UPPER(TRIM(C157))="LM",1,0)</f>
        <v/>
      </c>
      <c r="BC157" s="20">
        <f>IF(UPPER(TRIM(C157))="PN",1,0)</f>
        <v/>
      </c>
      <c r="BD157" s="20">
        <f>IF(UPPER(TRIM(C157))="LS",1,0)</f>
        <v/>
      </c>
      <c r="BE157" s="20">
        <f>IF(UPPER(TRIM(C157))="RX",1,0)</f>
        <v/>
      </c>
      <c r="BF157" s="22">
        <f>IFERROR((Parameters!$C$6*AM157+Parameters!$C$7*MAX(AM157-(-150),0)+Parameters!$C$8*MAX(AM157-(-50),0)+Parameters!$C$9*MAX(AM157-(0),0)+Parameters!$C$10*MAX(AM157-(50),0)+Parameters!$C$11*MAX(AM157-(100),0)+Parameters!$C$12*MAX(AM157-(150),0)+Parameters!$C$13*MAX(AM157-(250),0)),0)</f>
        <v/>
      </c>
      <c r="BG157" s="22">
        <f>IFERROR((Parameters!$C$14*AA157+Parameters!$C$15*MAX(AA157-(12),0)+Parameters!$C$16*MAX(AA157-(36),0)+Parameters!$C$17*MAX(AA157-(60),0)+Parameters!$C$18*MAX(AA157-(84),0)+Parameters!$C$19*MAX(AA157-(120),0)+Parameters!$C$20*MAX(AA157-(180),0)),0)</f>
        <v/>
      </c>
      <c r="BH157" s="22">
        <f>IFERROR((Parameters!$C$21*AK157+Parameters!$C$22*MAX(AK157-(0),0)+Parameters!$C$23*MAX(AK157-(2),0)+Parameters!$C$24*MAX(AK157-(5),0)+Parameters!$C$25*MAX(AK157-(8),0)),0)</f>
        <v/>
      </c>
      <c r="BI157" s="22">
        <f>IFERROR((Parameters!$C$26*AI157+Parameters!$C$27*MAX(AI157-(-100),0)+Parameters!$C$28*MAX(AI157-(-25),0)+Parameters!$C$29*MAX(AI157-(25),0)+Parameters!$C$30*MAX(AI157-(100),0)),0)</f>
        <v/>
      </c>
      <c r="BJ157" s="22">
        <f>IFERROR((Parameters!$C$31*AN157+Parameters!$C$32*MAX(AN157-(2),0)+Parameters!$C$33*MAX(AN157-(10),0)+Parameters!$C$34*MAX(AN157-(25),0)),0)</f>
        <v/>
      </c>
      <c r="BK157" s="22">
        <f>IFERROR((Parameters!$C$35*AB157+Parameters!$C$36*MAX(AB157-(12),0)+Parameters!$C$37*MAX(AB157-(24),0)+Parameters!$C$38*MAX(AB157-(60),0)),0)</f>
        <v/>
      </c>
      <c r="BL157" s="22">
        <f>IFERROR((Parameters!$C$39*AC157+Parameters!$C$40*MAX(AC157-(6),0)+Parameters!$C$41*MAX(AC157-(12),0)+Parameters!$C$42*MAX(AC157-(24),0)),0)</f>
        <v/>
      </c>
      <c r="BM157" s="22">
        <f>IFERROR(Parameters!$C$43*(MAX(AM157,0)*MIN(MAX(AK157,0),10))/100,0)</f>
        <v/>
      </c>
      <c r="BN157" s="22">
        <f>Parameters!$C$44*AE157</f>
        <v/>
      </c>
      <c r="BO157" s="22">
        <f>Parameters!$C$45*AU157 + Parameters!$C$46*AV157 + Parameters!$C$47*AW157 + Parameters!$C$48*AX157 + Parameters!$C$49*AY157 + Parameters!$C$50*AZ157 + Parameters!$C$51*BA157</f>
        <v/>
      </c>
      <c r="BP157" s="22">
        <f>Parameters!$C$52*AQ157</f>
        <v/>
      </c>
      <c r="BQ157" s="22">
        <f>Parameters!$C$53*AR157+Parameters!$C$54*AS157+Parameters!$C$55*AT157</f>
        <v/>
      </c>
      <c r="BR157" s="22">
        <f>Parameters!$C$56*BB157+Parameters!$C$57*BC157+Parameters!$C$58*BD157+Parameters!$C$59*BE157</f>
        <v/>
      </c>
      <c r="BS157" s="23">
        <f>Parameters!$B$2</f>
        <v/>
      </c>
      <c r="BT157" s="23">
        <f>BS157+BF157 + BG157 + BH157 + BI157 + BJ157 + BK157 + BL157 + BM157 + BN157 + BO157 + BP157 + BQ157 + BR157</f>
        <v/>
      </c>
      <c r="BU157" s="24">
        <f>IF(AD157=1,0,1/(1+EXP(-BT157))*Parameters!$B$3)</f>
        <v/>
      </c>
      <c r="BV157" s="25">
        <f>(1-(1-BU157)^12)*100</f>
        <v/>
      </c>
      <c r="BW157" s="25">
        <f>IF(AD157=1,0,(1-(1-1/(1+EXP(-Parameters!$B$2)))^12)*100)</f>
        <v/>
      </c>
      <c r="BX157" s="25">
        <f>IF(AD157=1,0,BV157-(1-(1-(1/(1+EXP(-(BT157-BF157)))*Parameters!$B$3))^12)*100)</f>
        <v/>
      </c>
      <c r="BY157" s="25">
        <f>IF(AD157=1,0,BV157-(1-(1-(1/(1+EXP(-(BT157-BG157)))*Parameters!$B$3))^12)*100)</f>
        <v/>
      </c>
      <c r="BZ157" s="25">
        <f>IF(AD157=1,0,BV157-(1-(1-(1/(1+EXP(-(BT157-BH157)))*Parameters!$B$3))^12)*100)</f>
        <v/>
      </c>
      <c r="CA157" s="25">
        <f>IF(AD157=1,0,BV157-(1-(1-(1/(1+EXP(-(BT157-BI157)))*Parameters!$B$3))^12)*100)</f>
        <v/>
      </c>
      <c r="CB157" s="25">
        <f>IF(AD157=1,0,BV157-(1-(1-(1/(1+EXP(-(BT157-BJ157)))*Parameters!$B$3))^12)*100)</f>
        <v/>
      </c>
      <c r="CC157" s="25">
        <f>IF(AD157=1,0,BV157-(1-(1-(1/(1+EXP(-(BT157-BK157)))*Parameters!$B$3))^12)*100)</f>
        <v/>
      </c>
      <c r="CD157" s="25">
        <f>IF(AD157=1,0,BV157-(1-(1-(1/(1+EXP(-(BT157-BL157)))*Parameters!$B$3))^12)*100)</f>
        <v/>
      </c>
      <c r="CE157" s="25">
        <f>IF(AD157=1,0,BV157-(1-(1-(1/(1+EXP(-(BT157-BM157)))*Parameters!$B$3))^12)*100)</f>
        <v/>
      </c>
      <c r="CF157" s="25">
        <f>IF(AD157=1,0,BV157-(1-(1-(1/(1+EXP(-(BT157-BN157)))*Parameters!$B$3))^12)*100)</f>
        <v/>
      </c>
      <c r="CG157" s="25">
        <f>IF(AD157=1,0,BV157-(1-(1-(1/(1+EXP(-(BT157-BO157)))*Parameters!$B$3))^12)*100)</f>
        <v/>
      </c>
      <c r="CH157" s="25">
        <f>IF(AD157=1,0,BV157-(1-(1-(1/(1+EXP(-(BT157-BP157)))*Parameters!$B$3))^12)*100)</f>
        <v/>
      </c>
      <c r="CI157" s="25">
        <f>IF(AD157=1,0,BV157-(1-(1-(1/(1+EXP(-(BT157-BQ157)))*Parameters!$B$3))^12)*100)</f>
        <v/>
      </c>
      <c r="CJ157" s="25">
        <f>IF(AD157=1,0,BV157-(1-(1-(1/(1+EXP(-(BT157-BR157)))*Parameters!$B$3))^12)*100)</f>
        <v/>
      </c>
    </row>
    <row r="158">
      <c r="A158" s="17" t="inlineStr">
        <is>
          <t>GNR_AFF_2018</t>
        </is>
      </c>
      <c r="B158" s="17" t="inlineStr">
        <is>
          <t>3617QANV5</t>
        </is>
      </c>
      <c r="C158" s="17" t="inlineStr">
        <is>
          <t>PN</t>
        </is>
      </c>
      <c r="D158" s="17" t="inlineStr">
        <is>
          <t>WALKER &amp; DUNLOP, LLC</t>
        </is>
      </c>
      <c r="E158" s="17" t="inlineStr">
        <is>
          <t>3617QANV5_000000012111285</t>
        </is>
      </c>
      <c r="F158" s="17" t="n">
        <v>202603</v>
      </c>
      <c r="G158" s="18" t="n">
        <v>2.37</v>
      </c>
      <c r="H158" s="19" t="n">
        <v>6743217.32</v>
      </c>
      <c r="I158" s="17" t="n">
        <v>420</v>
      </c>
      <c r="J158" s="17" t="n">
        <v>20201105</v>
      </c>
      <c r="K158" s="17" t="n">
        <v>20551201</v>
      </c>
      <c r="L158" s="17" t="n"/>
      <c r="M158" s="17" t="n">
        <v>20310101</v>
      </c>
      <c r="N158" s="17" t="n">
        <v>10</v>
      </c>
      <c r="O158" s="17" t="inlineStr">
        <is>
          <t>223(A)(7)/207/223(F)</t>
        </is>
      </c>
      <c r="P158" s="17" t="inlineStr">
        <is>
          <t>BAF</t>
        </is>
      </c>
      <c r="Q158" s="17" t="n"/>
      <c r="R158" s="17" t="n"/>
      <c r="S158" s="17" t="n"/>
      <c r="T158" s="17" t="inlineStr">
        <is>
          <t>CA</t>
        </is>
      </c>
      <c r="U158" s="17" t="n">
        <v>95</v>
      </c>
      <c r="V158" s="17" t="n">
        <v>490.5</v>
      </c>
      <c r="W158" s="17" t="n">
        <v>64</v>
      </c>
      <c r="X158" s="17" t="n">
        <v>2020</v>
      </c>
      <c r="Y158" s="17" t="n">
        <v>-48</v>
      </c>
      <c r="Z158" s="17" t="n">
        <v>5</v>
      </c>
      <c r="AA158" s="20">
        <f>IF(ISNUMBER(W158),W158,IFERROR(MAX(0,(VALUE(LEFT(F158,4))-VALUE(LEFT(TEXT(J158,"00000000"),4)))*12+(VALUE(MID(F158,5,2))-VALUE(MID(TEXT(J158,"00000000"),5,2)))),""))</f>
        <v/>
      </c>
      <c r="AB158" s="20">
        <f>IFERROR((VALUE(LEFT(TEXT(K158,"00000000"),4))-VALUE(LEFT(F158,4)))*12+(VALUE(MID(TEXT(K158,"00000000"),5,2))-VALUE(MID(F158,5,2))),"")</f>
        <v/>
      </c>
      <c r="AC158" s="20">
        <f>IF(OR(L158="",NOT(ISNUMBER(L158))),0,MAX(0,MIN(60,(VALUE(LEFT(F158,4))-VALUE(LEFT(TEXT(L158,"00000000"),4)))*12+(VALUE(MID(F158,5,2))-VALUE(MID(TEXT(L158,"00000000"),5,2))))))</f>
        <v/>
      </c>
      <c r="AD158" s="20">
        <f>IF(OR(L158="",NOT(ISNUMBER(L158))),0,IF(VALUE(F158)&lt;VALUE(LEFT(TEXT(L158,"00000000"),6)),1,0))</f>
        <v/>
      </c>
      <c r="AE158" s="20">
        <f>IF(OR(M158="",NOT(ISNUMBER(M158))),0,IF(VALUE(F158)&lt;VALUE(LEFT(TEXT(M158,"00000000"),6)),1,0))</f>
        <v/>
      </c>
      <c r="AF158" s="20">
        <f>IF(AND(AD158=0,AE158=0),1,0)</f>
        <v/>
      </c>
      <c r="AG158" s="20">
        <f>IF(ISNUMBER(X158),X158,IFERROR(VALUE(LEFT(TEXT(J158,"00000000"),4)),""))</f>
        <v/>
      </c>
      <c r="AH158" s="20">
        <f>IFERROR(XLOOKUP(AG158,Vintage_Rates!$A$2:$A$1000,Vintage_Rates!$B$2:$B$1000,""),"")</f>
        <v/>
      </c>
      <c r="AI158" s="20">
        <f>IF(ISNUMBER(Y158),Y158,IFERROR((G158-AH158)*100,""))</f>
        <v/>
      </c>
      <c r="AJ158" s="20">
        <f>IF(ISNUMBER(V158),V158,IFERROR(XLOOKUP(VALUE(F158),PLC_Rates!$A$2:$A$1000,PLC_Rates!$B$2:$B$1000,""),""))</f>
        <v/>
      </c>
      <c r="AK158" s="20">
        <f>IF(ISNUMBER(Z158),Z158,IF(AE158=0,0,MAX(0,MIN(10,((VALUE(LEFT(TEXT(M158,"00000000"),4))-VALUE(LEFT(F158,4)))*12+(VALUE(MID(TEXT(M158,"00000000"),5,2))-VALUE(MID(F158,5,2))))/12))))</f>
        <v/>
      </c>
      <c r="AL158" s="20">
        <f>IFERROR(G158*100-AJ158,"")</f>
        <v/>
      </c>
      <c r="AM158" s="20">
        <f>IFERROR(G158*100-(AJ158+(1+AK158)*12.5),"")</f>
        <v/>
      </c>
      <c r="AN158" s="21">
        <f>IFERROR(MIN(H158/1000000,100),"")</f>
        <v/>
      </c>
      <c r="AO158" s="20">
        <f>IFERROR(INDEX(FHA_Lookup!$B$2:$B$11,MATCH(TRUE,ISNUMBER(SEARCH(FHA_Lookup!$A$2:$A$11,UPPER(SUBSTITUTE(O158," ","")))),0)),"OTHER")</f>
        <v/>
      </c>
      <c r="AP158" s="20">
        <f>IFERROR(INDEX(FHA_Lookup!$C$2:$C$11,MATCH(TRUE,ISNUMBER(SEARCH(FHA_Lookup!$A$2:$A$11,UPPER(SUBSTITUTE(O158," ","")))),0)),"OTHER")</f>
        <v/>
      </c>
      <c r="AQ158" s="20">
        <f>IF(AP158="NC",1,0)</f>
        <v/>
      </c>
      <c r="AR158" s="20">
        <f>IF(UPPER(TRIM(P158))="AFF",1,0)</f>
        <v/>
      </c>
      <c r="AS158" s="20">
        <f>IF(UPPER(TRIM(P158))="BAF",1,0)</f>
        <v/>
      </c>
      <c r="AT158" s="20">
        <f>IF(UPPER(TRIM(P158))="MKT",1,0)</f>
        <v/>
      </c>
      <c r="AU158" s="20">
        <f>IF(AO158="221d4",1,0)</f>
        <v/>
      </c>
      <c r="AV158" s="20">
        <f>IF(AO158="223a7",1,0)</f>
        <v/>
      </c>
      <c r="AW158" s="20">
        <f>IF(AO158="232",1,0)</f>
        <v/>
      </c>
      <c r="AX158" s="20">
        <f>IF(AO158="538",1,0)</f>
        <v/>
      </c>
      <c r="AY158" s="20">
        <f>IF(AO158="241",1,0)</f>
        <v/>
      </c>
      <c r="AZ158" s="20">
        <f>IF(AO158="220",1,0)</f>
        <v/>
      </c>
      <c r="BA158" s="20">
        <f>IF(AO158="OTHER",1,0)</f>
        <v/>
      </c>
      <c r="BB158" s="20">
        <f>IF(UPPER(TRIM(C158))="LM",1,0)</f>
        <v/>
      </c>
      <c r="BC158" s="20">
        <f>IF(UPPER(TRIM(C158))="PN",1,0)</f>
        <v/>
      </c>
      <c r="BD158" s="20">
        <f>IF(UPPER(TRIM(C158))="LS",1,0)</f>
        <v/>
      </c>
      <c r="BE158" s="20">
        <f>IF(UPPER(TRIM(C158))="RX",1,0)</f>
        <v/>
      </c>
      <c r="BF158" s="22">
        <f>IFERROR((Parameters!$C$6*AM158+Parameters!$C$7*MAX(AM158-(-150),0)+Parameters!$C$8*MAX(AM158-(-50),0)+Parameters!$C$9*MAX(AM158-(0),0)+Parameters!$C$10*MAX(AM158-(50),0)+Parameters!$C$11*MAX(AM158-(100),0)+Parameters!$C$12*MAX(AM158-(150),0)+Parameters!$C$13*MAX(AM158-(250),0)),0)</f>
        <v/>
      </c>
      <c r="BG158" s="22">
        <f>IFERROR((Parameters!$C$14*AA158+Parameters!$C$15*MAX(AA158-(12),0)+Parameters!$C$16*MAX(AA158-(36),0)+Parameters!$C$17*MAX(AA158-(60),0)+Parameters!$C$18*MAX(AA158-(84),0)+Parameters!$C$19*MAX(AA158-(120),0)+Parameters!$C$20*MAX(AA158-(180),0)),0)</f>
        <v/>
      </c>
      <c r="BH158" s="22">
        <f>IFERROR((Parameters!$C$21*AK158+Parameters!$C$22*MAX(AK158-(0),0)+Parameters!$C$23*MAX(AK158-(2),0)+Parameters!$C$24*MAX(AK158-(5),0)+Parameters!$C$25*MAX(AK158-(8),0)),0)</f>
        <v/>
      </c>
      <c r="BI158" s="22">
        <f>IFERROR((Parameters!$C$26*AI158+Parameters!$C$27*MAX(AI158-(-100),0)+Parameters!$C$28*MAX(AI158-(-25),0)+Parameters!$C$29*MAX(AI158-(25),0)+Parameters!$C$30*MAX(AI158-(100),0)),0)</f>
        <v/>
      </c>
      <c r="BJ158" s="22">
        <f>IFERROR((Parameters!$C$31*AN158+Parameters!$C$32*MAX(AN158-(2),0)+Parameters!$C$33*MAX(AN158-(10),0)+Parameters!$C$34*MAX(AN158-(25),0)),0)</f>
        <v/>
      </c>
      <c r="BK158" s="22">
        <f>IFERROR((Parameters!$C$35*AB158+Parameters!$C$36*MAX(AB158-(12),0)+Parameters!$C$37*MAX(AB158-(24),0)+Parameters!$C$38*MAX(AB158-(60),0)),0)</f>
        <v/>
      </c>
      <c r="BL158" s="22">
        <f>IFERROR((Parameters!$C$39*AC158+Parameters!$C$40*MAX(AC158-(6),0)+Parameters!$C$41*MAX(AC158-(12),0)+Parameters!$C$42*MAX(AC158-(24),0)),0)</f>
        <v/>
      </c>
      <c r="BM158" s="22">
        <f>IFERROR(Parameters!$C$43*(MAX(AM158,0)*MIN(MAX(AK158,0),10))/100,0)</f>
        <v/>
      </c>
      <c r="BN158" s="22">
        <f>Parameters!$C$44*AE158</f>
        <v/>
      </c>
      <c r="BO158" s="22">
        <f>Parameters!$C$45*AU158 + Parameters!$C$46*AV158 + Parameters!$C$47*AW158 + Parameters!$C$48*AX158 + Parameters!$C$49*AY158 + Parameters!$C$50*AZ158 + Parameters!$C$51*BA158</f>
        <v/>
      </c>
      <c r="BP158" s="22">
        <f>Parameters!$C$52*AQ158</f>
        <v/>
      </c>
      <c r="BQ158" s="22">
        <f>Parameters!$C$53*AR158+Parameters!$C$54*AS158+Parameters!$C$55*AT158</f>
        <v/>
      </c>
      <c r="BR158" s="22">
        <f>Parameters!$C$56*BB158+Parameters!$C$57*BC158+Parameters!$C$58*BD158+Parameters!$C$59*BE158</f>
        <v/>
      </c>
      <c r="BS158" s="23">
        <f>Parameters!$B$2</f>
        <v/>
      </c>
      <c r="BT158" s="23">
        <f>BS158+BF158 + BG158 + BH158 + BI158 + BJ158 + BK158 + BL158 + BM158 + BN158 + BO158 + BP158 + BQ158 + BR158</f>
        <v/>
      </c>
      <c r="BU158" s="24">
        <f>IF(AD158=1,0,1/(1+EXP(-BT158))*Parameters!$B$3)</f>
        <v/>
      </c>
      <c r="BV158" s="25">
        <f>(1-(1-BU158)^12)*100</f>
        <v/>
      </c>
      <c r="BW158" s="25">
        <f>IF(AD158=1,0,(1-(1-1/(1+EXP(-Parameters!$B$2)))^12)*100)</f>
        <v/>
      </c>
      <c r="BX158" s="25">
        <f>IF(AD158=1,0,BV158-(1-(1-(1/(1+EXP(-(BT158-BF158)))*Parameters!$B$3))^12)*100)</f>
        <v/>
      </c>
      <c r="BY158" s="25">
        <f>IF(AD158=1,0,BV158-(1-(1-(1/(1+EXP(-(BT158-BG158)))*Parameters!$B$3))^12)*100)</f>
        <v/>
      </c>
      <c r="BZ158" s="25">
        <f>IF(AD158=1,0,BV158-(1-(1-(1/(1+EXP(-(BT158-BH158)))*Parameters!$B$3))^12)*100)</f>
        <v/>
      </c>
      <c r="CA158" s="25">
        <f>IF(AD158=1,0,BV158-(1-(1-(1/(1+EXP(-(BT158-BI158)))*Parameters!$B$3))^12)*100)</f>
        <v/>
      </c>
      <c r="CB158" s="25">
        <f>IF(AD158=1,0,BV158-(1-(1-(1/(1+EXP(-(BT158-BJ158)))*Parameters!$B$3))^12)*100)</f>
        <v/>
      </c>
      <c r="CC158" s="25">
        <f>IF(AD158=1,0,BV158-(1-(1-(1/(1+EXP(-(BT158-BK158)))*Parameters!$B$3))^12)*100)</f>
        <v/>
      </c>
      <c r="CD158" s="25">
        <f>IF(AD158=1,0,BV158-(1-(1-(1/(1+EXP(-(BT158-BL158)))*Parameters!$B$3))^12)*100)</f>
        <v/>
      </c>
      <c r="CE158" s="25">
        <f>IF(AD158=1,0,BV158-(1-(1-(1/(1+EXP(-(BT158-BM158)))*Parameters!$B$3))^12)*100)</f>
        <v/>
      </c>
      <c r="CF158" s="25">
        <f>IF(AD158=1,0,BV158-(1-(1-(1/(1+EXP(-(BT158-BN158)))*Parameters!$B$3))^12)*100)</f>
        <v/>
      </c>
      <c r="CG158" s="25">
        <f>IF(AD158=1,0,BV158-(1-(1-(1/(1+EXP(-(BT158-BO158)))*Parameters!$B$3))^12)*100)</f>
        <v/>
      </c>
      <c r="CH158" s="25">
        <f>IF(AD158=1,0,BV158-(1-(1-(1/(1+EXP(-(BT158-BP158)))*Parameters!$B$3))^12)*100)</f>
        <v/>
      </c>
      <c r="CI158" s="25">
        <f>IF(AD158=1,0,BV158-(1-(1-(1/(1+EXP(-(BT158-BQ158)))*Parameters!$B$3))^12)*100)</f>
        <v/>
      </c>
      <c r="CJ158" s="25">
        <f>IF(AD158=1,0,BV158-(1-(1-(1/(1+EXP(-(BT158-BR158)))*Parameters!$B$3))^12)*100)</f>
        <v/>
      </c>
    </row>
    <row r="159">
      <c r="A159" s="17" t="inlineStr">
        <is>
          <t>GNR_AFF_2018</t>
        </is>
      </c>
      <c r="B159" s="17" t="inlineStr">
        <is>
          <t>3617JFYS7</t>
        </is>
      </c>
      <c r="C159" s="17" t="inlineStr">
        <is>
          <t>PN</t>
        </is>
      </c>
      <c r="D159" s="17" t="inlineStr">
        <is>
          <t>LUMENT REAL ESTATE CAPITAL,LLC</t>
        </is>
      </c>
      <c r="E159" s="17" t="inlineStr">
        <is>
          <t>3617JFYS7_000000011511297</t>
        </is>
      </c>
      <c r="F159" s="17" t="n">
        <v>202603</v>
      </c>
      <c r="G159" s="18" t="n">
        <v>4.05</v>
      </c>
      <c r="H159" s="19" t="n">
        <v>3895744.37</v>
      </c>
      <c r="I159" s="17" t="n">
        <v>420</v>
      </c>
      <c r="J159" s="17" t="n">
        <v>20190411</v>
      </c>
      <c r="K159" s="17" t="n">
        <v>20540501</v>
      </c>
      <c r="L159" s="17" t="n"/>
      <c r="M159" s="17" t="n">
        <v>20290601</v>
      </c>
      <c r="N159" s="17" t="n">
        <v>10</v>
      </c>
      <c r="O159" s="17" t="inlineStr">
        <is>
          <t>207/223(F)</t>
        </is>
      </c>
      <c r="P159" s="17" t="inlineStr">
        <is>
          <t>BAF</t>
        </is>
      </c>
      <c r="Q159" s="17" t="n"/>
      <c r="R159" s="17" t="n"/>
      <c r="S159" s="17" t="n"/>
      <c r="T159" s="17" t="inlineStr">
        <is>
          <t>TX</t>
        </is>
      </c>
      <c r="U159" s="17" t="n">
        <v>68</v>
      </c>
      <c r="V159" s="17" t="n">
        <v>490.5</v>
      </c>
      <c r="W159" s="17" t="n">
        <v>83</v>
      </c>
      <c r="X159" s="17" t="n">
        <v>2019</v>
      </c>
      <c r="Y159" s="17" t="n">
        <v>38</v>
      </c>
      <c r="Z159" s="17" t="n">
        <v>4</v>
      </c>
      <c r="AA159" s="20">
        <f>IF(ISNUMBER(W159),W159,IFERROR(MAX(0,(VALUE(LEFT(F159,4))-VALUE(LEFT(TEXT(J159,"00000000"),4)))*12+(VALUE(MID(F159,5,2))-VALUE(MID(TEXT(J159,"00000000"),5,2)))),""))</f>
        <v/>
      </c>
      <c r="AB159" s="20">
        <f>IFERROR((VALUE(LEFT(TEXT(K159,"00000000"),4))-VALUE(LEFT(F159,4)))*12+(VALUE(MID(TEXT(K159,"00000000"),5,2))-VALUE(MID(F159,5,2))),"")</f>
        <v/>
      </c>
      <c r="AC159" s="20">
        <f>IF(OR(L159="",NOT(ISNUMBER(L159))),0,MAX(0,MIN(60,(VALUE(LEFT(F159,4))-VALUE(LEFT(TEXT(L159,"00000000"),4)))*12+(VALUE(MID(F159,5,2))-VALUE(MID(TEXT(L159,"00000000"),5,2))))))</f>
        <v/>
      </c>
      <c r="AD159" s="20">
        <f>IF(OR(L159="",NOT(ISNUMBER(L159))),0,IF(VALUE(F159)&lt;VALUE(LEFT(TEXT(L159,"00000000"),6)),1,0))</f>
        <v/>
      </c>
      <c r="AE159" s="20">
        <f>IF(OR(M159="",NOT(ISNUMBER(M159))),0,IF(VALUE(F159)&lt;VALUE(LEFT(TEXT(M159,"00000000"),6)),1,0))</f>
        <v/>
      </c>
      <c r="AF159" s="20">
        <f>IF(AND(AD159=0,AE159=0),1,0)</f>
        <v/>
      </c>
      <c r="AG159" s="20">
        <f>IF(ISNUMBER(X159),X159,IFERROR(VALUE(LEFT(TEXT(J159,"00000000"),4)),""))</f>
        <v/>
      </c>
      <c r="AH159" s="20">
        <f>IFERROR(XLOOKUP(AG159,Vintage_Rates!$A$2:$A$1000,Vintage_Rates!$B$2:$B$1000,""),"")</f>
        <v/>
      </c>
      <c r="AI159" s="20">
        <f>IF(ISNUMBER(Y159),Y159,IFERROR((G159-AH159)*100,""))</f>
        <v/>
      </c>
      <c r="AJ159" s="20">
        <f>IF(ISNUMBER(V159),V159,IFERROR(XLOOKUP(VALUE(F159),PLC_Rates!$A$2:$A$1000,PLC_Rates!$B$2:$B$1000,""),""))</f>
        <v/>
      </c>
      <c r="AK159" s="20">
        <f>IF(ISNUMBER(Z159),Z159,IF(AE159=0,0,MAX(0,MIN(10,((VALUE(LEFT(TEXT(M159,"00000000"),4))-VALUE(LEFT(F159,4)))*12+(VALUE(MID(TEXT(M159,"00000000"),5,2))-VALUE(MID(F159,5,2))))/12))))</f>
        <v/>
      </c>
      <c r="AL159" s="20">
        <f>IFERROR(G159*100-AJ159,"")</f>
        <v/>
      </c>
      <c r="AM159" s="20">
        <f>IFERROR(G159*100-(AJ159+(1+AK159)*12.5),"")</f>
        <v/>
      </c>
      <c r="AN159" s="21">
        <f>IFERROR(MIN(H159/1000000,100),"")</f>
        <v/>
      </c>
      <c r="AO159" s="20">
        <f>IFERROR(INDEX(FHA_Lookup!$B$2:$B$11,MATCH(TRUE,ISNUMBER(SEARCH(FHA_Lookup!$A$2:$A$11,UPPER(SUBSTITUTE(O159," ","")))),0)),"OTHER")</f>
        <v/>
      </c>
      <c r="AP159" s="20">
        <f>IFERROR(INDEX(FHA_Lookup!$C$2:$C$11,MATCH(TRUE,ISNUMBER(SEARCH(FHA_Lookup!$A$2:$A$11,UPPER(SUBSTITUTE(O159," ","")))),0)),"OTHER")</f>
        <v/>
      </c>
      <c r="AQ159" s="20">
        <f>IF(AP159="NC",1,0)</f>
        <v/>
      </c>
      <c r="AR159" s="20">
        <f>IF(UPPER(TRIM(P159))="AFF",1,0)</f>
        <v/>
      </c>
      <c r="AS159" s="20">
        <f>IF(UPPER(TRIM(P159))="BAF",1,0)</f>
        <v/>
      </c>
      <c r="AT159" s="20">
        <f>IF(UPPER(TRIM(P159))="MKT",1,0)</f>
        <v/>
      </c>
      <c r="AU159" s="20">
        <f>IF(AO159="221d4",1,0)</f>
        <v/>
      </c>
      <c r="AV159" s="20">
        <f>IF(AO159="223a7",1,0)</f>
        <v/>
      </c>
      <c r="AW159" s="20">
        <f>IF(AO159="232",1,0)</f>
        <v/>
      </c>
      <c r="AX159" s="20">
        <f>IF(AO159="538",1,0)</f>
        <v/>
      </c>
      <c r="AY159" s="20">
        <f>IF(AO159="241",1,0)</f>
        <v/>
      </c>
      <c r="AZ159" s="20">
        <f>IF(AO159="220",1,0)</f>
        <v/>
      </c>
      <c r="BA159" s="20">
        <f>IF(AO159="OTHER",1,0)</f>
        <v/>
      </c>
      <c r="BB159" s="20">
        <f>IF(UPPER(TRIM(C159))="LM",1,0)</f>
        <v/>
      </c>
      <c r="BC159" s="20">
        <f>IF(UPPER(TRIM(C159))="PN",1,0)</f>
        <v/>
      </c>
      <c r="BD159" s="20">
        <f>IF(UPPER(TRIM(C159))="LS",1,0)</f>
        <v/>
      </c>
      <c r="BE159" s="20">
        <f>IF(UPPER(TRIM(C159))="RX",1,0)</f>
        <v/>
      </c>
      <c r="BF159" s="22">
        <f>IFERROR((Parameters!$C$6*AM159+Parameters!$C$7*MAX(AM159-(-150),0)+Parameters!$C$8*MAX(AM159-(-50),0)+Parameters!$C$9*MAX(AM159-(0),0)+Parameters!$C$10*MAX(AM159-(50),0)+Parameters!$C$11*MAX(AM159-(100),0)+Parameters!$C$12*MAX(AM159-(150),0)+Parameters!$C$13*MAX(AM159-(250),0)),0)</f>
        <v/>
      </c>
      <c r="BG159" s="22">
        <f>IFERROR((Parameters!$C$14*AA159+Parameters!$C$15*MAX(AA159-(12),0)+Parameters!$C$16*MAX(AA159-(36),0)+Parameters!$C$17*MAX(AA159-(60),0)+Parameters!$C$18*MAX(AA159-(84),0)+Parameters!$C$19*MAX(AA159-(120),0)+Parameters!$C$20*MAX(AA159-(180),0)),0)</f>
        <v/>
      </c>
      <c r="BH159" s="22">
        <f>IFERROR((Parameters!$C$21*AK159+Parameters!$C$22*MAX(AK159-(0),0)+Parameters!$C$23*MAX(AK159-(2),0)+Parameters!$C$24*MAX(AK159-(5),0)+Parameters!$C$25*MAX(AK159-(8),0)),0)</f>
        <v/>
      </c>
      <c r="BI159" s="22">
        <f>IFERROR((Parameters!$C$26*AI159+Parameters!$C$27*MAX(AI159-(-100),0)+Parameters!$C$28*MAX(AI159-(-25),0)+Parameters!$C$29*MAX(AI159-(25),0)+Parameters!$C$30*MAX(AI159-(100),0)),0)</f>
        <v/>
      </c>
      <c r="BJ159" s="22">
        <f>IFERROR((Parameters!$C$31*AN159+Parameters!$C$32*MAX(AN159-(2),0)+Parameters!$C$33*MAX(AN159-(10),0)+Parameters!$C$34*MAX(AN159-(25),0)),0)</f>
        <v/>
      </c>
      <c r="BK159" s="22">
        <f>IFERROR((Parameters!$C$35*AB159+Parameters!$C$36*MAX(AB159-(12),0)+Parameters!$C$37*MAX(AB159-(24),0)+Parameters!$C$38*MAX(AB159-(60),0)),0)</f>
        <v/>
      </c>
      <c r="BL159" s="22">
        <f>IFERROR((Parameters!$C$39*AC159+Parameters!$C$40*MAX(AC159-(6),0)+Parameters!$C$41*MAX(AC159-(12),0)+Parameters!$C$42*MAX(AC159-(24),0)),0)</f>
        <v/>
      </c>
      <c r="BM159" s="22">
        <f>IFERROR(Parameters!$C$43*(MAX(AM159,0)*MIN(MAX(AK159,0),10))/100,0)</f>
        <v/>
      </c>
      <c r="BN159" s="22">
        <f>Parameters!$C$44*AE159</f>
        <v/>
      </c>
      <c r="BO159" s="22">
        <f>Parameters!$C$45*AU159 + Parameters!$C$46*AV159 + Parameters!$C$47*AW159 + Parameters!$C$48*AX159 + Parameters!$C$49*AY159 + Parameters!$C$50*AZ159 + Parameters!$C$51*BA159</f>
        <v/>
      </c>
      <c r="BP159" s="22">
        <f>Parameters!$C$52*AQ159</f>
        <v/>
      </c>
      <c r="BQ159" s="22">
        <f>Parameters!$C$53*AR159+Parameters!$C$54*AS159+Parameters!$C$55*AT159</f>
        <v/>
      </c>
      <c r="BR159" s="22">
        <f>Parameters!$C$56*BB159+Parameters!$C$57*BC159+Parameters!$C$58*BD159+Parameters!$C$59*BE159</f>
        <v/>
      </c>
      <c r="BS159" s="23">
        <f>Parameters!$B$2</f>
        <v/>
      </c>
      <c r="BT159" s="23">
        <f>BS159+BF159 + BG159 + BH159 + BI159 + BJ159 + BK159 + BL159 + BM159 + BN159 + BO159 + BP159 + BQ159 + BR159</f>
        <v/>
      </c>
      <c r="BU159" s="24">
        <f>IF(AD159=1,0,1/(1+EXP(-BT159))*Parameters!$B$3)</f>
        <v/>
      </c>
      <c r="BV159" s="25">
        <f>(1-(1-BU159)^12)*100</f>
        <v/>
      </c>
      <c r="BW159" s="25">
        <f>IF(AD159=1,0,(1-(1-1/(1+EXP(-Parameters!$B$2)))^12)*100)</f>
        <v/>
      </c>
      <c r="BX159" s="25">
        <f>IF(AD159=1,0,BV159-(1-(1-(1/(1+EXP(-(BT159-BF159)))*Parameters!$B$3))^12)*100)</f>
        <v/>
      </c>
      <c r="BY159" s="25">
        <f>IF(AD159=1,0,BV159-(1-(1-(1/(1+EXP(-(BT159-BG159)))*Parameters!$B$3))^12)*100)</f>
        <v/>
      </c>
      <c r="BZ159" s="25">
        <f>IF(AD159=1,0,BV159-(1-(1-(1/(1+EXP(-(BT159-BH159)))*Parameters!$B$3))^12)*100)</f>
        <v/>
      </c>
      <c r="CA159" s="25">
        <f>IF(AD159=1,0,BV159-(1-(1-(1/(1+EXP(-(BT159-BI159)))*Parameters!$B$3))^12)*100)</f>
        <v/>
      </c>
      <c r="CB159" s="25">
        <f>IF(AD159=1,0,BV159-(1-(1-(1/(1+EXP(-(BT159-BJ159)))*Parameters!$B$3))^12)*100)</f>
        <v/>
      </c>
      <c r="CC159" s="25">
        <f>IF(AD159=1,0,BV159-(1-(1-(1/(1+EXP(-(BT159-BK159)))*Parameters!$B$3))^12)*100)</f>
        <v/>
      </c>
      <c r="CD159" s="25">
        <f>IF(AD159=1,0,BV159-(1-(1-(1/(1+EXP(-(BT159-BL159)))*Parameters!$B$3))^12)*100)</f>
        <v/>
      </c>
      <c r="CE159" s="25">
        <f>IF(AD159=1,0,BV159-(1-(1-(1/(1+EXP(-(BT159-BM159)))*Parameters!$B$3))^12)*100)</f>
        <v/>
      </c>
      <c r="CF159" s="25">
        <f>IF(AD159=1,0,BV159-(1-(1-(1/(1+EXP(-(BT159-BN159)))*Parameters!$B$3))^12)*100)</f>
        <v/>
      </c>
      <c r="CG159" s="25">
        <f>IF(AD159=1,0,BV159-(1-(1-(1/(1+EXP(-(BT159-BO159)))*Parameters!$B$3))^12)*100)</f>
        <v/>
      </c>
      <c r="CH159" s="25">
        <f>IF(AD159=1,0,BV159-(1-(1-(1/(1+EXP(-(BT159-BP159)))*Parameters!$B$3))^12)*100)</f>
        <v/>
      </c>
      <c r="CI159" s="25">
        <f>IF(AD159=1,0,BV159-(1-(1-(1/(1+EXP(-(BT159-BQ159)))*Parameters!$B$3))^12)*100)</f>
        <v/>
      </c>
      <c r="CJ159" s="25">
        <f>IF(AD159=1,0,BV159-(1-(1-(1/(1+EXP(-(BT159-BR159)))*Parameters!$B$3))^12)*100)</f>
        <v/>
      </c>
    </row>
    <row r="160">
      <c r="A160" s="17" t="inlineStr">
        <is>
          <t>GNR_AFF_2018</t>
        </is>
      </c>
      <c r="B160" s="17" t="inlineStr">
        <is>
          <t>3617NTH69</t>
        </is>
      </c>
      <c r="C160" s="17" t="inlineStr">
        <is>
          <t>LM</t>
        </is>
      </c>
      <c r="D160" s="17" t="inlineStr">
        <is>
          <t>GERSHMAN INVESTMENT CORP.</t>
        </is>
      </c>
      <c r="E160" s="17" t="inlineStr">
        <is>
          <t>3617NTH69_000000010911021</t>
        </is>
      </c>
      <c r="F160" s="17" t="n">
        <v>202603</v>
      </c>
      <c r="G160" s="18" t="n">
        <v>2.96</v>
      </c>
      <c r="H160" s="19" t="n">
        <v>6721484.57</v>
      </c>
      <c r="I160" s="17" t="n">
        <v>380</v>
      </c>
      <c r="J160" s="17" t="n">
        <v>20200801</v>
      </c>
      <c r="K160" s="17" t="n">
        <v>20520501</v>
      </c>
      <c r="L160" s="17" t="n"/>
      <c r="M160" s="17" t="n">
        <v>20301001</v>
      </c>
      <c r="N160" s="17" t="n">
        <v>10</v>
      </c>
      <c r="O160" s="17" t="inlineStr">
        <is>
          <t>207/223(F)</t>
        </is>
      </c>
      <c r="P160" s="17" t="inlineStr">
        <is>
          <t>BAF</t>
        </is>
      </c>
      <c r="Q160" s="17" t="inlineStr">
        <is>
          <t>M</t>
        </is>
      </c>
      <c r="R160" s="17" t="n"/>
      <c r="S160" s="17" t="n">
        <v>1</v>
      </c>
      <c r="T160" s="17" t="inlineStr">
        <is>
          <t>WY</t>
        </is>
      </c>
      <c r="U160" s="17" t="n">
        <v>112</v>
      </c>
      <c r="V160" s="17" t="n">
        <v>490.5</v>
      </c>
      <c r="W160" s="17" t="n">
        <v>67</v>
      </c>
      <c r="X160" s="17" t="n">
        <v>2020</v>
      </c>
      <c r="Y160" s="17" t="n">
        <v>11</v>
      </c>
      <c r="Z160" s="17" t="n">
        <v>7</v>
      </c>
      <c r="AA160" s="20">
        <f>IF(ISNUMBER(W160),W160,IFERROR(MAX(0,(VALUE(LEFT(F160,4))-VALUE(LEFT(TEXT(J160,"00000000"),4)))*12+(VALUE(MID(F160,5,2))-VALUE(MID(TEXT(J160,"00000000"),5,2)))),""))</f>
        <v/>
      </c>
      <c r="AB160" s="20">
        <f>IFERROR((VALUE(LEFT(TEXT(K160,"00000000"),4))-VALUE(LEFT(F160,4)))*12+(VALUE(MID(TEXT(K160,"00000000"),5,2))-VALUE(MID(F160,5,2))),"")</f>
        <v/>
      </c>
      <c r="AC160" s="20">
        <f>IF(OR(L160="",NOT(ISNUMBER(L160))),0,MAX(0,MIN(60,(VALUE(LEFT(F160,4))-VALUE(LEFT(TEXT(L160,"00000000"),4)))*12+(VALUE(MID(F160,5,2))-VALUE(MID(TEXT(L160,"00000000"),5,2))))))</f>
        <v/>
      </c>
      <c r="AD160" s="20">
        <f>IF(OR(L160="",NOT(ISNUMBER(L160))),0,IF(VALUE(F160)&lt;VALUE(LEFT(TEXT(L160,"00000000"),6)),1,0))</f>
        <v/>
      </c>
      <c r="AE160" s="20">
        <f>IF(OR(M160="",NOT(ISNUMBER(M160))),0,IF(VALUE(F160)&lt;VALUE(LEFT(TEXT(M160,"00000000"),6)),1,0))</f>
        <v/>
      </c>
      <c r="AF160" s="20">
        <f>IF(AND(AD160=0,AE160=0),1,0)</f>
        <v/>
      </c>
      <c r="AG160" s="20">
        <f>IF(ISNUMBER(X160),X160,IFERROR(VALUE(LEFT(TEXT(J160,"00000000"),4)),""))</f>
        <v/>
      </c>
      <c r="AH160" s="20">
        <f>IFERROR(XLOOKUP(AG160,Vintage_Rates!$A$2:$A$1000,Vintage_Rates!$B$2:$B$1000,""),"")</f>
        <v/>
      </c>
      <c r="AI160" s="20">
        <f>IF(ISNUMBER(Y160),Y160,IFERROR((G160-AH160)*100,""))</f>
        <v/>
      </c>
      <c r="AJ160" s="20">
        <f>IF(ISNUMBER(V160),V160,IFERROR(XLOOKUP(VALUE(F160),PLC_Rates!$A$2:$A$1000,PLC_Rates!$B$2:$B$1000,""),""))</f>
        <v/>
      </c>
      <c r="AK160" s="20">
        <f>IF(ISNUMBER(Z160),Z160,IF(AE160=0,0,MAX(0,MIN(10,((VALUE(LEFT(TEXT(M160,"00000000"),4))-VALUE(LEFT(F160,4)))*12+(VALUE(MID(TEXT(M160,"00000000"),5,2))-VALUE(MID(F160,5,2))))/12))))</f>
        <v/>
      </c>
      <c r="AL160" s="20">
        <f>IFERROR(G160*100-AJ160,"")</f>
        <v/>
      </c>
      <c r="AM160" s="20">
        <f>IFERROR(G160*100-(AJ160+(1+AK160)*12.5),"")</f>
        <v/>
      </c>
      <c r="AN160" s="21">
        <f>IFERROR(MIN(H160/1000000,100),"")</f>
        <v/>
      </c>
      <c r="AO160" s="20">
        <f>IFERROR(INDEX(FHA_Lookup!$B$2:$B$11,MATCH(TRUE,ISNUMBER(SEARCH(FHA_Lookup!$A$2:$A$11,UPPER(SUBSTITUTE(O160," ","")))),0)),"OTHER")</f>
        <v/>
      </c>
      <c r="AP160" s="20">
        <f>IFERROR(INDEX(FHA_Lookup!$C$2:$C$11,MATCH(TRUE,ISNUMBER(SEARCH(FHA_Lookup!$A$2:$A$11,UPPER(SUBSTITUTE(O160," ","")))),0)),"OTHER")</f>
        <v/>
      </c>
      <c r="AQ160" s="20">
        <f>IF(AP160="NC",1,0)</f>
        <v/>
      </c>
      <c r="AR160" s="20">
        <f>IF(UPPER(TRIM(P160))="AFF",1,0)</f>
        <v/>
      </c>
      <c r="AS160" s="20">
        <f>IF(UPPER(TRIM(P160))="BAF",1,0)</f>
        <v/>
      </c>
      <c r="AT160" s="20">
        <f>IF(UPPER(TRIM(P160))="MKT",1,0)</f>
        <v/>
      </c>
      <c r="AU160" s="20">
        <f>IF(AO160="221d4",1,0)</f>
        <v/>
      </c>
      <c r="AV160" s="20">
        <f>IF(AO160="223a7",1,0)</f>
        <v/>
      </c>
      <c r="AW160" s="20">
        <f>IF(AO160="232",1,0)</f>
        <v/>
      </c>
      <c r="AX160" s="20">
        <f>IF(AO160="538",1,0)</f>
        <v/>
      </c>
      <c r="AY160" s="20">
        <f>IF(AO160="241",1,0)</f>
        <v/>
      </c>
      <c r="AZ160" s="20">
        <f>IF(AO160="220",1,0)</f>
        <v/>
      </c>
      <c r="BA160" s="20">
        <f>IF(AO160="OTHER",1,0)</f>
        <v/>
      </c>
      <c r="BB160" s="20">
        <f>IF(UPPER(TRIM(C160))="LM",1,0)</f>
        <v/>
      </c>
      <c r="BC160" s="20">
        <f>IF(UPPER(TRIM(C160))="PN",1,0)</f>
        <v/>
      </c>
      <c r="BD160" s="20">
        <f>IF(UPPER(TRIM(C160))="LS",1,0)</f>
        <v/>
      </c>
      <c r="BE160" s="20">
        <f>IF(UPPER(TRIM(C160))="RX",1,0)</f>
        <v/>
      </c>
      <c r="BF160" s="22">
        <f>IFERROR((Parameters!$C$6*AM160+Parameters!$C$7*MAX(AM160-(-150),0)+Parameters!$C$8*MAX(AM160-(-50),0)+Parameters!$C$9*MAX(AM160-(0),0)+Parameters!$C$10*MAX(AM160-(50),0)+Parameters!$C$11*MAX(AM160-(100),0)+Parameters!$C$12*MAX(AM160-(150),0)+Parameters!$C$13*MAX(AM160-(250),0)),0)</f>
        <v/>
      </c>
      <c r="BG160" s="22">
        <f>IFERROR((Parameters!$C$14*AA160+Parameters!$C$15*MAX(AA160-(12),0)+Parameters!$C$16*MAX(AA160-(36),0)+Parameters!$C$17*MAX(AA160-(60),0)+Parameters!$C$18*MAX(AA160-(84),0)+Parameters!$C$19*MAX(AA160-(120),0)+Parameters!$C$20*MAX(AA160-(180),0)),0)</f>
        <v/>
      </c>
      <c r="BH160" s="22">
        <f>IFERROR((Parameters!$C$21*AK160+Parameters!$C$22*MAX(AK160-(0),0)+Parameters!$C$23*MAX(AK160-(2),0)+Parameters!$C$24*MAX(AK160-(5),0)+Parameters!$C$25*MAX(AK160-(8),0)),0)</f>
        <v/>
      </c>
      <c r="BI160" s="22">
        <f>IFERROR((Parameters!$C$26*AI160+Parameters!$C$27*MAX(AI160-(-100),0)+Parameters!$C$28*MAX(AI160-(-25),0)+Parameters!$C$29*MAX(AI160-(25),0)+Parameters!$C$30*MAX(AI160-(100),0)),0)</f>
        <v/>
      </c>
      <c r="BJ160" s="22">
        <f>IFERROR((Parameters!$C$31*AN160+Parameters!$C$32*MAX(AN160-(2),0)+Parameters!$C$33*MAX(AN160-(10),0)+Parameters!$C$34*MAX(AN160-(25),0)),0)</f>
        <v/>
      </c>
      <c r="BK160" s="22">
        <f>IFERROR((Parameters!$C$35*AB160+Parameters!$C$36*MAX(AB160-(12),0)+Parameters!$C$37*MAX(AB160-(24),0)+Parameters!$C$38*MAX(AB160-(60),0)),0)</f>
        <v/>
      </c>
      <c r="BL160" s="22">
        <f>IFERROR((Parameters!$C$39*AC160+Parameters!$C$40*MAX(AC160-(6),0)+Parameters!$C$41*MAX(AC160-(12),0)+Parameters!$C$42*MAX(AC160-(24),0)),0)</f>
        <v/>
      </c>
      <c r="BM160" s="22">
        <f>IFERROR(Parameters!$C$43*(MAX(AM160,0)*MIN(MAX(AK160,0),10))/100,0)</f>
        <v/>
      </c>
      <c r="BN160" s="22">
        <f>Parameters!$C$44*AE160</f>
        <v/>
      </c>
      <c r="BO160" s="22">
        <f>Parameters!$C$45*AU160 + Parameters!$C$46*AV160 + Parameters!$C$47*AW160 + Parameters!$C$48*AX160 + Parameters!$C$49*AY160 + Parameters!$C$50*AZ160 + Parameters!$C$51*BA160</f>
        <v/>
      </c>
      <c r="BP160" s="22">
        <f>Parameters!$C$52*AQ160</f>
        <v/>
      </c>
      <c r="BQ160" s="22">
        <f>Parameters!$C$53*AR160+Parameters!$C$54*AS160+Parameters!$C$55*AT160</f>
        <v/>
      </c>
      <c r="BR160" s="22">
        <f>Parameters!$C$56*BB160+Parameters!$C$57*BC160+Parameters!$C$58*BD160+Parameters!$C$59*BE160</f>
        <v/>
      </c>
      <c r="BS160" s="23">
        <f>Parameters!$B$2</f>
        <v/>
      </c>
      <c r="BT160" s="23">
        <f>BS160+BF160 + BG160 + BH160 + BI160 + BJ160 + BK160 + BL160 + BM160 + BN160 + BO160 + BP160 + BQ160 + BR160</f>
        <v/>
      </c>
      <c r="BU160" s="24">
        <f>IF(AD160=1,0,1/(1+EXP(-BT160))*Parameters!$B$3)</f>
        <v/>
      </c>
      <c r="BV160" s="25">
        <f>(1-(1-BU160)^12)*100</f>
        <v/>
      </c>
      <c r="BW160" s="25">
        <f>IF(AD160=1,0,(1-(1-1/(1+EXP(-Parameters!$B$2)))^12)*100)</f>
        <v/>
      </c>
      <c r="BX160" s="25">
        <f>IF(AD160=1,0,BV160-(1-(1-(1/(1+EXP(-(BT160-BF160)))*Parameters!$B$3))^12)*100)</f>
        <v/>
      </c>
      <c r="BY160" s="25">
        <f>IF(AD160=1,0,BV160-(1-(1-(1/(1+EXP(-(BT160-BG160)))*Parameters!$B$3))^12)*100)</f>
        <v/>
      </c>
      <c r="BZ160" s="25">
        <f>IF(AD160=1,0,BV160-(1-(1-(1/(1+EXP(-(BT160-BH160)))*Parameters!$B$3))^12)*100)</f>
        <v/>
      </c>
      <c r="CA160" s="25">
        <f>IF(AD160=1,0,BV160-(1-(1-(1/(1+EXP(-(BT160-BI160)))*Parameters!$B$3))^12)*100)</f>
        <v/>
      </c>
      <c r="CB160" s="25">
        <f>IF(AD160=1,0,BV160-(1-(1-(1/(1+EXP(-(BT160-BJ160)))*Parameters!$B$3))^12)*100)</f>
        <v/>
      </c>
      <c r="CC160" s="25">
        <f>IF(AD160=1,0,BV160-(1-(1-(1/(1+EXP(-(BT160-BK160)))*Parameters!$B$3))^12)*100)</f>
        <v/>
      </c>
      <c r="CD160" s="25">
        <f>IF(AD160=1,0,BV160-(1-(1-(1/(1+EXP(-(BT160-BL160)))*Parameters!$B$3))^12)*100)</f>
        <v/>
      </c>
      <c r="CE160" s="25">
        <f>IF(AD160=1,0,BV160-(1-(1-(1/(1+EXP(-(BT160-BM160)))*Parameters!$B$3))^12)*100)</f>
        <v/>
      </c>
      <c r="CF160" s="25">
        <f>IF(AD160=1,0,BV160-(1-(1-(1/(1+EXP(-(BT160-BN160)))*Parameters!$B$3))^12)*100)</f>
        <v/>
      </c>
      <c r="CG160" s="25">
        <f>IF(AD160=1,0,BV160-(1-(1-(1/(1+EXP(-(BT160-BO160)))*Parameters!$B$3))^12)*100)</f>
        <v/>
      </c>
      <c r="CH160" s="25">
        <f>IF(AD160=1,0,BV160-(1-(1-(1/(1+EXP(-(BT160-BP160)))*Parameters!$B$3))^12)*100)</f>
        <v/>
      </c>
      <c r="CI160" s="25">
        <f>IF(AD160=1,0,BV160-(1-(1-(1/(1+EXP(-(BT160-BQ160)))*Parameters!$B$3))^12)*100)</f>
        <v/>
      </c>
      <c r="CJ160" s="25">
        <f>IF(AD160=1,0,BV160-(1-(1-(1/(1+EXP(-(BT160-BR160)))*Parameters!$B$3))^12)*100)</f>
        <v/>
      </c>
    </row>
    <row r="161">
      <c r="A161" s="17" t="inlineStr">
        <is>
          <t>GNR_AFF_2018</t>
        </is>
      </c>
      <c r="B161" s="17" t="inlineStr">
        <is>
          <t>3617GAE38</t>
        </is>
      </c>
      <c r="C161" s="17" t="inlineStr">
        <is>
          <t>PN</t>
        </is>
      </c>
      <c r="D161" s="17" t="inlineStr">
        <is>
          <t>LUMENT REAL ESTATE CAPITAL,LLC</t>
        </is>
      </c>
      <c r="E161" s="17" t="inlineStr">
        <is>
          <t>3617GAE38_000000007411118</t>
        </is>
      </c>
      <c r="F161" s="17" t="n">
        <v>202603</v>
      </c>
      <c r="G161" s="18" t="n">
        <v>3.85</v>
      </c>
      <c r="H161" s="19" t="n">
        <v>7067886.51</v>
      </c>
      <c r="I161" s="17" t="n">
        <v>420</v>
      </c>
      <c r="J161" s="17" t="n">
        <v>20180328</v>
      </c>
      <c r="K161" s="17" t="n">
        <v>20530401</v>
      </c>
      <c r="L161" s="17" t="n"/>
      <c r="M161" s="17" t="n">
        <v>20280501</v>
      </c>
      <c r="N161" s="17" t="n">
        <v>10</v>
      </c>
      <c r="O161" s="17" t="inlineStr">
        <is>
          <t>207/223(F)</t>
        </is>
      </c>
      <c r="P161" s="17" t="inlineStr">
        <is>
          <t>BAF</t>
        </is>
      </c>
      <c r="Q161" s="17" t="n"/>
      <c r="R161" s="17" t="n"/>
      <c r="S161" s="17" t="n"/>
      <c r="T161" s="17" t="inlineStr">
        <is>
          <t>IA</t>
        </is>
      </c>
      <c r="U161" s="17" t="n">
        <v>147</v>
      </c>
      <c r="V161" s="17" t="n">
        <v>490.5</v>
      </c>
      <c r="W161" s="17" t="n">
        <v>96</v>
      </c>
      <c r="X161" s="17" t="n">
        <v>2018</v>
      </c>
      <c r="Y161" s="17" t="n">
        <v>-17</v>
      </c>
      <c r="Z161" s="17" t="n">
        <v>4</v>
      </c>
      <c r="AA161" s="20">
        <f>IF(ISNUMBER(W161),W161,IFERROR(MAX(0,(VALUE(LEFT(F161,4))-VALUE(LEFT(TEXT(J161,"00000000"),4)))*12+(VALUE(MID(F161,5,2))-VALUE(MID(TEXT(J161,"00000000"),5,2)))),""))</f>
        <v/>
      </c>
      <c r="AB161" s="20">
        <f>IFERROR((VALUE(LEFT(TEXT(K161,"00000000"),4))-VALUE(LEFT(F161,4)))*12+(VALUE(MID(TEXT(K161,"00000000"),5,2))-VALUE(MID(F161,5,2))),"")</f>
        <v/>
      </c>
      <c r="AC161" s="20">
        <f>IF(OR(L161="",NOT(ISNUMBER(L161))),0,MAX(0,MIN(60,(VALUE(LEFT(F161,4))-VALUE(LEFT(TEXT(L161,"00000000"),4)))*12+(VALUE(MID(F161,5,2))-VALUE(MID(TEXT(L161,"00000000"),5,2))))))</f>
        <v/>
      </c>
      <c r="AD161" s="20">
        <f>IF(OR(L161="",NOT(ISNUMBER(L161))),0,IF(VALUE(F161)&lt;VALUE(LEFT(TEXT(L161,"00000000"),6)),1,0))</f>
        <v/>
      </c>
      <c r="AE161" s="20">
        <f>IF(OR(M161="",NOT(ISNUMBER(M161))),0,IF(VALUE(F161)&lt;VALUE(LEFT(TEXT(M161,"00000000"),6)),1,0))</f>
        <v/>
      </c>
      <c r="AF161" s="20">
        <f>IF(AND(AD161=0,AE161=0),1,0)</f>
        <v/>
      </c>
      <c r="AG161" s="20">
        <f>IF(ISNUMBER(X161),X161,IFERROR(VALUE(LEFT(TEXT(J161,"00000000"),4)),""))</f>
        <v/>
      </c>
      <c r="AH161" s="20">
        <f>IFERROR(XLOOKUP(AG161,Vintage_Rates!$A$2:$A$1000,Vintage_Rates!$B$2:$B$1000,""),"")</f>
        <v/>
      </c>
      <c r="AI161" s="20">
        <f>IF(ISNUMBER(Y161),Y161,IFERROR((G161-AH161)*100,""))</f>
        <v/>
      </c>
      <c r="AJ161" s="20">
        <f>IF(ISNUMBER(V161),V161,IFERROR(XLOOKUP(VALUE(F161),PLC_Rates!$A$2:$A$1000,PLC_Rates!$B$2:$B$1000,""),""))</f>
        <v/>
      </c>
      <c r="AK161" s="20">
        <f>IF(ISNUMBER(Z161),Z161,IF(AE161=0,0,MAX(0,MIN(10,((VALUE(LEFT(TEXT(M161,"00000000"),4))-VALUE(LEFT(F161,4)))*12+(VALUE(MID(TEXT(M161,"00000000"),5,2))-VALUE(MID(F161,5,2))))/12))))</f>
        <v/>
      </c>
      <c r="AL161" s="20">
        <f>IFERROR(G161*100-AJ161,"")</f>
        <v/>
      </c>
      <c r="AM161" s="20">
        <f>IFERROR(G161*100-(AJ161+(1+AK161)*12.5),"")</f>
        <v/>
      </c>
      <c r="AN161" s="21">
        <f>IFERROR(MIN(H161/1000000,100),"")</f>
        <v/>
      </c>
      <c r="AO161" s="20">
        <f>IFERROR(INDEX(FHA_Lookup!$B$2:$B$11,MATCH(TRUE,ISNUMBER(SEARCH(FHA_Lookup!$A$2:$A$11,UPPER(SUBSTITUTE(O161," ","")))),0)),"OTHER")</f>
        <v/>
      </c>
      <c r="AP161" s="20">
        <f>IFERROR(INDEX(FHA_Lookup!$C$2:$C$11,MATCH(TRUE,ISNUMBER(SEARCH(FHA_Lookup!$A$2:$A$11,UPPER(SUBSTITUTE(O161," ","")))),0)),"OTHER")</f>
        <v/>
      </c>
      <c r="AQ161" s="20">
        <f>IF(AP161="NC",1,0)</f>
        <v/>
      </c>
      <c r="AR161" s="20">
        <f>IF(UPPER(TRIM(P161))="AFF",1,0)</f>
        <v/>
      </c>
      <c r="AS161" s="20">
        <f>IF(UPPER(TRIM(P161))="BAF",1,0)</f>
        <v/>
      </c>
      <c r="AT161" s="20">
        <f>IF(UPPER(TRIM(P161))="MKT",1,0)</f>
        <v/>
      </c>
      <c r="AU161" s="20">
        <f>IF(AO161="221d4",1,0)</f>
        <v/>
      </c>
      <c r="AV161" s="20">
        <f>IF(AO161="223a7",1,0)</f>
        <v/>
      </c>
      <c r="AW161" s="20">
        <f>IF(AO161="232",1,0)</f>
        <v/>
      </c>
      <c r="AX161" s="20">
        <f>IF(AO161="538",1,0)</f>
        <v/>
      </c>
      <c r="AY161" s="20">
        <f>IF(AO161="241",1,0)</f>
        <v/>
      </c>
      <c r="AZ161" s="20">
        <f>IF(AO161="220",1,0)</f>
        <v/>
      </c>
      <c r="BA161" s="20">
        <f>IF(AO161="OTHER",1,0)</f>
        <v/>
      </c>
      <c r="BB161" s="20">
        <f>IF(UPPER(TRIM(C161))="LM",1,0)</f>
        <v/>
      </c>
      <c r="BC161" s="20">
        <f>IF(UPPER(TRIM(C161))="PN",1,0)</f>
        <v/>
      </c>
      <c r="BD161" s="20">
        <f>IF(UPPER(TRIM(C161))="LS",1,0)</f>
        <v/>
      </c>
      <c r="BE161" s="20">
        <f>IF(UPPER(TRIM(C161))="RX",1,0)</f>
        <v/>
      </c>
      <c r="BF161" s="22">
        <f>IFERROR((Parameters!$C$6*AM161+Parameters!$C$7*MAX(AM161-(-150),0)+Parameters!$C$8*MAX(AM161-(-50),0)+Parameters!$C$9*MAX(AM161-(0),0)+Parameters!$C$10*MAX(AM161-(50),0)+Parameters!$C$11*MAX(AM161-(100),0)+Parameters!$C$12*MAX(AM161-(150),0)+Parameters!$C$13*MAX(AM161-(250),0)),0)</f>
        <v/>
      </c>
      <c r="BG161" s="22">
        <f>IFERROR((Parameters!$C$14*AA161+Parameters!$C$15*MAX(AA161-(12),0)+Parameters!$C$16*MAX(AA161-(36),0)+Parameters!$C$17*MAX(AA161-(60),0)+Parameters!$C$18*MAX(AA161-(84),0)+Parameters!$C$19*MAX(AA161-(120),0)+Parameters!$C$20*MAX(AA161-(180),0)),0)</f>
        <v/>
      </c>
      <c r="BH161" s="22">
        <f>IFERROR((Parameters!$C$21*AK161+Parameters!$C$22*MAX(AK161-(0),0)+Parameters!$C$23*MAX(AK161-(2),0)+Parameters!$C$24*MAX(AK161-(5),0)+Parameters!$C$25*MAX(AK161-(8),0)),0)</f>
        <v/>
      </c>
      <c r="BI161" s="22">
        <f>IFERROR((Parameters!$C$26*AI161+Parameters!$C$27*MAX(AI161-(-100),0)+Parameters!$C$28*MAX(AI161-(-25),0)+Parameters!$C$29*MAX(AI161-(25),0)+Parameters!$C$30*MAX(AI161-(100),0)),0)</f>
        <v/>
      </c>
      <c r="BJ161" s="22">
        <f>IFERROR((Parameters!$C$31*AN161+Parameters!$C$32*MAX(AN161-(2),0)+Parameters!$C$33*MAX(AN161-(10),0)+Parameters!$C$34*MAX(AN161-(25),0)),0)</f>
        <v/>
      </c>
      <c r="BK161" s="22">
        <f>IFERROR((Parameters!$C$35*AB161+Parameters!$C$36*MAX(AB161-(12),0)+Parameters!$C$37*MAX(AB161-(24),0)+Parameters!$C$38*MAX(AB161-(60),0)),0)</f>
        <v/>
      </c>
      <c r="BL161" s="22">
        <f>IFERROR((Parameters!$C$39*AC161+Parameters!$C$40*MAX(AC161-(6),0)+Parameters!$C$41*MAX(AC161-(12),0)+Parameters!$C$42*MAX(AC161-(24),0)),0)</f>
        <v/>
      </c>
      <c r="BM161" s="22">
        <f>IFERROR(Parameters!$C$43*(MAX(AM161,0)*MIN(MAX(AK161,0),10))/100,0)</f>
        <v/>
      </c>
      <c r="BN161" s="22">
        <f>Parameters!$C$44*AE161</f>
        <v/>
      </c>
      <c r="BO161" s="22">
        <f>Parameters!$C$45*AU161 + Parameters!$C$46*AV161 + Parameters!$C$47*AW161 + Parameters!$C$48*AX161 + Parameters!$C$49*AY161 + Parameters!$C$50*AZ161 + Parameters!$C$51*BA161</f>
        <v/>
      </c>
      <c r="BP161" s="22">
        <f>Parameters!$C$52*AQ161</f>
        <v/>
      </c>
      <c r="BQ161" s="22">
        <f>Parameters!$C$53*AR161+Parameters!$C$54*AS161+Parameters!$C$55*AT161</f>
        <v/>
      </c>
      <c r="BR161" s="22">
        <f>Parameters!$C$56*BB161+Parameters!$C$57*BC161+Parameters!$C$58*BD161+Parameters!$C$59*BE161</f>
        <v/>
      </c>
      <c r="BS161" s="23">
        <f>Parameters!$B$2</f>
        <v/>
      </c>
      <c r="BT161" s="23">
        <f>BS161+BF161 + BG161 + BH161 + BI161 + BJ161 + BK161 + BL161 + BM161 + BN161 + BO161 + BP161 + BQ161 + BR161</f>
        <v/>
      </c>
      <c r="BU161" s="24">
        <f>IF(AD161=1,0,1/(1+EXP(-BT161))*Parameters!$B$3)</f>
        <v/>
      </c>
      <c r="BV161" s="25">
        <f>(1-(1-BU161)^12)*100</f>
        <v/>
      </c>
      <c r="BW161" s="25">
        <f>IF(AD161=1,0,(1-(1-1/(1+EXP(-Parameters!$B$2)))^12)*100)</f>
        <v/>
      </c>
      <c r="BX161" s="25">
        <f>IF(AD161=1,0,BV161-(1-(1-(1/(1+EXP(-(BT161-BF161)))*Parameters!$B$3))^12)*100)</f>
        <v/>
      </c>
      <c r="BY161" s="25">
        <f>IF(AD161=1,0,BV161-(1-(1-(1/(1+EXP(-(BT161-BG161)))*Parameters!$B$3))^12)*100)</f>
        <v/>
      </c>
      <c r="BZ161" s="25">
        <f>IF(AD161=1,0,BV161-(1-(1-(1/(1+EXP(-(BT161-BH161)))*Parameters!$B$3))^12)*100)</f>
        <v/>
      </c>
      <c r="CA161" s="25">
        <f>IF(AD161=1,0,BV161-(1-(1-(1/(1+EXP(-(BT161-BI161)))*Parameters!$B$3))^12)*100)</f>
        <v/>
      </c>
      <c r="CB161" s="25">
        <f>IF(AD161=1,0,BV161-(1-(1-(1/(1+EXP(-(BT161-BJ161)))*Parameters!$B$3))^12)*100)</f>
        <v/>
      </c>
      <c r="CC161" s="25">
        <f>IF(AD161=1,0,BV161-(1-(1-(1/(1+EXP(-(BT161-BK161)))*Parameters!$B$3))^12)*100)</f>
        <v/>
      </c>
      <c r="CD161" s="25">
        <f>IF(AD161=1,0,BV161-(1-(1-(1/(1+EXP(-(BT161-BL161)))*Parameters!$B$3))^12)*100)</f>
        <v/>
      </c>
      <c r="CE161" s="25">
        <f>IF(AD161=1,0,BV161-(1-(1-(1/(1+EXP(-(BT161-BM161)))*Parameters!$B$3))^12)*100)</f>
        <v/>
      </c>
      <c r="CF161" s="25">
        <f>IF(AD161=1,0,BV161-(1-(1-(1/(1+EXP(-(BT161-BN161)))*Parameters!$B$3))^12)*100)</f>
        <v/>
      </c>
      <c r="CG161" s="25">
        <f>IF(AD161=1,0,BV161-(1-(1-(1/(1+EXP(-(BT161-BO161)))*Parameters!$B$3))^12)*100)</f>
        <v/>
      </c>
      <c r="CH161" s="25">
        <f>IF(AD161=1,0,BV161-(1-(1-(1/(1+EXP(-(BT161-BP161)))*Parameters!$B$3))^12)*100)</f>
        <v/>
      </c>
      <c r="CI161" s="25">
        <f>IF(AD161=1,0,BV161-(1-(1-(1/(1+EXP(-(BT161-BQ161)))*Parameters!$B$3))^12)*100)</f>
        <v/>
      </c>
      <c r="CJ161" s="25">
        <f>IF(AD161=1,0,BV161-(1-(1-(1/(1+EXP(-(BT161-BR161)))*Parameters!$B$3))^12)*100)</f>
        <v/>
      </c>
    </row>
    <row r="162">
      <c r="A162" s="17" t="inlineStr">
        <is>
          <t>GNR_AFF_2018</t>
        </is>
      </c>
      <c r="B162" s="17" t="inlineStr">
        <is>
          <t>3617QSPJ1</t>
        </is>
      </c>
      <c r="C162" s="17" t="inlineStr">
        <is>
          <t>LM</t>
        </is>
      </c>
      <c r="D162" s="17" t="inlineStr">
        <is>
          <t>DWIGHT CAPITAL LLC</t>
        </is>
      </c>
      <c r="E162" s="17" t="inlineStr">
        <is>
          <t>3617QSPJ1_000000010111264</t>
        </is>
      </c>
      <c r="F162" s="17" t="n">
        <v>202603</v>
      </c>
      <c r="G162" s="18" t="n">
        <v>3.08</v>
      </c>
      <c r="H162" s="19" t="n">
        <v>19740103.85</v>
      </c>
      <c r="I162" s="17" t="n">
        <v>420</v>
      </c>
      <c r="J162" s="17" t="n">
        <v>20170901</v>
      </c>
      <c r="K162" s="17" t="n">
        <v>20521001</v>
      </c>
      <c r="L162" s="17" t="n">
        <v>20220101</v>
      </c>
      <c r="M162" s="17" t="n">
        <v>20310101</v>
      </c>
      <c r="N162" s="17" t="n">
        <v>9</v>
      </c>
      <c r="O162" s="17" t="inlineStr">
        <is>
          <t>207/223(f)</t>
        </is>
      </c>
      <c r="P162" s="17" t="inlineStr">
        <is>
          <t>AFF</t>
        </is>
      </c>
      <c r="Q162" s="17" t="inlineStr">
        <is>
          <t>M</t>
        </is>
      </c>
      <c r="R162" s="17" t="n"/>
      <c r="S162" s="17" t="n">
        <v>1</v>
      </c>
      <c r="T162" s="17" t="inlineStr">
        <is>
          <t>CO</t>
        </is>
      </c>
      <c r="U162" s="17" t="n">
        <v>145</v>
      </c>
      <c r="V162" s="17" t="n">
        <v>490.5</v>
      </c>
      <c r="W162" s="17" t="n">
        <v>102</v>
      </c>
      <c r="X162" s="17" t="n">
        <v>2017</v>
      </c>
      <c r="Y162" s="17" t="n">
        <v>-39</v>
      </c>
      <c r="Z162" s="17" t="n">
        <v>1</v>
      </c>
      <c r="AA162" s="20">
        <f>IF(ISNUMBER(W162),W162,IFERROR(MAX(0,(VALUE(LEFT(F162,4))-VALUE(LEFT(TEXT(J162,"00000000"),4)))*12+(VALUE(MID(F162,5,2))-VALUE(MID(TEXT(J162,"00000000"),5,2)))),""))</f>
        <v/>
      </c>
      <c r="AB162" s="20">
        <f>IFERROR((VALUE(LEFT(TEXT(K162,"00000000"),4))-VALUE(LEFT(F162,4)))*12+(VALUE(MID(TEXT(K162,"00000000"),5,2))-VALUE(MID(F162,5,2))),"")</f>
        <v/>
      </c>
      <c r="AC162" s="20">
        <f>IF(OR(L162="",NOT(ISNUMBER(L162))),0,MAX(0,MIN(60,(VALUE(LEFT(F162,4))-VALUE(LEFT(TEXT(L162,"00000000"),4)))*12+(VALUE(MID(F162,5,2))-VALUE(MID(TEXT(L162,"00000000"),5,2))))))</f>
        <v/>
      </c>
      <c r="AD162" s="20">
        <f>IF(OR(L162="",NOT(ISNUMBER(L162))),0,IF(VALUE(F162)&lt;VALUE(LEFT(TEXT(L162,"00000000"),6)),1,0))</f>
        <v/>
      </c>
      <c r="AE162" s="20">
        <f>IF(OR(M162="",NOT(ISNUMBER(M162))),0,IF(VALUE(F162)&lt;VALUE(LEFT(TEXT(M162,"00000000"),6)),1,0))</f>
        <v/>
      </c>
      <c r="AF162" s="20">
        <f>IF(AND(AD162=0,AE162=0),1,0)</f>
        <v/>
      </c>
      <c r="AG162" s="20">
        <f>IF(ISNUMBER(X162),X162,IFERROR(VALUE(LEFT(TEXT(J162,"00000000"),4)),""))</f>
        <v/>
      </c>
      <c r="AH162" s="20">
        <f>IFERROR(XLOOKUP(AG162,Vintage_Rates!$A$2:$A$1000,Vintage_Rates!$B$2:$B$1000,""),"")</f>
        <v/>
      </c>
      <c r="AI162" s="20">
        <f>IF(ISNUMBER(Y162),Y162,IFERROR((G162-AH162)*100,""))</f>
        <v/>
      </c>
      <c r="AJ162" s="20">
        <f>IF(ISNUMBER(V162),V162,IFERROR(XLOOKUP(VALUE(F162),PLC_Rates!$A$2:$A$1000,PLC_Rates!$B$2:$B$1000,""),""))</f>
        <v/>
      </c>
      <c r="AK162" s="20">
        <f>IF(ISNUMBER(Z162),Z162,IF(AE162=0,0,MAX(0,MIN(10,((VALUE(LEFT(TEXT(M162,"00000000"),4))-VALUE(LEFT(F162,4)))*12+(VALUE(MID(TEXT(M162,"00000000"),5,2))-VALUE(MID(F162,5,2))))/12))))</f>
        <v/>
      </c>
      <c r="AL162" s="20">
        <f>IFERROR(G162*100-AJ162,"")</f>
        <v/>
      </c>
      <c r="AM162" s="20">
        <f>IFERROR(G162*100-(AJ162+(1+AK162)*12.5),"")</f>
        <v/>
      </c>
      <c r="AN162" s="21">
        <f>IFERROR(MIN(H162/1000000,100),"")</f>
        <v/>
      </c>
      <c r="AO162" s="20">
        <f>IFERROR(INDEX(FHA_Lookup!$B$2:$B$11,MATCH(TRUE,ISNUMBER(SEARCH(FHA_Lookup!$A$2:$A$11,UPPER(SUBSTITUTE(O162," ","")))),0)),"OTHER")</f>
        <v/>
      </c>
      <c r="AP162" s="20">
        <f>IFERROR(INDEX(FHA_Lookup!$C$2:$C$11,MATCH(TRUE,ISNUMBER(SEARCH(FHA_Lookup!$A$2:$A$11,UPPER(SUBSTITUTE(O162," ","")))),0)),"OTHER")</f>
        <v/>
      </c>
      <c r="AQ162" s="20">
        <f>IF(AP162="NC",1,0)</f>
        <v/>
      </c>
      <c r="AR162" s="20">
        <f>IF(UPPER(TRIM(P162))="AFF",1,0)</f>
        <v/>
      </c>
      <c r="AS162" s="20">
        <f>IF(UPPER(TRIM(P162))="BAF",1,0)</f>
        <v/>
      </c>
      <c r="AT162" s="20">
        <f>IF(UPPER(TRIM(P162))="MKT",1,0)</f>
        <v/>
      </c>
      <c r="AU162" s="20">
        <f>IF(AO162="221d4",1,0)</f>
        <v/>
      </c>
      <c r="AV162" s="20">
        <f>IF(AO162="223a7",1,0)</f>
        <v/>
      </c>
      <c r="AW162" s="20">
        <f>IF(AO162="232",1,0)</f>
        <v/>
      </c>
      <c r="AX162" s="20">
        <f>IF(AO162="538",1,0)</f>
        <v/>
      </c>
      <c r="AY162" s="20">
        <f>IF(AO162="241",1,0)</f>
        <v/>
      </c>
      <c r="AZ162" s="20">
        <f>IF(AO162="220",1,0)</f>
        <v/>
      </c>
      <c r="BA162" s="20">
        <f>IF(AO162="OTHER",1,0)</f>
        <v/>
      </c>
      <c r="BB162" s="20">
        <f>IF(UPPER(TRIM(C162))="LM",1,0)</f>
        <v/>
      </c>
      <c r="BC162" s="20">
        <f>IF(UPPER(TRIM(C162))="PN",1,0)</f>
        <v/>
      </c>
      <c r="BD162" s="20">
        <f>IF(UPPER(TRIM(C162))="LS",1,0)</f>
        <v/>
      </c>
      <c r="BE162" s="20">
        <f>IF(UPPER(TRIM(C162))="RX",1,0)</f>
        <v/>
      </c>
      <c r="BF162" s="22">
        <f>IFERROR((Parameters!$C$6*AM162+Parameters!$C$7*MAX(AM162-(-150),0)+Parameters!$C$8*MAX(AM162-(-50),0)+Parameters!$C$9*MAX(AM162-(0),0)+Parameters!$C$10*MAX(AM162-(50),0)+Parameters!$C$11*MAX(AM162-(100),0)+Parameters!$C$12*MAX(AM162-(150),0)+Parameters!$C$13*MAX(AM162-(250),0)),0)</f>
        <v/>
      </c>
      <c r="BG162" s="22">
        <f>IFERROR((Parameters!$C$14*AA162+Parameters!$C$15*MAX(AA162-(12),0)+Parameters!$C$16*MAX(AA162-(36),0)+Parameters!$C$17*MAX(AA162-(60),0)+Parameters!$C$18*MAX(AA162-(84),0)+Parameters!$C$19*MAX(AA162-(120),0)+Parameters!$C$20*MAX(AA162-(180),0)),0)</f>
        <v/>
      </c>
      <c r="BH162" s="22">
        <f>IFERROR((Parameters!$C$21*AK162+Parameters!$C$22*MAX(AK162-(0),0)+Parameters!$C$23*MAX(AK162-(2),0)+Parameters!$C$24*MAX(AK162-(5),0)+Parameters!$C$25*MAX(AK162-(8),0)),0)</f>
        <v/>
      </c>
      <c r="BI162" s="22">
        <f>IFERROR((Parameters!$C$26*AI162+Parameters!$C$27*MAX(AI162-(-100),0)+Parameters!$C$28*MAX(AI162-(-25),0)+Parameters!$C$29*MAX(AI162-(25),0)+Parameters!$C$30*MAX(AI162-(100),0)),0)</f>
        <v/>
      </c>
      <c r="BJ162" s="22">
        <f>IFERROR((Parameters!$C$31*AN162+Parameters!$C$32*MAX(AN162-(2),0)+Parameters!$C$33*MAX(AN162-(10),0)+Parameters!$C$34*MAX(AN162-(25),0)),0)</f>
        <v/>
      </c>
      <c r="BK162" s="22">
        <f>IFERROR((Parameters!$C$35*AB162+Parameters!$C$36*MAX(AB162-(12),0)+Parameters!$C$37*MAX(AB162-(24),0)+Parameters!$C$38*MAX(AB162-(60),0)),0)</f>
        <v/>
      </c>
      <c r="BL162" s="22">
        <f>IFERROR((Parameters!$C$39*AC162+Parameters!$C$40*MAX(AC162-(6),0)+Parameters!$C$41*MAX(AC162-(12),0)+Parameters!$C$42*MAX(AC162-(24),0)),0)</f>
        <v/>
      </c>
      <c r="BM162" s="22">
        <f>IFERROR(Parameters!$C$43*(MAX(AM162,0)*MIN(MAX(AK162,0),10))/100,0)</f>
        <v/>
      </c>
      <c r="BN162" s="22">
        <f>Parameters!$C$44*AE162</f>
        <v/>
      </c>
      <c r="BO162" s="22">
        <f>Parameters!$C$45*AU162 + Parameters!$C$46*AV162 + Parameters!$C$47*AW162 + Parameters!$C$48*AX162 + Parameters!$C$49*AY162 + Parameters!$C$50*AZ162 + Parameters!$C$51*BA162</f>
        <v/>
      </c>
      <c r="BP162" s="22">
        <f>Parameters!$C$52*AQ162</f>
        <v/>
      </c>
      <c r="BQ162" s="22">
        <f>Parameters!$C$53*AR162+Parameters!$C$54*AS162+Parameters!$C$55*AT162</f>
        <v/>
      </c>
      <c r="BR162" s="22">
        <f>Parameters!$C$56*BB162+Parameters!$C$57*BC162+Parameters!$C$58*BD162+Parameters!$C$59*BE162</f>
        <v/>
      </c>
      <c r="BS162" s="23">
        <f>Parameters!$B$2</f>
        <v/>
      </c>
      <c r="BT162" s="23">
        <f>BS162+BF162 + BG162 + BH162 + BI162 + BJ162 + BK162 + BL162 + BM162 + BN162 + BO162 + BP162 + BQ162 + BR162</f>
        <v/>
      </c>
      <c r="BU162" s="24">
        <f>IF(AD162=1,0,1/(1+EXP(-BT162))*Parameters!$B$3)</f>
        <v/>
      </c>
      <c r="BV162" s="25">
        <f>(1-(1-BU162)^12)*100</f>
        <v/>
      </c>
      <c r="BW162" s="25">
        <f>IF(AD162=1,0,(1-(1-1/(1+EXP(-Parameters!$B$2)))^12)*100)</f>
        <v/>
      </c>
      <c r="BX162" s="25">
        <f>IF(AD162=1,0,BV162-(1-(1-(1/(1+EXP(-(BT162-BF162)))*Parameters!$B$3))^12)*100)</f>
        <v/>
      </c>
      <c r="BY162" s="25">
        <f>IF(AD162=1,0,BV162-(1-(1-(1/(1+EXP(-(BT162-BG162)))*Parameters!$B$3))^12)*100)</f>
        <v/>
      </c>
      <c r="BZ162" s="25">
        <f>IF(AD162=1,0,BV162-(1-(1-(1/(1+EXP(-(BT162-BH162)))*Parameters!$B$3))^12)*100)</f>
        <v/>
      </c>
      <c r="CA162" s="25">
        <f>IF(AD162=1,0,BV162-(1-(1-(1/(1+EXP(-(BT162-BI162)))*Parameters!$B$3))^12)*100)</f>
        <v/>
      </c>
      <c r="CB162" s="25">
        <f>IF(AD162=1,0,BV162-(1-(1-(1/(1+EXP(-(BT162-BJ162)))*Parameters!$B$3))^12)*100)</f>
        <v/>
      </c>
      <c r="CC162" s="25">
        <f>IF(AD162=1,0,BV162-(1-(1-(1/(1+EXP(-(BT162-BK162)))*Parameters!$B$3))^12)*100)</f>
        <v/>
      </c>
      <c r="CD162" s="25">
        <f>IF(AD162=1,0,BV162-(1-(1-(1/(1+EXP(-(BT162-BL162)))*Parameters!$B$3))^12)*100)</f>
        <v/>
      </c>
      <c r="CE162" s="25">
        <f>IF(AD162=1,0,BV162-(1-(1-(1/(1+EXP(-(BT162-BM162)))*Parameters!$B$3))^12)*100)</f>
        <v/>
      </c>
      <c r="CF162" s="25">
        <f>IF(AD162=1,0,BV162-(1-(1-(1/(1+EXP(-(BT162-BN162)))*Parameters!$B$3))^12)*100)</f>
        <v/>
      </c>
      <c r="CG162" s="25">
        <f>IF(AD162=1,0,BV162-(1-(1-(1/(1+EXP(-(BT162-BO162)))*Parameters!$B$3))^12)*100)</f>
        <v/>
      </c>
      <c r="CH162" s="25">
        <f>IF(AD162=1,0,BV162-(1-(1-(1/(1+EXP(-(BT162-BP162)))*Parameters!$B$3))^12)*100)</f>
        <v/>
      </c>
      <c r="CI162" s="25">
        <f>IF(AD162=1,0,BV162-(1-(1-(1/(1+EXP(-(BT162-BQ162)))*Parameters!$B$3))^12)*100)</f>
        <v/>
      </c>
      <c r="CJ162" s="25">
        <f>IF(AD162=1,0,BV162-(1-(1-(1/(1+EXP(-(BT162-BR162)))*Parameters!$B$3))^12)*100)</f>
        <v/>
      </c>
    </row>
    <row r="163">
      <c r="A163" s="17" t="inlineStr">
        <is>
          <t>GNR_AFF_2018</t>
        </is>
      </c>
      <c r="B163" s="17" t="inlineStr">
        <is>
          <t>3617G6TT4</t>
        </is>
      </c>
      <c r="C163" s="17" t="inlineStr">
        <is>
          <t>PN</t>
        </is>
      </c>
      <c r="D163" s="17" t="inlineStr">
        <is>
          <t>JLL REAL ESTATE CAPITAL, LLC</t>
        </is>
      </c>
      <c r="E163" s="17" t="inlineStr">
        <is>
          <t>3617G6TT4_000000006135875</t>
        </is>
      </c>
      <c r="F163" s="17" t="n">
        <v>202603</v>
      </c>
      <c r="G163" s="18" t="n">
        <v>4.44</v>
      </c>
      <c r="H163" s="19" t="n">
        <v>4474038.67</v>
      </c>
      <c r="I163" s="17" t="n">
        <v>456</v>
      </c>
      <c r="J163" s="17" t="n">
        <v>20180501</v>
      </c>
      <c r="K163" s="17" t="n">
        <v>20560601</v>
      </c>
      <c r="L163" s="17" t="n"/>
      <c r="M163" s="17" t="n">
        <v>20220401</v>
      </c>
      <c r="N163" s="17" t="n">
        <v>4</v>
      </c>
      <c r="O163" s="17" t="inlineStr">
        <is>
          <t>223(A)(7)/221(D)(4)</t>
        </is>
      </c>
      <c r="P163" s="17" t="inlineStr">
        <is>
          <t>AFF</t>
        </is>
      </c>
      <c r="Q163" s="17" t="n"/>
      <c r="R163" s="17" t="n"/>
      <c r="S163" s="17" t="n"/>
      <c r="T163" s="17" t="inlineStr">
        <is>
          <t>GA</t>
        </is>
      </c>
      <c r="U163" s="17" t="n">
        <v>206</v>
      </c>
      <c r="V163" s="17" t="n">
        <v>490.5</v>
      </c>
      <c r="W163" s="17" t="n">
        <v>94</v>
      </c>
      <c r="X163" s="17" t="n">
        <v>2018</v>
      </c>
      <c r="Y163" s="17" t="n">
        <v>42</v>
      </c>
      <c r="Z163" s="17" t="n">
        <v>0</v>
      </c>
      <c r="AA163" s="20">
        <f>IF(ISNUMBER(W163),W163,IFERROR(MAX(0,(VALUE(LEFT(F163,4))-VALUE(LEFT(TEXT(J163,"00000000"),4)))*12+(VALUE(MID(F163,5,2))-VALUE(MID(TEXT(J163,"00000000"),5,2)))),""))</f>
        <v/>
      </c>
      <c r="AB163" s="20">
        <f>IFERROR((VALUE(LEFT(TEXT(K163,"00000000"),4))-VALUE(LEFT(F163,4)))*12+(VALUE(MID(TEXT(K163,"00000000"),5,2))-VALUE(MID(F163,5,2))),"")</f>
        <v/>
      </c>
      <c r="AC163" s="20">
        <f>IF(OR(L163="",NOT(ISNUMBER(L163))),0,MAX(0,MIN(60,(VALUE(LEFT(F163,4))-VALUE(LEFT(TEXT(L163,"00000000"),4)))*12+(VALUE(MID(F163,5,2))-VALUE(MID(TEXT(L163,"00000000"),5,2))))))</f>
        <v/>
      </c>
      <c r="AD163" s="20">
        <f>IF(OR(L163="",NOT(ISNUMBER(L163))),0,IF(VALUE(F163)&lt;VALUE(LEFT(TEXT(L163,"00000000"),6)),1,0))</f>
        <v/>
      </c>
      <c r="AE163" s="20">
        <f>IF(OR(M163="",NOT(ISNUMBER(M163))),0,IF(VALUE(F163)&lt;VALUE(LEFT(TEXT(M163,"00000000"),6)),1,0))</f>
        <v/>
      </c>
      <c r="AF163" s="20">
        <f>IF(AND(AD163=0,AE163=0),1,0)</f>
        <v/>
      </c>
      <c r="AG163" s="20">
        <f>IF(ISNUMBER(X163),X163,IFERROR(VALUE(LEFT(TEXT(J163,"00000000"),4)),""))</f>
        <v/>
      </c>
      <c r="AH163" s="20">
        <f>IFERROR(XLOOKUP(AG163,Vintage_Rates!$A$2:$A$1000,Vintage_Rates!$B$2:$B$1000,""),"")</f>
        <v/>
      </c>
      <c r="AI163" s="20">
        <f>IF(ISNUMBER(Y163),Y163,IFERROR((G163-AH163)*100,""))</f>
        <v/>
      </c>
      <c r="AJ163" s="20">
        <f>IF(ISNUMBER(V163),V163,IFERROR(XLOOKUP(VALUE(F163),PLC_Rates!$A$2:$A$1000,PLC_Rates!$B$2:$B$1000,""),""))</f>
        <v/>
      </c>
      <c r="AK163" s="20">
        <f>IF(ISNUMBER(Z163),Z163,IF(AE163=0,0,MAX(0,MIN(10,((VALUE(LEFT(TEXT(M163,"00000000"),4))-VALUE(LEFT(F163,4)))*12+(VALUE(MID(TEXT(M163,"00000000"),5,2))-VALUE(MID(F163,5,2))))/12))))</f>
        <v/>
      </c>
      <c r="AL163" s="20">
        <f>IFERROR(G163*100-AJ163,"")</f>
        <v/>
      </c>
      <c r="AM163" s="20">
        <f>IFERROR(G163*100-(AJ163+(1+AK163)*12.5),"")</f>
        <v/>
      </c>
      <c r="AN163" s="21">
        <f>IFERROR(MIN(H163/1000000,100),"")</f>
        <v/>
      </c>
      <c r="AO163" s="20">
        <f>IFERROR(INDEX(FHA_Lookup!$B$2:$B$11,MATCH(TRUE,ISNUMBER(SEARCH(FHA_Lookup!$A$2:$A$11,UPPER(SUBSTITUTE(O163," ","")))),0)),"OTHER")</f>
        <v/>
      </c>
      <c r="AP163" s="20">
        <f>IFERROR(INDEX(FHA_Lookup!$C$2:$C$11,MATCH(TRUE,ISNUMBER(SEARCH(FHA_Lookup!$A$2:$A$11,UPPER(SUBSTITUTE(O163," ","")))),0)),"OTHER")</f>
        <v/>
      </c>
      <c r="AQ163" s="20">
        <f>IF(AP163="NC",1,0)</f>
        <v/>
      </c>
      <c r="AR163" s="20">
        <f>IF(UPPER(TRIM(P163))="AFF",1,0)</f>
        <v/>
      </c>
      <c r="AS163" s="20">
        <f>IF(UPPER(TRIM(P163))="BAF",1,0)</f>
        <v/>
      </c>
      <c r="AT163" s="20">
        <f>IF(UPPER(TRIM(P163))="MKT",1,0)</f>
        <v/>
      </c>
      <c r="AU163" s="20">
        <f>IF(AO163="221d4",1,0)</f>
        <v/>
      </c>
      <c r="AV163" s="20">
        <f>IF(AO163="223a7",1,0)</f>
        <v/>
      </c>
      <c r="AW163" s="20">
        <f>IF(AO163="232",1,0)</f>
        <v/>
      </c>
      <c r="AX163" s="20">
        <f>IF(AO163="538",1,0)</f>
        <v/>
      </c>
      <c r="AY163" s="20">
        <f>IF(AO163="241",1,0)</f>
        <v/>
      </c>
      <c r="AZ163" s="20">
        <f>IF(AO163="220",1,0)</f>
        <v/>
      </c>
      <c r="BA163" s="20">
        <f>IF(AO163="OTHER",1,0)</f>
        <v/>
      </c>
      <c r="BB163" s="20">
        <f>IF(UPPER(TRIM(C163))="LM",1,0)</f>
        <v/>
      </c>
      <c r="BC163" s="20">
        <f>IF(UPPER(TRIM(C163))="PN",1,0)</f>
        <v/>
      </c>
      <c r="BD163" s="20">
        <f>IF(UPPER(TRIM(C163))="LS",1,0)</f>
        <v/>
      </c>
      <c r="BE163" s="20">
        <f>IF(UPPER(TRIM(C163))="RX",1,0)</f>
        <v/>
      </c>
      <c r="BF163" s="22">
        <f>IFERROR((Parameters!$C$6*AM163+Parameters!$C$7*MAX(AM163-(-150),0)+Parameters!$C$8*MAX(AM163-(-50),0)+Parameters!$C$9*MAX(AM163-(0),0)+Parameters!$C$10*MAX(AM163-(50),0)+Parameters!$C$11*MAX(AM163-(100),0)+Parameters!$C$12*MAX(AM163-(150),0)+Parameters!$C$13*MAX(AM163-(250),0)),0)</f>
        <v/>
      </c>
      <c r="BG163" s="22">
        <f>IFERROR((Parameters!$C$14*AA163+Parameters!$C$15*MAX(AA163-(12),0)+Parameters!$C$16*MAX(AA163-(36),0)+Parameters!$C$17*MAX(AA163-(60),0)+Parameters!$C$18*MAX(AA163-(84),0)+Parameters!$C$19*MAX(AA163-(120),0)+Parameters!$C$20*MAX(AA163-(180),0)),0)</f>
        <v/>
      </c>
      <c r="BH163" s="22">
        <f>IFERROR((Parameters!$C$21*AK163+Parameters!$C$22*MAX(AK163-(0),0)+Parameters!$C$23*MAX(AK163-(2),0)+Parameters!$C$24*MAX(AK163-(5),0)+Parameters!$C$25*MAX(AK163-(8),0)),0)</f>
        <v/>
      </c>
      <c r="BI163" s="22">
        <f>IFERROR((Parameters!$C$26*AI163+Parameters!$C$27*MAX(AI163-(-100),0)+Parameters!$C$28*MAX(AI163-(-25),0)+Parameters!$C$29*MAX(AI163-(25),0)+Parameters!$C$30*MAX(AI163-(100),0)),0)</f>
        <v/>
      </c>
      <c r="BJ163" s="22">
        <f>IFERROR((Parameters!$C$31*AN163+Parameters!$C$32*MAX(AN163-(2),0)+Parameters!$C$33*MAX(AN163-(10),0)+Parameters!$C$34*MAX(AN163-(25),0)),0)</f>
        <v/>
      </c>
      <c r="BK163" s="22">
        <f>IFERROR((Parameters!$C$35*AB163+Parameters!$C$36*MAX(AB163-(12),0)+Parameters!$C$37*MAX(AB163-(24),0)+Parameters!$C$38*MAX(AB163-(60),0)),0)</f>
        <v/>
      </c>
      <c r="BL163" s="22">
        <f>IFERROR((Parameters!$C$39*AC163+Parameters!$C$40*MAX(AC163-(6),0)+Parameters!$C$41*MAX(AC163-(12),0)+Parameters!$C$42*MAX(AC163-(24),0)),0)</f>
        <v/>
      </c>
      <c r="BM163" s="22">
        <f>IFERROR(Parameters!$C$43*(MAX(AM163,0)*MIN(MAX(AK163,0),10))/100,0)</f>
        <v/>
      </c>
      <c r="BN163" s="22">
        <f>Parameters!$C$44*AE163</f>
        <v/>
      </c>
      <c r="BO163" s="22">
        <f>Parameters!$C$45*AU163 + Parameters!$C$46*AV163 + Parameters!$C$47*AW163 + Parameters!$C$48*AX163 + Parameters!$C$49*AY163 + Parameters!$C$50*AZ163 + Parameters!$C$51*BA163</f>
        <v/>
      </c>
      <c r="BP163" s="22">
        <f>Parameters!$C$52*AQ163</f>
        <v/>
      </c>
      <c r="BQ163" s="22">
        <f>Parameters!$C$53*AR163+Parameters!$C$54*AS163+Parameters!$C$55*AT163</f>
        <v/>
      </c>
      <c r="BR163" s="22">
        <f>Parameters!$C$56*BB163+Parameters!$C$57*BC163+Parameters!$C$58*BD163+Parameters!$C$59*BE163</f>
        <v/>
      </c>
      <c r="BS163" s="23">
        <f>Parameters!$B$2</f>
        <v/>
      </c>
      <c r="BT163" s="23">
        <f>BS163+BF163 + BG163 + BH163 + BI163 + BJ163 + BK163 + BL163 + BM163 + BN163 + BO163 + BP163 + BQ163 + BR163</f>
        <v/>
      </c>
      <c r="BU163" s="24">
        <f>IF(AD163=1,0,1/(1+EXP(-BT163))*Parameters!$B$3)</f>
        <v/>
      </c>
      <c r="BV163" s="25">
        <f>(1-(1-BU163)^12)*100</f>
        <v/>
      </c>
      <c r="BW163" s="25">
        <f>IF(AD163=1,0,(1-(1-1/(1+EXP(-Parameters!$B$2)))^12)*100)</f>
        <v/>
      </c>
      <c r="BX163" s="25">
        <f>IF(AD163=1,0,BV163-(1-(1-(1/(1+EXP(-(BT163-BF163)))*Parameters!$B$3))^12)*100)</f>
        <v/>
      </c>
      <c r="BY163" s="25">
        <f>IF(AD163=1,0,BV163-(1-(1-(1/(1+EXP(-(BT163-BG163)))*Parameters!$B$3))^12)*100)</f>
        <v/>
      </c>
      <c r="BZ163" s="25">
        <f>IF(AD163=1,0,BV163-(1-(1-(1/(1+EXP(-(BT163-BH163)))*Parameters!$B$3))^12)*100)</f>
        <v/>
      </c>
      <c r="CA163" s="25">
        <f>IF(AD163=1,0,BV163-(1-(1-(1/(1+EXP(-(BT163-BI163)))*Parameters!$B$3))^12)*100)</f>
        <v/>
      </c>
      <c r="CB163" s="25">
        <f>IF(AD163=1,0,BV163-(1-(1-(1/(1+EXP(-(BT163-BJ163)))*Parameters!$B$3))^12)*100)</f>
        <v/>
      </c>
      <c r="CC163" s="25">
        <f>IF(AD163=1,0,BV163-(1-(1-(1/(1+EXP(-(BT163-BK163)))*Parameters!$B$3))^12)*100)</f>
        <v/>
      </c>
      <c r="CD163" s="25">
        <f>IF(AD163=1,0,BV163-(1-(1-(1/(1+EXP(-(BT163-BL163)))*Parameters!$B$3))^12)*100)</f>
        <v/>
      </c>
      <c r="CE163" s="25">
        <f>IF(AD163=1,0,BV163-(1-(1-(1/(1+EXP(-(BT163-BM163)))*Parameters!$B$3))^12)*100)</f>
        <v/>
      </c>
      <c r="CF163" s="25">
        <f>IF(AD163=1,0,BV163-(1-(1-(1/(1+EXP(-(BT163-BN163)))*Parameters!$B$3))^12)*100)</f>
        <v/>
      </c>
      <c r="CG163" s="25">
        <f>IF(AD163=1,0,BV163-(1-(1-(1/(1+EXP(-(BT163-BO163)))*Parameters!$B$3))^12)*100)</f>
        <v/>
      </c>
      <c r="CH163" s="25">
        <f>IF(AD163=1,0,BV163-(1-(1-(1/(1+EXP(-(BT163-BP163)))*Parameters!$B$3))^12)*100)</f>
        <v/>
      </c>
      <c r="CI163" s="25">
        <f>IF(AD163=1,0,BV163-(1-(1-(1/(1+EXP(-(BT163-BQ163)))*Parameters!$B$3))^12)*100)</f>
        <v/>
      </c>
      <c r="CJ163" s="25">
        <f>IF(AD163=1,0,BV163-(1-(1-(1/(1+EXP(-(BT163-BR163)))*Parameters!$B$3))^12)*100)</f>
        <v/>
      </c>
    </row>
    <row r="164">
      <c r="A164" s="17" t="inlineStr">
        <is>
          <t>GNR_AFF_2018</t>
        </is>
      </c>
      <c r="B164" s="17" t="inlineStr">
        <is>
          <t>36197DKY3</t>
        </is>
      </c>
      <c r="C164" s="17" t="inlineStr">
        <is>
          <t>PN</t>
        </is>
      </c>
      <c r="D164" s="17" t="inlineStr">
        <is>
          <t>LUMENT REAL ESTATE CAPITAL,LLC</t>
        </is>
      </c>
      <c r="E164" s="17" t="inlineStr">
        <is>
          <t>36197DKY3_000000008335749</t>
        </is>
      </c>
      <c r="F164" s="17" t="n">
        <v>202603</v>
      </c>
      <c r="G164" s="18" t="n">
        <v>3.7</v>
      </c>
      <c r="H164" s="19" t="n">
        <v>7043144.46</v>
      </c>
      <c r="I164" s="17" t="n">
        <v>497</v>
      </c>
      <c r="J164" s="17" t="n">
        <v>20170330</v>
      </c>
      <c r="K164" s="17" t="n">
        <v>20580901</v>
      </c>
      <c r="L164" s="17" t="n"/>
      <c r="M164" s="17" t="n">
        <v>20281001</v>
      </c>
      <c r="N164" s="17" t="n">
        <v>10</v>
      </c>
      <c r="O164" s="17" t="inlineStr">
        <is>
          <t>221(D)(4)</t>
        </is>
      </c>
      <c r="P164" s="17" t="inlineStr">
        <is>
          <t>BAF</t>
        </is>
      </c>
      <c r="Q164" s="17" t="n"/>
      <c r="R164" s="17" t="n"/>
      <c r="S164" s="17" t="n"/>
      <c r="T164" s="17" t="inlineStr">
        <is>
          <t>KY</t>
        </is>
      </c>
      <c r="U164" s="17" t="n">
        <v>180</v>
      </c>
      <c r="V164" s="17" t="n">
        <v>490.5</v>
      </c>
      <c r="W164" s="17" t="n">
        <v>108</v>
      </c>
      <c r="X164" s="17" t="n">
        <v>2017</v>
      </c>
      <c r="Y164" s="17" t="n">
        <v>23</v>
      </c>
      <c r="Z164" s="17" t="n">
        <v>3</v>
      </c>
      <c r="AA164" s="20">
        <f>IF(ISNUMBER(W164),W164,IFERROR(MAX(0,(VALUE(LEFT(F164,4))-VALUE(LEFT(TEXT(J164,"00000000"),4)))*12+(VALUE(MID(F164,5,2))-VALUE(MID(TEXT(J164,"00000000"),5,2)))),""))</f>
        <v/>
      </c>
      <c r="AB164" s="20">
        <f>IFERROR((VALUE(LEFT(TEXT(K164,"00000000"),4))-VALUE(LEFT(F164,4)))*12+(VALUE(MID(TEXT(K164,"00000000"),5,2))-VALUE(MID(F164,5,2))),"")</f>
        <v/>
      </c>
      <c r="AC164" s="20">
        <f>IF(OR(L164="",NOT(ISNUMBER(L164))),0,MAX(0,MIN(60,(VALUE(LEFT(F164,4))-VALUE(LEFT(TEXT(L164,"00000000"),4)))*12+(VALUE(MID(F164,5,2))-VALUE(MID(TEXT(L164,"00000000"),5,2))))))</f>
        <v/>
      </c>
      <c r="AD164" s="20">
        <f>IF(OR(L164="",NOT(ISNUMBER(L164))),0,IF(VALUE(F164)&lt;VALUE(LEFT(TEXT(L164,"00000000"),6)),1,0))</f>
        <v/>
      </c>
      <c r="AE164" s="20">
        <f>IF(OR(M164="",NOT(ISNUMBER(M164))),0,IF(VALUE(F164)&lt;VALUE(LEFT(TEXT(M164,"00000000"),6)),1,0))</f>
        <v/>
      </c>
      <c r="AF164" s="20">
        <f>IF(AND(AD164=0,AE164=0),1,0)</f>
        <v/>
      </c>
      <c r="AG164" s="20">
        <f>IF(ISNUMBER(X164),X164,IFERROR(VALUE(LEFT(TEXT(J164,"00000000"),4)),""))</f>
        <v/>
      </c>
      <c r="AH164" s="20">
        <f>IFERROR(XLOOKUP(AG164,Vintage_Rates!$A$2:$A$1000,Vintage_Rates!$B$2:$B$1000,""),"")</f>
        <v/>
      </c>
      <c r="AI164" s="20">
        <f>IF(ISNUMBER(Y164),Y164,IFERROR((G164-AH164)*100,""))</f>
        <v/>
      </c>
      <c r="AJ164" s="20">
        <f>IF(ISNUMBER(V164),V164,IFERROR(XLOOKUP(VALUE(F164),PLC_Rates!$A$2:$A$1000,PLC_Rates!$B$2:$B$1000,""),""))</f>
        <v/>
      </c>
      <c r="AK164" s="20">
        <f>IF(ISNUMBER(Z164),Z164,IF(AE164=0,0,MAX(0,MIN(10,((VALUE(LEFT(TEXT(M164,"00000000"),4))-VALUE(LEFT(F164,4)))*12+(VALUE(MID(TEXT(M164,"00000000"),5,2))-VALUE(MID(F164,5,2))))/12))))</f>
        <v/>
      </c>
      <c r="AL164" s="20">
        <f>IFERROR(G164*100-AJ164,"")</f>
        <v/>
      </c>
      <c r="AM164" s="20">
        <f>IFERROR(G164*100-(AJ164+(1+AK164)*12.5),"")</f>
        <v/>
      </c>
      <c r="AN164" s="21">
        <f>IFERROR(MIN(H164/1000000,100),"")</f>
        <v/>
      </c>
      <c r="AO164" s="20">
        <f>IFERROR(INDEX(FHA_Lookup!$B$2:$B$11,MATCH(TRUE,ISNUMBER(SEARCH(FHA_Lookup!$A$2:$A$11,UPPER(SUBSTITUTE(O164," ","")))),0)),"OTHER")</f>
        <v/>
      </c>
      <c r="AP164" s="20">
        <f>IFERROR(INDEX(FHA_Lookup!$C$2:$C$11,MATCH(TRUE,ISNUMBER(SEARCH(FHA_Lookup!$A$2:$A$11,UPPER(SUBSTITUTE(O164," ","")))),0)),"OTHER")</f>
        <v/>
      </c>
      <c r="AQ164" s="20">
        <f>IF(AP164="NC",1,0)</f>
        <v/>
      </c>
      <c r="AR164" s="20">
        <f>IF(UPPER(TRIM(P164))="AFF",1,0)</f>
        <v/>
      </c>
      <c r="AS164" s="20">
        <f>IF(UPPER(TRIM(P164))="BAF",1,0)</f>
        <v/>
      </c>
      <c r="AT164" s="20">
        <f>IF(UPPER(TRIM(P164))="MKT",1,0)</f>
        <v/>
      </c>
      <c r="AU164" s="20">
        <f>IF(AO164="221d4",1,0)</f>
        <v/>
      </c>
      <c r="AV164" s="20">
        <f>IF(AO164="223a7",1,0)</f>
        <v/>
      </c>
      <c r="AW164" s="20">
        <f>IF(AO164="232",1,0)</f>
        <v/>
      </c>
      <c r="AX164" s="20">
        <f>IF(AO164="538",1,0)</f>
        <v/>
      </c>
      <c r="AY164" s="20">
        <f>IF(AO164="241",1,0)</f>
        <v/>
      </c>
      <c r="AZ164" s="20">
        <f>IF(AO164="220",1,0)</f>
        <v/>
      </c>
      <c r="BA164" s="20">
        <f>IF(AO164="OTHER",1,0)</f>
        <v/>
      </c>
      <c r="BB164" s="20">
        <f>IF(UPPER(TRIM(C164))="LM",1,0)</f>
        <v/>
      </c>
      <c r="BC164" s="20">
        <f>IF(UPPER(TRIM(C164))="PN",1,0)</f>
        <v/>
      </c>
      <c r="BD164" s="20">
        <f>IF(UPPER(TRIM(C164))="LS",1,0)</f>
        <v/>
      </c>
      <c r="BE164" s="20">
        <f>IF(UPPER(TRIM(C164))="RX",1,0)</f>
        <v/>
      </c>
      <c r="BF164" s="22">
        <f>IFERROR((Parameters!$C$6*AM164+Parameters!$C$7*MAX(AM164-(-150),0)+Parameters!$C$8*MAX(AM164-(-50),0)+Parameters!$C$9*MAX(AM164-(0),0)+Parameters!$C$10*MAX(AM164-(50),0)+Parameters!$C$11*MAX(AM164-(100),0)+Parameters!$C$12*MAX(AM164-(150),0)+Parameters!$C$13*MAX(AM164-(250),0)),0)</f>
        <v/>
      </c>
      <c r="BG164" s="22">
        <f>IFERROR((Parameters!$C$14*AA164+Parameters!$C$15*MAX(AA164-(12),0)+Parameters!$C$16*MAX(AA164-(36),0)+Parameters!$C$17*MAX(AA164-(60),0)+Parameters!$C$18*MAX(AA164-(84),0)+Parameters!$C$19*MAX(AA164-(120),0)+Parameters!$C$20*MAX(AA164-(180),0)),0)</f>
        <v/>
      </c>
      <c r="BH164" s="22">
        <f>IFERROR((Parameters!$C$21*AK164+Parameters!$C$22*MAX(AK164-(0),0)+Parameters!$C$23*MAX(AK164-(2),0)+Parameters!$C$24*MAX(AK164-(5),0)+Parameters!$C$25*MAX(AK164-(8),0)),0)</f>
        <v/>
      </c>
      <c r="BI164" s="22">
        <f>IFERROR((Parameters!$C$26*AI164+Parameters!$C$27*MAX(AI164-(-100),0)+Parameters!$C$28*MAX(AI164-(-25),0)+Parameters!$C$29*MAX(AI164-(25),0)+Parameters!$C$30*MAX(AI164-(100),0)),0)</f>
        <v/>
      </c>
      <c r="BJ164" s="22">
        <f>IFERROR((Parameters!$C$31*AN164+Parameters!$C$32*MAX(AN164-(2),0)+Parameters!$C$33*MAX(AN164-(10),0)+Parameters!$C$34*MAX(AN164-(25),0)),0)</f>
        <v/>
      </c>
      <c r="BK164" s="22">
        <f>IFERROR((Parameters!$C$35*AB164+Parameters!$C$36*MAX(AB164-(12),0)+Parameters!$C$37*MAX(AB164-(24),0)+Parameters!$C$38*MAX(AB164-(60),0)),0)</f>
        <v/>
      </c>
      <c r="BL164" s="22">
        <f>IFERROR((Parameters!$C$39*AC164+Parameters!$C$40*MAX(AC164-(6),0)+Parameters!$C$41*MAX(AC164-(12),0)+Parameters!$C$42*MAX(AC164-(24),0)),0)</f>
        <v/>
      </c>
      <c r="BM164" s="22">
        <f>IFERROR(Parameters!$C$43*(MAX(AM164,0)*MIN(MAX(AK164,0),10))/100,0)</f>
        <v/>
      </c>
      <c r="BN164" s="22">
        <f>Parameters!$C$44*AE164</f>
        <v/>
      </c>
      <c r="BO164" s="22">
        <f>Parameters!$C$45*AU164 + Parameters!$C$46*AV164 + Parameters!$C$47*AW164 + Parameters!$C$48*AX164 + Parameters!$C$49*AY164 + Parameters!$C$50*AZ164 + Parameters!$C$51*BA164</f>
        <v/>
      </c>
      <c r="BP164" s="22">
        <f>Parameters!$C$52*AQ164</f>
        <v/>
      </c>
      <c r="BQ164" s="22">
        <f>Parameters!$C$53*AR164+Parameters!$C$54*AS164+Parameters!$C$55*AT164</f>
        <v/>
      </c>
      <c r="BR164" s="22">
        <f>Parameters!$C$56*BB164+Parameters!$C$57*BC164+Parameters!$C$58*BD164+Parameters!$C$59*BE164</f>
        <v/>
      </c>
      <c r="BS164" s="23">
        <f>Parameters!$B$2</f>
        <v/>
      </c>
      <c r="BT164" s="23">
        <f>BS164+BF164 + BG164 + BH164 + BI164 + BJ164 + BK164 + BL164 + BM164 + BN164 + BO164 + BP164 + BQ164 + BR164</f>
        <v/>
      </c>
      <c r="BU164" s="24">
        <f>IF(AD164=1,0,1/(1+EXP(-BT164))*Parameters!$B$3)</f>
        <v/>
      </c>
      <c r="BV164" s="25">
        <f>(1-(1-BU164)^12)*100</f>
        <v/>
      </c>
      <c r="BW164" s="25">
        <f>IF(AD164=1,0,(1-(1-1/(1+EXP(-Parameters!$B$2)))^12)*100)</f>
        <v/>
      </c>
      <c r="BX164" s="25">
        <f>IF(AD164=1,0,BV164-(1-(1-(1/(1+EXP(-(BT164-BF164)))*Parameters!$B$3))^12)*100)</f>
        <v/>
      </c>
      <c r="BY164" s="25">
        <f>IF(AD164=1,0,BV164-(1-(1-(1/(1+EXP(-(BT164-BG164)))*Parameters!$B$3))^12)*100)</f>
        <v/>
      </c>
      <c r="BZ164" s="25">
        <f>IF(AD164=1,0,BV164-(1-(1-(1/(1+EXP(-(BT164-BH164)))*Parameters!$B$3))^12)*100)</f>
        <v/>
      </c>
      <c r="CA164" s="25">
        <f>IF(AD164=1,0,BV164-(1-(1-(1/(1+EXP(-(BT164-BI164)))*Parameters!$B$3))^12)*100)</f>
        <v/>
      </c>
      <c r="CB164" s="25">
        <f>IF(AD164=1,0,BV164-(1-(1-(1/(1+EXP(-(BT164-BJ164)))*Parameters!$B$3))^12)*100)</f>
        <v/>
      </c>
      <c r="CC164" s="25">
        <f>IF(AD164=1,0,BV164-(1-(1-(1/(1+EXP(-(BT164-BK164)))*Parameters!$B$3))^12)*100)</f>
        <v/>
      </c>
      <c r="CD164" s="25">
        <f>IF(AD164=1,0,BV164-(1-(1-(1/(1+EXP(-(BT164-BL164)))*Parameters!$B$3))^12)*100)</f>
        <v/>
      </c>
      <c r="CE164" s="25">
        <f>IF(AD164=1,0,BV164-(1-(1-(1/(1+EXP(-(BT164-BM164)))*Parameters!$B$3))^12)*100)</f>
        <v/>
      </c>
      <c r="CF164" s="25">
        <f>IF(AD164=1,0,BV164-(1-(1-(1/(1+EXP(-(BT164-BN164)))*Parameters!$B$3))^12)*100)</f>
        <v/>
      </c>
      <c r="CG164" s="25">
        <f>IF(AD164=1,0,BV164-(1-(1-(1/(1+EXP(-(BT164-BO164)))*Parameters!$B$3))^12)*100)</f>
        <v/>
      </c>
      <c r="CH164" s="25">
        <f>IF(AD164=1,0,BV164-(1-(1-(1/(1+EXP(-(BT164-BP164)))*Parameters!$B$3))^12)*100)</f>
        <v/>
      </c>
      <c r="CI164" s="25">
        <f>IF(AD164=1,0,BV164-(1-(1-(1/(1+EXP(-(BT164-BQ164)))*Parameters!$B$3))^12)*100)</f>
        <v/>
      </c>
      <c r="CJ164" s="25">
        <f>IF(AD164=1,0,BV164-(1-(1-(1/(1+EXP(-(BT164-BR164)))*Parameters!$B$3))^12)*100)</f>
        <v/>
      </c>
    </row>
    <row r="165">
      <c r="A165" s="17" t="inlineStr">
        <is>
          <t>GNR_AFF_2018</t>
        </is>
      </c>
      <c r="B165" s="17" t="inlineStr">
        <is>
          <t>3617GYZJ8</t>
        </is>
      </c>
      <c r="C165" s="17" t="inlineStr">
        <is>
          <t>PN</t>
        </is>
      </c>
      <c r="D165" s="17" t="inlineStr">
        <is>
          <t>AGM FINANCIAL SERVICES, INC.</t>
        </is>
      </c>
      <c r="E165" s="17" t="inlineStr">
        <is>
          <t>3617GYZJ8_000000005311434</t>
        </is>
      </c>
      <c r="F165" s="17" t="n">
        <v>202603</v>
      </c>
      <c r="G165" s="18" t="n">
        <v>4.38</v>
      </c>
      <c r="H165" s="19" t="n">
        <v>2207957.78</v>
      </c>
      <c r="I165" s="17" t="n">
        <v>360</v>
      </c>
      <c r="J165" s="17" t="n">
        <v>20181130</v>
      </c>
      <c r="K165" s="17" t="n">
        <v>20481201</v>
      </c>
      <c r="L165" s="17" t="n"/>
      <c r="M165" s="17" t="n">
        <v>20240101</v>
      </c>
      <c r="N165" s="17" t="n">
        <v>5</v>
      </c>
      <c r="O165" s="17" t="inlineStr">
        <is>
          <t>223(F)</t>
        </is>
      </c>
      <c r="P165" s="17" t="inlineStr">
        <is>
          <t>BAF</t>
        </is>
      </c>
      <c r="Q165" s="17" t="n"/>
      <c r="R165" s="17" t="n"/>
      <c r="S165" s="17" t="n"/>
      <c r="T165" s="17" t="inlineStr">
        <is>
          <t>NC</t>
        </is>
      </c>
      <c r="U165" s="17" t="n">
        <v>80</v>
      </c>
      <c r="V165" s="17" t="n">
        <v>490.5</v>
      </c>
      <c r="W165" s="17" t="n">
        <v>88</v>
      </c>
      <c r="X165" s="17" t="n">
        <v>2018</v>
      </c>
      <c r="Y165" s="17" t="n">
        <v>36</v>
      </c>
      <c r="Z165" s="17" t="n">
        <v>0</v>
      </c>
      <c r="AA165" s="20">
        <f>IF(ISNUMBER(W165),W165,IFERROR(MAX(0,(VALUE(LEFT(F165,4))-VALUE(LEFT(TEXT(J165,"00000000"),4)))*12+(VALUE(MID(F165,5,2))-VALUE(MID(TEXT(J165,"00000000"),5,2)))),""))</f>
        <v/>
      </c>
      <c r="AB165" s="20">
        <f>IFERROR((VALUE(LEFT(TEXT(K165,"00000000"),4))-VALUE(LEFT(F165,4)))*12+(VALUE(MID(TEXT(K165,"00000000"),5,2))-VALUE(MID(F165,5,2))),"")</f>
        <v/>
      </c>
      <c r="AC165" s="20">
        <f>IF(OR(L165="",NOT(ISNUMBER(L165))),0,MAX(0,MIN(60,(VALUE(LEFT(F165,4))-VALUE(LEFT(TEXT(L165,"00000000"),4)))*12+(VALUE(MID(F165,5,2))-VALUE(MID(TEXT(L165,"00000000"),5,2))))))</f>
        <v/>
      </c>
      <c r="AD165" s="20">
        <f>IF(OR(L165="",NOT(ISNUMBER(L165))),0,IF(VALUE(F165)&lt;VALUE(LEFT(TEXT(L165,"00000000"),6)),1,0))</f>
        <v/>
      </c>
      <c r="AE165" s="20">
        <f>IF(OR(M165="",NOT(ISNUMBER(M165))),0,IF(VALUE(F165)&lt;VALUE(LEFT(TEXT(M165,"00000000"),6)),1,0))</f>
        <v/>
      </c>
      <c r="AF165" s="20">
        <f>IF(AND(AD165=0,AE165=0),1,0)</f>
        <v/>
      </c>
      <c r="AG165" s="20">
        <f>IF(ISNUMBER(X165),X165,IFERROR(VALUE(LEFT(TEXT(J165,"00000000"),4)),""))</f>
        <v/>
      </c>
      <c r="AH165" s="20">
        <f>IFERROR(XLOOKUP(AG165,Vintage_Rates!$A$2:$A$1000,Vintage_Rates!$B$2:$B$1000,""),"")</f>
        <v/>
      </c>
      <c r="AI165" s="20">
        <f>IF(ISNUMBER(Y165),Y165,IFERROR((G165-AH165)*100,""))</f>
        <v/>
      </c>
      <c r="AJ165" s="20">
        <f>IF(ISNUMBER(V165),V165,IFERROR(XLOOKUP(VALUE(F165),PLC_Rates!$A$2:$A$1000,PLC_Rates!$B$2:$B$1000,""),""))</f>
        <v/>
      </c>
      <c r="AK165" s="20">
        <f>IF(ISNUMBER(Z165),Z165,IF(AE165=0,0,MAX(0,MIN(10,((VALUE(LEFT(TEXT(M165,"00000000"),4))-VALUE(LEFT(F165,4)))*12+(VALUE(MID(TEXT(M165,"00000000"),5,2))-VALUE(MID(F165,5,2))))/12))))</f>
        <v/>
      </c>
      <c r="AL165" s="20">
        <f>IFERROR(G165*100-AJ165,"")</f>
        <v/>
      </c>
      <c r="AM165" s="20">
        <f>IFERROR(G165*100-(AJ165+(1+AK165)*12.5),"")</f>
        <v/>
      </c>
      <c r="AN165" s="21">
        <f>IFERROR(MIN(H165/1000000,100),"")</f>
        <v/>
      </c>
      <c r="AO165" s="20">
        <f>IFERROR(INDEX(FHA_Lookup!$B$2:$B$11,MATCH(TRUE,ISNUMBER(SEARCH(FHA_Lookup!$A$2:$A$11,UPPER(SUBSTITUTE(O165," ","")))),0)),"OTHER")</f>
        <v/>
      </c>
      <c r="AP165" s="20">
        <f>IFERROR(INDEX(FHA_Lookup!$C$2:$C$11,MATCH(TRUE,ISNUMBER(SEARCH(FHA_Lookup!$A$2:$A$11,UPPER(SUBSTITUTE(O165," ","")))),0)),"OTHER")</f>
        <v/>
      </c>
      <c r="AQ165" s="20">
        <f>IF(AP165="NC",1,0)</f>
        <v/>
      </c>
      <c r="AR165" s="20">
        <f>IF(UPPER(TRIM(P165))="AFF",1,0)</f>
        <v/>
      </c>
      <c r="AS165" s="20">
        <f>IF(UPPER(TRIM(P165))="BAF",1,0)</f>
        <v/>
      </c>
      <c r="AT165" s="20">
        <f>IF(UPPER(TRIM(P165))="MKT",1,0)</f>
        <v/>
      </c>
      <c r="AU165" s="20">
        <f>IF(AO165="221d4",1,0)</f>
        <v/>
      </c>
      <c r="AV165" s="20">
        <f>IF(AO165="223a7",1,0)</f>
        <v/>
      </c>
      <c r="AW165" s="20">
        <f>IF(AO165="232",1,0)</f>
        <v/>
      </c>
      <c r="AX165" s="20">
        <f>IF(AO165="538",1,0)</f>
        <v/>
      </c>
      <c r="AY165" s="20">
        <f>IF(AO165="241",1,0)</f>
        <v/>
      </c>
      <c r="AZ165" s="20">
        <f>IF(AO165="220",1,0)</f>
        <v/>
      </c>
      <c r="BA165" s="20">
        <f>IF(AO165="OTHER",1,0)</f>
        <v/>
      </c>
      <c r="BB165" s="20">
        <f>IF(UPPER(TRIM(C165))="LM",1,0)</f>
        <v/>
      </c>
      <c r="BC165" s="20">
        <f>IF(UPPER(TRIM(C165))="PN",1,0)</f>
        <v/>
      </c>
      <c r="BD165" s="20">
        <f>IF(UPPER(TRIM(C165))="LS",1,0)</f>
        <v/>
      </c>
      <c r="BE165" s="20">
        <f>IF(UPPER(TRIM(C165))="RX",1,0)</f>
        <v/>
      </c>
      <c r="BF165" s="22">
        <f>IFERROR((Parameters!$C$6*AM165+Parameters!$C$7*MAX(AM165-(-150),0)+Parameters!$C$8*MAX(AM165-(-50),0)+Parameters!$C$9*MAX(AM165-(0),0)+Parameters!$C$10*MAX(AM165-(50),0)+Parameters!$C$11*MAX(AM165-(100),0)+Parameters!$C$12*MAX(AM165-(150),0)+Parameters!$C$13*MAX(AM165-(250),0)),0)</f>
        <v/>
      </c>
      <c r="BG165" s="22">
        <f>IFERROR((Parameters!$C$14*AA165+Parameters!$C$15*MAX(AA165-(12),0)+Parameters!$C$16*MAX(AA165-(36),0)+Parameters!$C$17*MAX(AA165-(60),0)+Parameters!$C$18*MAX(AA165-(84),0)+Parameters!$C$19*MAX(AA165-(120),0)+Parameters!$C$20*MAX(AA165-(180),0)),0)</f>
        <v/>
      </c>
      <c r="BH165" s="22">
        <f>IFERROR((Parameters!$C$21*AK165+Parameters!$C$22*MAX(AK165-(0),0)+Parameters!$C$23*MAX(AK165-(2),0)+Parameters!$C$24*MAX(AK165-(5),0)+Parameters!$C$25*MAX(AK165-(8),0)),0)</f>
        <v/>
      </c>
      <c r="BI165" s="22">
        <f>IFERROR((Parameters!$C$26*AI165+Parameters!$C$27*MAX(AI165-(-100),0)+Parameters!$C$28*MAX(AI165-(-25),0)+Parameters!$C$29*MAX(AI165-(25),0)+Parameters!$C$30*MAX(AI165-(100),0)),0)</f>
        <v/>
      </c>
      <c r="BJ165" s="22">
        <f>IFERROR((Parameters!$C$31*AN165+Parameters!$C$32*MAX(AN165-(2),0)+Parameters!$C$33*MAX(AN165-(10),0)+Parameters!$C$34*MAX(AN165-(25),0)),0)</f>
        <v/>
      </c>
      <c r="BK165" s="22">
        <f>IFERROR((Parameters!$C$35*AB165+Parameters!$C$36*MAX(AB165-(12),0)+Parameters!$C$37*MAX(AB165-(24),0)+Parameters!$C$38*MAX(AB165-(60),0)),0)</f>
        <v/>
      </c>
      <c r="BL165" s="22">
        <f>IFERROR((Parameters!$C$39*AC165+Parameters!$C$40*MAX(AC165-(6),0)+Parameters!$C$41*MAX(AC165-(12),0)+Parameters!$C$42*MAX(AC165-(24),0)),0)</f>
        <v/>
      </c>
      <c r="BM165" s="22">
        <f>IFERROR(Parameters!$C$43*(MAX(AM165,0)*MIN(MAX(AK165,0),10))/100,0)</f>
        <v/>
      </c>
      <c r="BN165" s="22">
        <f>Parameters!$C$44*AE165</f>
        <v/>
      </c>
      <c r="BO165" s="22">
        <f>Parameters!$C$45*AU165 + Parameters!$C$46*AV165 + Parameters!$C$47*AW165 + Parameters!$C$48*AX165 + Parameters!$C$49*AY165 + Parameters!$C$50*AZ165 + Parameters!$C$51*BA165</f>
        <v/>
      </c>
      <c r="BP165" s="22">
        <f>Parameters!$C$52*AQ165</f>
        <v/>
      </c>
      <c r="BQ165" s="22">
        <f>Parameters!$C$53*AR165+Parameters!$C$54*AS165+Parameters!$C$55*AT165</f>
        <v/>
      </c>
      <c r="BR165" s="22">
        <f>Parameters!$C$56*BB165+Parameters!$C$57*BC165+Parameters!$C$58*BD165+Parameters!$C$59*BE165</f>
        <v/>
      </c>
      <c r="BS165" s="23">
        <f>Parameters!$B$2</f>
        <v/>
      </c>
      <c r="BT165" s="23">
        <f>BS165+BF165 + BG165 + BH165 + BI165 + BJ165 + BK165 + BL165 + BM165 + BN165 + BO165 + BP165 + BQ165 + BR165</f>
        <v/>
      </c>
      <c r="BU165" s="24">
        <f>IF(AD165=1,0,1/(1+EXP(-BT165))*Parameters!$B$3)</f>
        <v/>
      </c>
      <c r="BV165" s="25">
        <f>(1-(1-BU165)^12)*100</f>
        <v/>
      </c>
      <c r="BW165" s="25">
        <f>IF(AD165=1,0,(1-(1-1/(1+EXP(-Parameters!$B$2)))^12)*100)</f>
        <v/>
      </c>
      <c r="BX165" s="25">
        <f>IF(AD165=1,0,BV165-(1-(1-(1/(1+EXP(-(BT165-BF165)))*Parameters!$B$3))^12)*100)</f>
        <v/>
      </c>
      <c r="BY165" s="25">
        <f>IF(AD165=1,0,BV165-(1-(1-(1/(1+EXP(-(BT165-BG165)))*Parameters!$B$3))^12)*100)</f>
        <v/>
      </c>
      <c r="BZ165" s="25">
        <f>IF(AD165=1,0,BV165-(1-(1-(1/(1+EXP(-(BT165-BH165)))*Parameters!$B$3))^12)*100)</f>
        <v/>
      </c>
      <c r="CA165" s="25">
        <f>IF(AD165=1,0,BV165-(1-(1-(1/(1+EXP(-(BT165-BI165)))*Parameters!$B$3))^12)*100)</f>
        <v/>
      </c>
      <c r="CB165" s="25">
        <f>IF(AD165=1,0,BV165-(1-(1-(1/(1+EXP(-(BT165-BJ165)))*Parameters!$B$3))^12)*100)</f>
        <v/>
      </c>
      <c r="CC165" s="25">
        <f>IF(AD165=1,0,BV165-(1-(1-(1/(1+EXP(-(BT165-BK165)))*Parameters!$B$3))^12)*100)</f>
        <v/>
      </c>
      <c r="CD165" s="25">
        <f>IF(AD165=1,0,BV165-(1-(1-(1/(1+EXP(-(BT165-BL165)))*Parameters!$B$3))^12)*100)</f>
        <v/>
      </c>
      <c r="CE165" s="25">
        <f>IF(AD165=1,0,BV165-(1-(1-(1/(1+EXP(-(BT165-BM165)))*Parameters!$B$3))^12)*100)</f>
        <v/>
      </c>
      <c r="CF165" s="25">
        <f>IF(AD165=1,0,BV165-(1-(1-(1/(1+EXP(-(BT165-BN165)))*Parameters!$B$3))^12)*100)</f>
        <v/>
      </c>
      <c r="CG165" s="25">
        <f>IF(AD165=1,0,BV165-(1-(1-(1/(1+EXP(-(BT165-BO165)))*Parameters!$B$3))^12)*100)</f>
        <v/>
      </c>
      <c r="CH165" s="25">
        <f>IF(AD165=1,0,BV165-(1-(1-(1/(1+EXP(-(BT165-BP165)))*Parameters!$B$3))^12)*100)</f>
        <v/>
      </c>
      <c r="CI165" s="25">
        <f>IF(AD165=1,0,BV165-(1-(1-(1/(1+EXP(-(BT165-BQ165)))*Parameters!$B$3))^12)*100)</f>
        <v/>
      </c>
      <c r="CJ165" s="25">
        <f>IF(AD165=1,0,BV165-(1-(1-(1/(1+EXP(-(BT165-BR165)))*Parameters!$B$3))^12)*100)</f>
        <v/>
      </c>
    </row>
    <row r="166">
      <c r="A166" s="17" t="inlineStr">
        <is>
          <t>GNR_AFF_2018</t>
        </is>
      </c>
      <c r="B166" s="17" t="inlineStr">
        <is>
          <t>3617XKQF7</t>
        </is>
      </c>
      <c r="C166" s="17" t="inlineStr">
        <is>
          <t>LM</t>
        </is>
      </c>
      <c r="D166" s="17" t="inlineStr">
        <is>
          <t>WELLS FARGO BANK, N.A.</t>
        </is>
      </c>
      <c r="E166" s="17" t="inlineStr">
        <is>
          <t>3617XKQF7_000000010135760</t>
        </is>
      </c>
      <c r="F166" s="17" t="n">
        <v>202603</v>
      </c>
      <c r="G166" s="18" t="n">
        <v>3.08</v>
      </c>
      <c r="H166" s="19" t="n">
        <v>17482026.6</v>
      </c>
      <c r="I166" s="17" t="n">
        <v>501</v>
      </c>
      <c r="J166" s="17" t="n">
        <v>20171101</v>
      </c>
      <c r="K166" s="17" t="n">
        <v>20590901</v>
      </c>
      <c r="L166" s="17" t="n"/>
      <c r="M166" s="17" t="n">
        <v>20320301</v>
      </c>
      <c r="N166" s="17" t="n">
        <v>10</v>
      </c>
      <c r="O166" s="17" t="inlineStr">
        <is>
          <t>221(D)(4)</t>
        </is>
      </c>
      <c r="P166" s="17" t="inlineStr">
        <is>
          <t>BAF</t>
        </is>
      </c>
      <c r="Q166" s="17" t="inlineStr">
        <is>
          <t>M</t>
        </is>
      </c>
      <c r="R166" s="17" t="n"/>
      <c r="S166" s="17" t="n">
        <v>1</v>
      </c>
      <c r="T166" s="17" t="inlineStr">
        <is>
          <t>CO</t>
        </is>
      </c>
      <c r="U166" s="17" t="n">
        <v>142</v>
      </c>
      <c r="V166" s="17" t="n">
        <v>490.5</v>
      </c>
      <c r="W166" s="17" t="n">
        <v>100</v>
      </c>
      <c r="X166" s="17" t="n">
        <v>2017</v>
      </c>
      <c r="Y166" s="17" t="n">
        <v>-39</v>
      </c>
      <c r="Z166" s="17" t="n">
        <v>6</v>
      </c>
      <c r="AA166" s="20">
        <f>IF(ISNUMBER(W166),W166,IFERROR(MAX(0,(VALUE(LEFT(F166,4))-VALUE(LEFT(TEXT(J166,"00000000"),4)))*12+(VALUE(MID(F166,5,2))-VALUE(MID(TEXT(J166,"00000000"),5,2)))),""))</f>
        <v/>
      </c>
      <c r="AB166" s="20">
        <f>IFERROR((VALUE(LEFT(TEXT(K166,"00000000"),4))-VALUE(LEFT(F166,4)))*12+(VALUE(MID(TEXT(K166,"00000000"),5,2))-VALUE(MID(F166,5,2))),"")</f>
        <v/>
      </c>
      <c r="AC166" s="20">
        <f>IF(OR(L166="",NOT(ISNUMBER(L166))),0,MAX(0,MIN(60,(VALUE(LEFT(F166,4))-VALUE(LEFT(TEXT(L166,"00000000"),4)))*12+(VALUE(MID(F166,5,2))-VALUE(MID(TEXT(L166,"00000000"),5,2))))))</f>
        <v/>
      </c>
      <c r="AD166" s="20">
        <f>IF(OR(L166="",NOT(ISNUMBER(L166))),0,IF(VALUE(F166)&lt;VALUE(LEFT(TEXT(L166,"00000000"),6)),1,0))</f>
        <v/>
      </c>
      <c r="AE166" s="20">
        <f>IF(OR(M166="",NOT(ISNUMBER(M166))),0,IF(VALUE(F166)&lt;VALUE(LEFT(TEXT(M166,"00000000"),6)),1,0))</f>
        <v/>
      </c>
      <c r="AF166" s="20">
        <f>IF(AND(AD166=0,AE166=0),1,0)</f>
        <v/>
      </c>
      <c r="AG166" s="20">
        <f>IF(ISNUMBER(X166),X166,IFERROR(VALUE(LEFT(TEXT(J166,"00000000"),4)),""))</f>
        <v/>
      </c>
      <c r="AH166" s="20">
        <f>IFERROR(XLOOKUP(AG166,Vintage_Rates!$A$2:$A$1000,Vintage_Rates!$B$2:$B$1000,""),"")</f>
        <v/>
      </c>
      <c r="AI166" s="20">
        <f>IF(ISNUMBER(Y166),Y166,IFERROR((G166-AH166)*100,""))</f>
        <v/>
      </c>
      <c r="AJ166" s="20">
        <f>IF(ISNUMBER(V166),V166,IFERROR(XLOOKUP(VALUE(F166),PLC_Rates!$A$2:$A$1000,PLC_Rates!$B$2:$B$1000,""),""))</f>
        <v/>
      </c>
      <c r="AK166" s="20">
        <f>IF(ISNUMBER(Z166),Z166,IF(AE166=0,0,MAX(0,MIN(10,((VALUE(LEFT(TEXT(M166,"00000000"),4))-VALUE(LEFT(F166,4)))*12+(VALUE(MID(TEXT(M166,"00000000"),5,2))-VALUE(MID(F166,5,2))))/12))))</f>
        <v/>
      </c>
      <c r="AL166" s="20">
        <f>IFERROR(G166*100-AJ166,"")</f>
        <v/>
      </c>
      <c r="AM166" s="20">
        <f>IFERROR(G166*100-(AJ166+(1+AK166)*12.5),"")</f>
        <v/>
      </c>
      <c r="AN166" s="21">
        <f>IFERROR(MIN(H166/1000000,100),"")</f>
        <v/>
      </c>
      <c r="AO166" s="20">
        <f>IFERROR(INDEX(FHA_Lookup!$B$2:$B$11,MATCH(TRUE,ISNUMBER(SEARCH(FHA_Lookup!$A$2:$A$11,UPPER(SUBSTITUTE(O166," ","")))),0)),"OTHER")</f>
        <v/>
      </c>
      <c r="AP166" s="20">
        <f>IFERROR(INDEX(FHA_Lookup!$C$2:$C$11,MATCH(TRUE,ISNUMBER(SEARCH(FHA_Lookup!$A$2:$A$11,UPPER(SUBSTITUTE(O166," ","")))),0)),"OTHER")</f>
        <v/>
      </c>
      <c r="AQ166" s="20">
        <f>IF(AP166="NC",1,0)</f>
        <v/>
      </c>
      <c r="AR166" s="20">
        <f>IF(UPPER(TRIM(P166))="AFF",1,0)</f>
        <v/>
      </c>
      <c r="AS166" s="20">
        <f>IF(UPPER(TRIM(P166))="BAF",1,0)</f>
        <v/>
      </c>
      <c r="AT166" s="20">
        <f>IF(UPPER(TRIM(P166))="MKT",1,0)</f>
        <v/>
      </c>
      <c r="AU166" s="20">
        <f>IF(AO166="221d4",1,0)</f>
        <v/>
      </c>
      <c r="AV166" s="20">
        <f>IF(AO166="223a7",1,0)</f>
        <v/>
      </c>
      <c r="AW166" s="20">
        <f>IF(AO166="232",1,0)</f>
        <v/>
      </c>
      <c r="AX166" s="20">
        <f>IF(AO166="538",1,0)</f>
        <v/>
      </c>
      <c r="AY166" s="20">
        <f>IF(AO166="241",1,0)</f>
        <v/>
      </c>
      <c r="AZ166" s="20">
        <f>IF(AO166="220",1,0)</f>
        <v/>
      </c>
      <c r="BA166" s="20">
        <f>IF(AO166="OTHER",1,0)</f>
        <v/>
      </c>
      <c r="BB166" s="20">
        <f>IF(UPPER(TRIM(C166))="LM",1,0)</f>
        <v/>
      </c>
      <c r="BC166" s="20">
        <f>IF(UPPER(TRIM(C166))="PN",1,0)</f>
        <v/>
      </c>
      <c r="BD166" s="20">
        <f>IF(UPPER(TRIM(C166))="LS",1,0)</f>
        <v/>
      </c>
      <c r="BE166" s="20">
        <f>IF(UPPER(TRIM(C166))="RX",1,0)</f>
        <v/>
      </c>
      <c r="BF166" s="22">
        <f>IFERROR((Parameters!$C$6*AM166+Parameters!$C$7*MAX(AM166-(-150),0)+Parameters!$C$8*MAX(AM166-(-50),0)+Parameters!$C$9*MAX(AM166-(0),0)+Parameters!$C$10*MAX(AM166-(50),0)+Parameters!$C$11*MAX(AM166-(100),0)+Parameters!$C$12*MAX(AM166-(150),0)+Parameters!$C$13*MAX(AM166-(250),0)),0)</f>
        <v/>
      </c>
      <c r="BG166" s="22">
        <f>IFERROR((Parameters!$C$14*AA166+Parameters!$C$15*MAX(AA166-(12),0)+Parameters!$C$16*MAX(AA166-(36),0)+Parameters!$C$17*MAX(AA166-(60),0)+Parameters!$C$18*MAX(AA166-(84),0)+Parameters!$C$19*MAX(AA166-(120),0)+Parameters!$C$20*MAX(AA166-(180),0)),0)</f>
        <v/>
      </c>
      <c r="BH166" s="22">
        <f>IFERROR((Parameters!$C$21*AK166+Parameters!$C$22*MAX(AK166-(0),0)+Parameters!$C$23*MAX(AK166-(2),0)+Parameters!$C$24*MAX(AK166-(5),0)+Parameters!$C$25*MAX(AK166-(8),0)),0)</f>
        <v/>
      </c>
      <c r="BI166" s="22">
        <f>IFERROR((Parameters!$C$26*AI166+Parameters!$C$27*MAX(AI166-(-100),0)+Parameters!$C$28*MAX(AI166-(-25),0)+Parameters!$C$29*MAX(AI166-(25),0)+Parameters!$C$30*MAX(AI166-(100),0)),0)</f>
        <v/>
      </c>
      <c r="BJ166" s="22">
        <f>IFERROR((Parameters!$C$31*AN166+Parameters!$C$32*MAX(AN166-(2),0)+Parameters!$C$33*MAX(AN166-(10),0)+Parameters!$C$34*MAX(AN166-(25),0)),0)</f>
        <v/>
      </c>
      <c r="BK166" s="22">
        <f>IFERROR((Parameters!$C$35*AB166+Parameters!$C$36*MAX(AB166-(12),0)+Parameters!$C$37*MAX(AB166-(24),0)+Parameters!$C$38*MAX(AB166-(60),0)),0)</f>
        <v/>
      </c>
      <c r="BL166" s="22">
        <f>IFERROR((Parameters!$C$39*AC166+Parameters!$C$40*MAX(AC166-(6),0)+Parameters!$C$41*MAX(AC166-(12),0)+Parameters!$C$42*MAX(AC166-(24),0)),0)</f>
        <v/>
      </c>
      <c r="BM166" s="22">
        <f>IFERROR(Parameters!$C$43*(MAX(AM166,0)*MIN(MAX(AK166,0),10))/100,0)</f>
        <v/>
      </c>
      <c r="BN166" s="22">
        <f>Parameters!$C$44*AE166</f>
        <v/>
      </c>
      <c r="BO166" s="22">
        <f>Parameters!$C$45*AU166 + Parameters!$C$46*AV166 + Parameters!$C$47*AW166 + Parameters!$C$48*AX166 + Parameters!$C$49*AY166 + Parameters!$C$50*AZ166 + Parameters!$C$51*BA166</f>
        <v/>
      </c>
      <c r="BP166" s="22">
        <f>Parameters!$C$52*AQ166</f>
        <v/>
      </c>
      <c r="BQ166" s="22">
        <f>Parameters!$C$53*AR166+Parameters!$C$54*AS166+Parameters!$C$55*AT166</f>
        <v/>
      </c>
      <c r="BR166" s="22">
        <f>Parameters!$C$56*BB166+Parameters!$C$57*BC166+Parameters!$C$58*BD166+Parameters!$C$59*BE166</f>
        <v/>
      </c>
      <c r="BS166" s="23">
        <f>Parameters!$B$2</f>
        <v/>
      </c>
      <c r="BT166" s="23">
        <f>BS166+BF166 + BG166 + BH166 + BI166 + BJ166 + BK166 + BL166 + BM166 + BN166 + BO166 + BP166 + BQ166 + BR166</f>
        <v/>
      </c>
      <c r="BU166" s="24">
        <f>IF(AD166=1,0,1/(1+EXP(-BT166))*Parameters!$B$3)</f>
        <v/>
      </c>
      <c r="BV166" s="25">
        <f>(1-(1-BU166)^12)*100</f>
        <v/>
      </c>
      <c r="BW166" s="25">
        <f>IF(AD166=1,0,(1-(1-1/(1+EXP(-Parameters!$B$2)))^12)*100)</f>
        <v/>
      </c>
      <c r="BX166" s="25">
        <f>IF(AD166=1,0,BV166-(1-(1-(1/(1+EXP(-(BT166-BF166)))*Parameters!$B$3))^12)*100)</f>
        <v/>
      </c>
      <c r="BY166" s="25">
        <f>IF(AD166=1,0,BV166-(1-(1-(1/(1+EXP(-(BT166-BG166)))*Parameters!$B$3))^12)*100)</f>
        <v/>
      </c>
      <c r="BZ166" s="25">
        <f>IF(AD166=1,0,BV166-(1-(1-(1/(1+EXP(-(BT166-BH166)))*Parameters!$B$3))^12)*100)</f>
        <v/>
      </c>
      <c r="CA166" s="25">
        <f>IF(AD166=1,0,BV166-(1-(1-(1/(1+EXP(-(BT166-BI166)))*Parameters!$B$3))^12)*100)</f>
        <v/>
      </c>
      <c r="CB166" s="25">
        <f>IF(AD166=1,0,BV166-(1-(1-(1/(1+EXP(-(BT166-BJ166)))*Parameters!$B$3))^12)*100)</f>
        <v/>
      </c>
      <c r="CC166" s="25">
        <f>IF(AD166=1,0,BV166-(1-(1-(1/(1+EXP(-(BT166-BK166)))*Parameters!$B$3))^12)*100)</f>
        <v/>
      </c>
      <c r="CD166" s="25">
        <f>IF(AD166=1,0,BV166-(1-(1-(1/(1+EXP(-(BT166-BL166)))*Parameters!$B$3))^12)*100)</f>
        <v/>
      </c>
      <c r="CE166" s="25">
        <f>IF(AD166=1,0,BV166-(1-(1-(1/(1+EXP(-(BT166-BM166)))*Parameters!$B$3))^12)*100)</f>
        <v/>
      </c>
      <c r="CF166" s="25">
        <f>IF(AD166=1,0,BV166-(1-(1-(1/(1+EXP(-(BT166-BN166)))*Parameters!$B$3))^12)*100)</f>
        <v/>
      </c>
      <c r="CG166" s="25">
        <f>IF(AD166=1,0,BV166-(1-(1-(1/(1+EXP(-(BT166-BO166)))*Parameters!$B$3))^12)*100)</f>
        <v/>
      </c>
      <c r="CH166" s="25">
        <f>IF(AD166=1,0,BV166-(1-(1-(1/(1+EXP(-(BT166-BP166)))*Parameters!$B$3))^12)*100)</f>
        <v/>
      </c>
      <c r="CI166" s="25">
        <f>IF(AD166=1,0,BV166-(1-(1-(1/(1+EXP(-(BT166-BQ166)))*Parameters!$B$3))^12)*100)</f>
        <v/>
      </c>
      <c r="CJ166" s="25">
        <f>IF(AD166=1,0,BV166-(1-(1-(1/(1+EXP(-(BT166-BR166)))*Parameters!$B$3))^12)*100)</f>
        <v/>
      </c>
    </row>
    <row r="167">
      <c r="A167" s="17" t="inlineStr">
        <is>
          <t>GNR_AFF_2018</t>
        </is>
      </c>
      <c r="B167" s="17" t="inlineStr">
        <is>
          <t>3617UAYF3</t>
        </is>
      </c>
      <c r="C167" s="17" t="inlineStr">
        <is>
          <t>PN</t>
        </is>
      </c>
      <c r="D167" s="17" t="inlineStr">
        <is>
          <t>LUMENT REAL ESTATE CAPITAL,LLC</t>
        </is>
      </c>
      <c r="E167" s="17" t="inlineStr">
        <is>
          <t>3617UAYF3_000000004211371</t>
        </is>
      </c>
      <c r="F167" s="17" t="n">
        <v>202603</v>
      </c>
      <c r="G167" s="18" t="n">
        <v>2.73</v>
      </c>
      <c r="H167" s="19" t="n">
        <v>5473391.91</v>
      </c>
      <c r="I167" s="17" t="n">
        <v>343</v>
      </c>
      <c r="J167" s="17" t="n">
        <v>20210127</v>
      </c>
      <c r="K167" s="17" t="n">
        <v>20490901</v>
      </c>
      <c r="L167" s="17" t="n"/>
      <c r="M167" s="17" t="n">
        <v>20310301</v>
      </c>
      <c r="N167" s="17" t="n">
        <v>10</v>
      </c>
      <c r="O167" s="17" t="inlineStr">
        <is>
          <t>223(A)(7)/207/223(F)</t>
        </is>
      </c>
      <c r="P167" s="17" t="inlineStr">
        <is>
          <t>BAF</t>
        </is>
      </c>
      <c r="Q167" s="17" t="n"/>
      <c r="R167" s="17" t="n"/>
      <c r="S167" s="17" t="n"/>
      <c r="T167" s="17" t="inlineStr">
        <is>
          <t>OH</t>
        </is>
      </c>
      <c r="U167" s="17" t="n">
        <v>202</v>
      </c>
      <c r="V167" s="17" t="n">
        <v>490.5</v>
      </c>
      <c r="W167" s="17" t="n">
        <v>62</v>
      </c>
      <c r="X167" s="17" t="n">
        <v>2021</v>
      </c>
      <c r="Y167" s="17" t="n">
        <v>15</v>
      </c>
      <c r="Z167" s="17" t="n">
        <v>5</v>
      </c>
      <c r="AA167" s="20">
        <f>IF(ISNUMBER(W167),W167,IFERROR(MAX(0,(VALUE(LEFT(F167,4))-VALUE(LEFT(TEXT(J167,"00000000"),4)))*12+(VALUE(MID(F167,5,2))-VALUE(MID(TEXT(J167,"00000000"),5,2)))),""))</f>
        <v/>
      </c>
      <c r="AB167" s="20">
        <f>IFERROR((VALUE(LEFT(TEXT(K167,"00000000"),4))-VALUE(LEFT(F167,4)))*12+(VALUE(MID(TEXT(K167,"00000000"),5,2))-VALUE(MID(F167,5,2))),"")</f>
        <v/>
      </c>
      <c r="AC167" s="20">
        <f>IF(OR(L167="",NOT(ISNUMBER(L167))),0,MAX(0,MIN(60,(VALUE(LEFT(F167,4))-VALUE(LEFT(TEXT(L167,"00000000"),4)))*12+(VALUE(MID(F167,5,2))-VALUE(MID(TEXT(L167,"00000000"),5,2))))))</f>
        <v/>
      </c>
      <c r="AD167" s="20">
        <f>IF(OR(L167="",NOT(ISNUMBER(L167))),0,IF(VALUE(F167)&lt;VALUE(LEFT(TEXT(L167,"00000000"),6)),1,0))</f>
        <v/>
      </c>
      <c r="AE167" s="20">
        <f>IF(OR(M167="",NOT(ISNUMBER(M167))),0,IF(VALUE(F167)&lt;VALUE(LEFT(TEXT(M167,"00000000"),6)),1,0))</f>
        <v/>
      </c>
      <c r="AF167" s="20">
        <f>IF(AND(AD167=0,AE167=0),1,0)</f>
        <v/>
      </c>
      <c r="AG167" s="20">
        <f>IF(ISNUMBER(X167),X167,IFERROR(VALUE(LEFT(TEXT(J167,"00000000"),4)),""))</f>
        <v/>
      </c>
      <c r="AH167" s="20">
        <f>IFERROR(XLOOKUP(AG167,Vintage_Rates!$A$2:$A$1000,Vintage_Rates!$B$2:$B$1000,""),"")</f>
        <v/>
      </c>
      <c r="AI167" s="20">
        <f>IF(ISNUMBER(Y167),Y167,IFERROR((G167-AH167)*100,""))</f>
        <v/>
      </c>
      <c r="AJ167" s="20">
        <f>IF(ISNUMBER(V167),V167,IFERROR(XLOOKUP(VALUE(F167),PLC_Rates!$A$2:$A$1000,PLC_Rates!$B$2:$B$1000,""),""))</f>
        <v/>
      </c>
      <c r="AK167" s="20">
        <f>IF(ISNUMBER(Z167),Z167,IF(AE167=0,0,MAX(0,MIN(10,((VALUE(LEFT(TEXT(M167,"00000000"),4))-VALUE(LEFT(F167,4)))*12+(VALUE(MID(TEXT(M167,"00000000"),5,2))-VALUE(MID(F167,5,2))))/12))))</f>
        <v/>
      </c>
      <c r="AL167" s="20">
        <f>IFERROR(G167*100-AJ167,"")</f>
        <v/>
      </c>
      <c r="AM167" s="20">
        <f>IFERROR(G167*100-(AJ167+(1+AK167)*12.5),"")</f>
        <v/>
      </c>
      <c r="AN167" s="21">
        <f>IFERROR(MIN(H167/1000000,100),"")</f>
        <v/>
      </c>
      <c r="AO167" s="20">
        <f>IFERROR(INDEX(FHA_Lookup!$B$2:$B$11,MATCH(TRUE,ISNUMBER(SEARCH(FHA_Lookup!$A$2:$A$11,UPPER(SUBSTITUTE(O167," ","")))),0)),"OTHER")</f>
        <v/>
      </c>
      <c r="AP167" s="20">
        <f>IFERROR(INDEX(FHA_Lookup!$C$2:$C$11,MATCH(TRUE,ISNUMBER(SEARCH(FHA_Lookup!$A$2:$A$11,UPPER(SUBSTITUTE(O167," ","")))),0)),"OTHER")</f>
        <v/>
      </c>
      <c r="AQ167" s="20">
        <f>IF(AP167="NC",1,0)</f>
        <v/>
      </c>
      <c r="AR167" s="20">
        <f>IF(UPPER(TRIM(P167))="AFF",1,0)</f>
        <v/>
      </c>
      <c r="AS167" s="20">
        <f>IF(UPPER(TRIM(P167))="BAF",1,0)</f>
        <v/>
      </c>
      <c r="AT167" s="20">
        <f>IF(UPPER(TRIM(P167))="MKT",1,0)</f>
        <v/>
      </c>
      <c r="AU167" s="20">
        <f>IF(AO167="221d4",1,0)</f>
        <v/>
      </c>
      <c r="AV167" s="20">
        <f>IF(AO167="223a7",1,0)</f>
        <v/>
      </c>
      <c r="AW167" s="20">
        <f>IF(AO167="232",1,0)</f>
        <v/>
      </c>
      <c r="AX167" s="20">
        <f>IF(AO167="538",1,0)</f>
        <v/>
      </c>
      <c r="AY167" s="20">
        <f>IF(AO167="241",1,0)</f>
        <v/>
      </c>
      <c r="AZ167" s="20">
        <f>IF(AO167="220",1,0)</f>
        <v/>
      </c>
      <c r="BA167" s="20">
        <f>IF(AO167="OTHER",1,0)</f>
        <v/>
      </c>
      <c r="BB167" s="20">
        <f>IF(UPPER(TRIM(C167))="LM",1,0)</f>
        <v/>
      </c>
      <c r="BC167" s="20">
        <f>IF(UPPER(TRIM(C167))="PN",1,0)</f>
        <v/>
      </c>
      <c r="BD167" s="20">
        <f>IF(UPPER(TRIM(C167))="LS",1,0)</f>
        <v/>
      </c>
      <c r="BE167" s="20">
        <f>IF(UPPER(TRIM(C167))="RX",1,0)</f>
        <v/>
      </c>
      <c r="BF167" s="22">
        <f>IFERROR((Parameters!$C$6*AM167+Parameters!$C$7*MAX(AM167-(-150),0)+Parameters!$C$8*MAX(AM167-(-50),0)+Parameters!$C$9*MAX(AM167-(0),0)+Parameters!$C$10*MAX(AM167-(50),0)+Parameters!$C$11*MAX(AM167-(100),0)+Parameters!$C$12*MAX(AM167-(150),0)+Parameters!$C$13*MAX(AM167-(250),0)),0)</f>
        <v/>
      </c>
      <c r="BG167" s="22">
        <f>IFERROR((Parameters!$C$14*AA167+Parameters!$C$15*MAX(AA167-(12),0)+Parameters!$C$16*MAX(AA167-(36),0)+Parameters!$C$17*MAX(AA167-(60),0)+Parameters!$C$18*MAX(AA167-(84),0)+Parameters!$C$19*MAX(AA167-(120),0)+Parameters!$C$20*MAX(AA167-(180),0)),0)</f>
        <v/>
      </c>
      <c r="BH167" s="22">
        <f>IFERROR((Parameters!$C$21*AK167+Parameters!$C$22*MAX(AK167-(0),0)+Parameters!$C$23*MAX(AK167-(2),0)+Parameters!$C$24*MAX(AK167-(5),0)+Parameters!$C$25*MAX(AK167-(8),0)),0)</f>
        <v/>
      </c>
      <c r="BI167" s="22">
        <f>IFERROR((Parameters!$C$26*AI167+Parameters!$C$27*MAX(AI167-(-100),0)+Parameters!$C$28*MAX(AI167-(-25),0)+Parameters!$C$29*MAX(AI167-(25),0)+Parameters!$C$30*MAX(AI167-(100),0)),0)</f>
        <v/>
      </c>
      <c r="BJ167" s="22">
        <f>IFERROR((Parameters!$C$31*AN167+Parameters!$C$32*MAX(AN167-(2),0)+Parameters!$C$33*MAX(AN167-(10),0)+Parameters!$C$34*MAX(AN167-(25),0)),0)</f>
        <v/>
      </c>
      <c r="BK167" s="22">
        <f>IFERROR((Parameters!$C$35*AB167+Parameters!$C$36*MAX(AB167-(12),0)+Parameters!$C$37*MAX(AB167-(24),0)+Parameters!$C$38*MAX(AB167-(60),0)),0)</f>
        <v/>
      </c>
      <c r="BL167" s="22">
        <f>IFERROR((Parameters!$C$39*AC167+Parameters!$C$40*MAX(AC167-(6),0)+Parameters!$C$41*MAX(AC167-(12),0)+Parameters!$C$42*MAX(AC167-(24),0)),0)</f>
        <v/>
      </c>
      <c r="BM167" s="22">
        <f>IFERROR(Parameters!$C$43*(MAX(AM167,0)*MIN(MAX(AK167,0),10))/100,0)</f>
        <v/>
      </c>
      <c r="BN167" s="22">
        <f>Parameters!$C$44*AE167</f>
        <v/>
      </c>
      <c r="BO167" s="22">
        <f>Parameters!$C$45*AU167 + Parameters!$C$46*AV167 + Parameters!$C$47*AW167 + Parameters!$C$48*AX167 + Parameters!$C$49*AY167 + Parameters!$C$50*AZ167 + Parameters!$C$51*BA167</f>
        <v/>
      </c>
      <c r="BP167" s="22">
        <f>Parameters!$C$52*AQ167</f>
        <v/>
      </c>
      <c r="BQ167" s="22">
        <f>Parameters!$C$53*AR167+Parameters!$C$54*AS167+Parameters!$C$55*AT167</f>
        <v/>
      </c>
      <c r="BR167" s="22">
        <f>Parameters!$C$56*BB167+Parameters!$C$57*BC167+Parameters!$C$58*BD167+Parameters!$C$59*BE167</f>
        <v/>
      </c>
      <c r="BS167" s="23">
        <f>Parameters!$B$2</f>
        <v/>
      </c>
      <c r="BT167" s="23">
        <f>BS167+BF167 + BG167 + BH167 + BI167 + BJ167 + BK167 + BL167 + BM167 + BN167 + BO167 + BP167 + BQ167 + BR167</f>
        <v/>
      </c>
      <c r="BU167" s="24">
        <f>IF(AD167=1,0,1/(1+EXP(-BT167))*Parameters!$B$3)</f>
        <v/>
      </c>
      <c r="BV167" s="25">
        <f>(1-(1-BU167)^12)*100</f>
        <v/>
      </c>
      <c r="BW167" s="25">
        <f>IF(AD167=1,0,(1-(1-1/(1+EXP(-Parameters!$B$2)))^12)*100)</f>
        <v/>
      </c>
      <c r="BX167" s="25">
        <f>IF(AD167=1,0,BV167-(1-(1-(1/(1+EXP(-(BT167-BF167)))*Parameters!$B$3))^12)*100)</f>
        <v/>
      </c>
      <c r="BY167" s="25">
        <f>IF(AD167=1,0,BV167-(1-(1-(1/(1+EXP(-(BT167-BG167)))*Parameters!$B$3))^12)*100)</f>
        <v/>
      </c>
      <c r="BZ167" s="25">
        <f>IF(AD167=1,0,BV167-(1-(1-(1/(1+EXP(-(BT167-BH167)))*Parameters!$B$3))^12)*100)</f>
        <v/>
      </c>
      <c r="CA167" s="25">
        <f>IF(AD167=1,0,BV167-(1-(1-(1/(1+EXP(-(BT167-BI167)))*Parameters!$B$3))^12)*100)</f>
        <v/>
      </c>
      <c r="CB167" s="25">
        <f>IF(AD167=1,0,BV167-(1-(1-(1/(1+EXP(-(BT167-BJ167)))*Parameters!$B$3))^12)*100)</f>
        <v/>
      </c>
      <c r="CC167" s="25">
        <f>IF(AD167=1,0,BV167-(1-(1-(1/(1+EXP(-(BT167-BK167)))*Parameters!$B$3))^12)*100)</f>
        <v/>
      </c>
      <c r="CD167" s="25">
        <f>IF(AD167=1,0,BV167-(1-(1-(1/(1+EXP(-(BT167-BL167)))*Parameters!$B$3))^12)*100)</f>
        <v/>
      </c>
      <c r="CE167" s="25">
        <f>IF(AD167=1,0,BV167-(1-(1-(1/(1+EXP(-(BT167-BM167)))*Parameters!$B$3))^12)*100)</f>
        <v/>
      </c>
      <c r="CF167" s="25">
        <f>IF(AD167=1,0,BV167-(1-(1-(1/(1+EXP(-(BT167-BN167)))*Parameters!$B$3))^12)*100)</f>
        <v/>
      </c>
      <c r="CG167" s="25">
        <f>IF(AD167=1,0,BV167-(1-(1-(1/(1+EXP(-(BT167-BO167)))*Parameters!$B$3))^12)*100)</f>
        <v/>
      </c>
      <c r="CH167" s="25">
        <f>IF(AD167=1,0,BV167-(1-(1-(1/(1+EXP(-(BT167-BP167)))*Parameters!$B$3))^12)*100)</f>
        <v/>
      </c>
      <c r="CI167" s="25">
        <f>IF(AD167=1,0,BV167-(1-(1-(1/(1+EXP(-(BT167-BQ167)))*Parameters!$B$3))^12)*100)</f>
        <v/>
      </c>
      <c r="CJ167" s="25">
        <f>IF(AD167=1,0,BV167-(1-(1-(1/(1+EXP(-(BT167-BR167)))*Parameters!$B$3))^12)*100)</f>
        <v/>
      </c>
    </row>
    <row r="168">
      <c r="A168" s="17" t="inlineStr">
        <is>
          <t>GNR_AFF_2018</t>
        </is>
      </c>
      <c r="B168" s="17" t="inlineStr">
        <is>
          <t>3617W8QA6</t>
        </is>
      </c>
      <c r="C168" s="17" t="inlineStr">
        <is>
          <t>PN</t>
        </is>
      </c>
      <c r="D168" s="17" t="inlineStr">
        <is>
          <t>LUMENT REAL ESTATE CAPITAL,LLC</t>
        </is>
      </c>
      <c r="E168" s="17" t="inlineStr">
        <is>
          <t>3617W8QA6_000000001611082</t>
        </is>
      </c>
      <c r="F168" s="17" t="n">
        <v>202603</v>
      </c>
      <c r="G168" s="18" t="n">
        <v>2.25</v>
      </c>
      <c r="H168" s="19" t="n">
        <v>12826799.84</v>
      </c>
      <c r="I168" s="17" t="n">
        <v>420</v>
      </c>
      <c r="J168" s="17" t="n">
        <v>20211101</v>
      </c>
      <c r="K168" s="17" t="n">
        <v>20561201</v>
      </c>
      <c r="L168" s="17" t="n"/>
      <c r="M168" s="17" t="n">
        <v>20320101</v>
      </c>
      <c r="N168" s="17" t="n">
        <v>10</v>
      </c>
      <c r="O168" s="17" t="inlineStr">
        <is>
          <t>207/223(F)</t>
        </is>
      </c>
      <c r="P168" s="17" t="inlineStr">
        <is>
          <t>AFF</t>
        </is>
      </c>
      <c r="Q168" s="17" t="n"/>
      <c r="R168" s="17" t="n"/>
      <c r="S168" s="17" t="n"/>
      <c r="T168" s="17" t="inlineStr">
        <is>
          <t>RI</t>
        </is>
      </c>
      <c r="U168" s="17" t="n">
        <v>174</v>
      </c>
      <c r="V168" s="17" t="n">
        <v>490.5</v>
      </c>
      <c r="W168" s="17" t="n">
        <v>52</v>
      </c>
      <c r="X168" s="17" t="n">
        <v>2021</v>
      </c>
      <c r="Y168" s="17" t="n">
        <v>-33</v>
      </c>
      <c r="Z168" s="17" t="n">
        <v>6</v>
      </c>
      <c r="AA168" s="20">
        <f>IF(ISNUMBER(W168),W168,IFERROR(MAX(0,(VALUE(LEFT(F168,4))-VALUE(LEFT(TEXT(J168,"00000000"),4)))*12+(VALUE(MID(F168,5,2))-VALUE(MID(TEXT(J168,"00000000"),5,2)))),""))</f>
        <v/>
      </c>
      <c r="AB168" s="20">
        <f>IFERROR((VALUE(LEFT(TEXT(K168,"00000000"),4))-VALUE(LEFT(F168,4)))*12+(VALUE(MID(TEXT(K168,"00000000"),5,2))-VALUE(MID(F168,5,2))),"")</f>
        <v/>
      </c>
      <c r="AC168" s="20">
        <f>IF(OR(L168="",NOT(ISNUMBER(L168))),0,MAX(0,MIN(60,(VALUE(LEFT(F168,4))-VALUE(LEFT(TEXT(L168,"00000000"),4)))*12+(VALUE(MID(F168,5,2))-VALUE(MID(TEXT(L168,"00000000"),5,2))))))</f>
        <v/>
      </c>
      <c r="AD168" s="20">
        <f>IF(OR(L168="",NOT(ISNUMBER(L168))),0,IF(VALUE(F168)&lt;VALUE(LEFT(TEXT(L168,"00000000"),6)),1,0))</f>
        <v/>
      </c>
      <c r="AE168" s="20">
        <f>IF(OR(M168="",NOT(ISNUMBER(M168))),0,IF(VALUE(F168)&lt;VALUE(LEFT(TEXT(M168,"00000000"),6)),1,0))</f>
        <v/>
      </c>
      <c r="AF168" s="20">
        <f>IF(AND(AD168=0,AE168=0),1,0)</f>
        <v/>
      </c>
      <c r="AG168" s="20">
        <f>IF(ISNUMBER(X168),X168,IFERROR(VALUE(LEFT(TEXT(J168,"00000000"),4)),""))</f>
        <v/>
      </c>
      <c r="AH168" s="20">
        <f>IFERROR(XLOOKUP(AG168,Vintage_Rates!$A$2:$A$1000,Vintage_Rates!$B$2:$B$1000,""),"")</f>
        <v/>
      </c>
      <c r="AI168" s="20">
        <f>IF(ISNUMBER(Y168),Y168,IFERROR((G168-AH168)*100,""))</f>
        <v/>
      </c>
      <c r="AJ168" s="20">
        <f>IF(ISNUMBER(V168),V168,IFERROR(XLOOKUP(VALUE(F168),PLC_Rates!$A$2:$A$1000,PLC_Rates!$B$2:$B$1000,""),""))</f>
        <v/>
      </c>
      <c r="AK168" s="20">
        <f>IF(ISNUMBER(Z168),Z168,IF(AE168=0,0,MAX(0,MIN(10,((VALUE(LEFT(TEXT(M168,"00000000"),4))-VALUE(LEFT(F168,4)))*12+(VALUE(MID(TEXT(M168,"00000000"),5,2))-VALUE(MID(F168,5,2))))/12))))</f>
        <v/>
      </c>
      <c r="AL168" s="20">
        <f>IFERROR(G168*100-AJ168,"")</f>
        <v/>
      </c>
      <c r="AM168" s="20">
        <f>IFERROR(G168*100-(AJ168+(1+AK168)*12.5),"")</f>
        <v/>
      </c>
      <c r="AN168" s="21">
        <f>IFERROR(MIN(H168/1000000,100),"")</f>
        <v/>
      </c>
      <c r="AO168" s="20">
        <f>IFERROR(INDEX(FHA_Lookup!$B$2:$B$11,MATCH(TRUE,ISNUMBER(SEARCH(FHA_Lookup!$A$2:$A$11,UPPER(SUBSTITUTE(O168," ","")))),0)),"OTHER")</f>
        <v/>
      </c>
      <c r="AP168" s="20">
        <f>IFERROR(INDEX(FHA_Lookup!$C$2:$C$11,MATCH(TRUE,ISNUMBER(SEARCH(FHA_Lookup!$A$2:$A$11,UPPER(SUBSTITUTE(O168," ","")))),0)),"OTHER")</f>
        <v/>
      </c>
      <c r="AQ168" s="20">
        <f>IF(AP168="NC",1,0)</f>
        <v/>
      </c>
      <c r="AR168" s="20">
        <f>IF(UPPER(TRIM(P168))="AFF",1,0)</f>
        <v/>
      </c>
      <c r="AS168" s="20">
        <f>IF(UPPER(TRIM(P168))="BAF",1,0)</f>
        <v/>
      </c>
      <c r="AT168" s="20">
        <f>IF(UPPER(TRIM(P168))="MKT",1,0)</f>
        <v/>
      </c>
      <c r="AU168" s="20">
        <f>IF(AO168="221d4",1,0)</f>
        <v/>
      </c>
      <c r="AV168" s="20">
        <f>IF(AO168="223a7",1,0)</f>
        <v/>
      </c>
      <c r="AW168" s="20">
        <f>IF(AO168="232",1,0)</f>
        <v/>
      </c>
      <c r="AX168" s="20">
        <f>IF(AO168="538",1,0)</f>
        <v/>
      </c>
      <c r="AY168" s="20">
        <f>IF(AO168="241",1,0)</f>
        <v/>
      </c>
      <c r="AZ168" s="20">
        <f>IF(AO168="220",1,0)</f>
        <v/>
      </c>
      <c r="BA168" s="20">
        <f>IF(AO168="OTHER",1,0)</f>
        <v/>
      </c>
      <c r="BB168" s="20">
        <f>IF(UPPER(TRIM(C168))="LM",1,0)</f>
        <v/>
      </c>
      <c r="BC168" s="20">
        <f>IF(UPPER(TRIM(C168))="PN",1,0)</f>
        <v/>
      </c>
      <c r="BD168" s="20">
        <f>IF(UPPER(TRIM(C168))="LS",1,0)</f>
        <v/>
      </c>
      <c r="BE168" s="20">
        <f>IF(UPPER(TRIM(C168))="RX",1,0)</f>
        <v/>
      </c>
      <c r="BF168" s="22">
        <f>IFERROR((Parameters!$C$6*AM168+Parameters!$C$7*MAX(AM168-(-150),0)+Parameters!$C$8*MAX(AM168-(-50),0)+Parameters!$C$9*MAX(AM168-(0),0)+Parameters!$C$10*MAX(AM168-(50),0)+Parameters!$C$11*MAX(AM168-(100),0)+Parameters!$C$12*MAX(AM168-(150),0)+Parameters!$C$13*MAX(AM168-(250),0)),0)</f>
        <v/>
      </c>
      <c r="BG168" s="22">
        <f>IFERROR((Parameters!$C$14*AA168+Parameters!$C$15*MAX(AA168-(12),0)+Parameters!$C$16*MAX(AA168-(36),0)+Parameters!$C$17*MAX(AA168-(60),0)+Parameters!$C$18*MAX(AA168-(84),0)+Parameters!$C$19*MAX(AA168-(120),0)+Parameters!$C$20*MAX(AA168-(180),0)),0)</f>
        <v/>
      </c>
      <c r="BH168" s="22">
        <f>IFERROR((Parameters!$C$21*AK168+Parameters!$C$22*MAX(AK168-(0),0)+Parameters!$C$23*MAX(AK168-(2),0)+Parameters!$C$24*MAX(AK168-(5),0)+Parameters!$C$25*MAX(AK168-(8),0)),0)</f>
        <v/>
      </c>
      <c r="BI168" s="22">
        <f>IFERROR((Parameters!$C$26*AI168+Parameters!$C$27*MAX(AI168-(-100),0)+Parameters!$C$28*MAX(AI168-(-25),0)+Parameters!$C$29*MAX(AI168-(25),0)+Parameters!$C$30*MAX(AI168-(100),0)),0)</f>
        <v/>
      </c>
      <c r="BJ168" s="22">
        <f>IFERROR((Parameters!$C$31*AN168+Parameters!$C$32*MAX(AN168-(2),0)+Parameters!$C$33*MAX(AN168-(10),0)+Parameters!$C$34*MAX(AN168-(25),0)),0)</f>
        <v/>
      </c>
      <c r="BK168" s="22">
        <f>IFERROR((Parameters!$C$35*AB168+Parameters!$C$36*MAX(AB168-(12),0)+Parameters!$C$37*MAX(AB168-(24),0)+Parameters!$C$38*MAX(AB168-(60),0)),0)</f>
        <v/>
      </c>
      <c r="BL168" s="22">
        <f>IFERROR((Parameters!$C$39*AC168+Parameters!$C$40*MAX(AC168-(6),0)+Parameters!$C$41*MAX(AC168-(12),0)+Parameters!$C$42*MAX(AC168-(24),0)),0)</f>
        <v/>
      </c>
      <c r="BM168" s="22">
        <f>IFERROR(Parameters!$C$43*(MAX(AM168,0)*MIN(MAX(AK168,0),10))/100,0)</f>
        <v/>
      </c>
      <c r="BN168" s="22">
        <f>Parameters!$C$44*AE168</f>
        <v/>
      </c>
      <c r="BO168" s="22">
        <f>Parameters!$C$45*AU168 + Parameters!$C$46*AV168 + Parameters!$C$47*AW168 + Parameters!$C$48*AX168 + Parameters!$C$49*AY168 + Parameters!$C$50*AZ168 + Parameters!$C$51*BA168</f>
        <v/>
      </c>
      <c r="BP168" s="22">
        <f>Parameters!$C$52*AQ168</f>
        <v/>
      </c>
      <c r="BQ168" s="22">
        <f>Parameters!$C$53*AR168+Parameters!$C$54*AS168+Parameters!$C$55*AT168</f>
        <v/>
      </c>
      <c r="BR168" s="22">
        <f>Parameters!$C$56*BB168+Parameters!$C$57*BC168+Parameters!$C$58*BD168+Parameters!$C$59*BE168</f>
        <v/>
      </c>
      <c r="BS168" s="23">
        <f>Parameters!$B$2</f>
        <v/>
      </c>
      <c r="BT168" s="23">
        <f>BS168+BF168 + BG168 + BH168 + BI168 + BJ168 + BK168 + BL168 + BM168 + BN168 + BO168 + BP168 + BQ168 + BR168</f>
        <v/>
      </c>
      <c r="BU168" s="24">
        <f>IF(AD168=1,0,1/(1+EXP(-BT168))*Parameters!$B$3)</f>
        <v/>
      </c>
      <c r="BV168" s="25">
        <f>(1-(1-BU168)^12)*100</f>
        <v/>
      </c>
      <c r="BW168" s="25">
        <f>IF(AD168=1,0,(1-(1-1/(1+EXP(-Parameters!$B$2)))^12)*100)</f>
        <v/>
      </c>
      <c r="BX168" s="25">
        <f>IF(AD168=1,0,BV168-(1-(1-(1/(1+EXP(-(BT168-BF168)))*Parameters!$B$3))^12)*100)</f>
        <v/>
      </c>
      <c r="BY168" s="25">
        <f>IF(AD168=1,0,BV168-(1-(1-(1/(1+EXP(-(BT168-BG168)))*Parameters!$B$3))^12)*100)</f>
        <v/>
      </c>
      <c r="BZ168" s="25">
        <f>IF(AD168=1,0,BV168-(1-(1-(1/(1+EXP(-(BT168-BH168)))*Parameters!$B$3))^12)*100)</f>
        <v/>
      </c>
      <c r="CA168" s="25">
        <f>IF(AD168=1,0,BV168-(1-(1-(1/(1+EXP(-(BT168-BI168)))*Parameters!$B$3))^12)*100)</f>
        <v/>
      </c>
      <c r="CB168" s="25">
        <f>IF(AD168=1,0,BV168-(1-(1-(1/(1+EXP(-(BT168-BJ168)))*Parameters!$B$3))^12)*100)</f>
        <v/>
      </c>
      <c r="CC168" s="25">
        <f>IF(AD168=1,0,BV168-(1-(1-(1/(1+EXP(-(BT168-BK168)))*Parameters!$B$3))^12)*100)</f>
        <v/>
      </c>
      <c r="CD168" s="25">
        <f>IF(AD168=1,0,BV168-(1-(1-(1/(1+EXP(-(BT168-BL168)))*Parameters!$B$3))^12)*100)</f>
        <v/>
      </c>
      <c r="CE168" s="25">
        <f>IF(AD168=1,0,BV168-(1-(1-(1/(1+EXP(-(BT168-BM168)))*Parameters!$B$3))^12)*100)</f>
        <v/>
      </c>
      <c r="CF168" s="25">
        <f>IF(AD168=1,0,BV168-(1-(1-(1/(1+EXP(-(BT168-BN168)))*Parameters!$B$3))^12)*100)</f>
        <v/>
      </c>
      <c r="CG168" s="25">
        <f>IF(AD168=1,0,BV168-(1-(1-(1/(1+EXP(-(BT168-BO168)))*Parameters!$B$3))^12)*100)</f>
        <v/>
      </c>
      <c r="CH168" s="25">
        <f>IF(AD168=1,0,BV168-(1-(1-(1/(1+EXP(-(BT168-BP168)))*Parameters!$B$3))^12)*100)</f>
        <v/>
      </c>
      <c r="CI168" s="25">
        <f>IF(AD168=1,0,BV168-(1-(1-(1/(1+EXP(-(BT168-BQ168)))*Parameters!$B$3))^12)*100)</f>
        <v/>
      </c>
      <c r="CJ168" s="25">
        <f>IF(AD168=1,0,BV168-(1-(1-(1/(1+EXP(-(BT168-BR168)))*Parameters!$B$3))^12)*100)</f>
        <v/>
      </c>
    </row>
    <row r="169">
      <c r="A169" s="17" t="inlineStr">
        <is>
          <t>GNR_AFF_2018</t>
        </is>
      </c>
      <c r="B169" s="17" t="inlineStr">
        <is>
          <t>36191SKB6</t>
        </is>
      </c>
      <c r="C169" s="17" t="inlineStr">
        <is>
          <t>PN</t>
        </is>
      </c>
      <c r="D169" s="17" t="inlineStr">
        <is>
          <t>HIGHLAND COMMERCIAL MORTGAGE, LLC.</t>
        </is>
      </c>
      <c r="E169" s="17" t="inlineStr">
        <is>
          <t>36191SKB6_000000006510003</t>
        </is>
      </c>
      <c r="F169" s="17" t="n">
        <v>202603</v>
      </c>
      <c r="G169" s="18" t="n">
        <v>3.95</v>
      </c>
      <c r="H169" s="19" t="n">
        <v>2219699.05</v>
      </c>
      <c r="I169" s="17" t="n">
        <v>480</v>
      </c>
      <c r="J169" s="17" t="n">
        <v>20170901</v>
      </c>
      <c r="K169" s="17" t="n">
        <v>20590201</v>
      </c>
      <c r="L169" s="17" t="n"/>
      <c r="M169" s="17" t="n">
        <v>20290301</v>
      </c>
      <c r="N169" s="17" t="n">
        <v>10</v>
      </c>
      <c r="O169" s="17" t="inlineStr">
        <is>
          <t>241(A)</t>
        </is>
      </c>
      <c r="P169" s="17" t="inlineStr">
        <is>
          <t>BAF</t>
        </is>
      </c>
      <c r="Q169" s="17" t="n"/>
      <c r="R169" s="17" t="n"/>
      <c r="S169" s="17" t="n"/>
      <c r="T169" s="17" t="inlineStr">
        <is>
          <t>MS</t>
        </is>
      </c>
      <c r="U169" s="17" t="n">
        <v>101</v>
      </c>
      <c r="V169" s="17" t="n">
        <v>490.5</v>
      </c>
      <c r="W169" s="17" t="n">
        <v>102</v>
      </c>
      <c r="X169" s="17" t="n">
        <v>2017</v>
      </c>
      <c r="Y169" s="17" t="n">
        <v>48</v>
      </c>
      <c r="Z169" s="17" t="n">
        <v>3</v>
      </c>
      <c r="AA169" s="20">
        <f>IF(ISNUMBER(W169),W169,IFERROR(MAX(0,(VALUE(LEFT(F169,4))-VALUE(LEFT(TEXT(J169,"00000000"),4)))*12+(VALUE(MID(F169,5,2))-VALUE(MID(TEXT(J169,"00000000"),5,2)))),""))</f>
        <v/>
      </c>
      <c r="AB169" s="20">
        <f>IFERROR((VALUE(LEFT(TEXT(K169,"00000000"),4))-VALUE(LEFT(F169,4)))*12+(VALUE(MID(TEXT(K169,"00000000"),5,2))-VALUE(MID(F169,5,2))),"")</f>
        <v/>
      </c>
      <c r="AC169" s="20">
        <f>IF(OR(L169="",NOT(ISNUMBER(L169))),0,MAX(0,MIN(60,(VALUE(LEFT(F169,4))-VALUE(LEFT(TEXT(L169,"00000000"),4)))*12+(VALUE(MID(F169,5,2))-VALUE(MID(TEXT(L169,"00000000"),5,2))))))</f>
        <v/>
      </c>
      <c r="AD169" s="20">
        <f>IF(OR(L169="",NOT(ISNUMBER(L169))),0,IF(VALUE(F169)&lt;VALUE(LEFT(TEXT(L169,"00000000"),6)),1,0))</f>
        <v/>
      </c>
      <c r="AE169" s="20">
        <f>IF(OR(M169="",NOT(ISNUMBER(M169))),0,IF(VALUE(F169)&lt;VALUE(LEFT(TEXT(M169,"00000000"),6)),1,0))</f>
        <v/>
      </c>
      <c r="AF169" s="20">
        <f>IF(AND(AD169=0,AE169=0),1,0)</f>
        <v/>
      </c>
      <c r="AG169" s="20">
        <f>IF(ISNUMBER(X169),X169,IFERROR(VALUE(LEFT(TEXT(J169,"00000000"),4)),""))</f>
        <v/>
      </c>
      <c r="AH169" s="20">
        <f>IFERROR(XLOOKUP(AG169,Vintage_Rates!$A$2:$A$1000,Vintage_Rates!$B$2:$B$1000,""),"")</f>
        <v/>
      </c>
      <c r="AI169" s="20">
        <f>IF(ISNUMBER(Y169),Y169,IFERROR((G169-AH169)*100,""))</f>
        <v/>
      </c>
      <c r="AJ169" s="20">
        <f>IF(ISNUMBER(V169),V169,IFERROR(XLOOKUP(VALUE(F169),PLC_Rates!$A$2:$A$1000,PLC_Rates!$B$2:$B$1000,""),""))</f>
        <v/>
      </c>
      <c r="AK169" s="20">
        <f>IF(ISNUMBER(Z169),Z169,IF(AE169=0,0,MAX(0,MIN(10,((VALUE(LEFT(TEXT(M169,"00000000"),4))-VALUE(LEFT(F169,4)))*12+(VALUE(MID(TEXT(M169,"00000000"),5,2))-VALUE(MID(F169,5,2))))/12))))</f>
        <v/>
      </c>
      <c r="AL169" s="20">
        <f>IFERROR(G169*100-AJ169,"")</f>
        <v/>
      </c>
      <c r="AM169" s="20">
        <f>IFERROR(G169*100-(AJ169+(1+AK169)*12.5),"")</f>
        <v/>
      </c>
      <c r="AN169" s="21">
        <f>IFERROR(MIN(H169/1000000,100),"")</f>
        <v/>
      </c>
      <c r="AO169" s="20">
        <f>IFERROR(INDEX(FHA_Lookup!$B$2:$B$11,MATCH(TRUE,ISNUMBER(SEARCH(FHA_Lookup!$A$2:$A$11,UPPER(SUBSTITUTE(O169," ","")))),0)),"OTHER")</f>
        <v/>
      </c>
      <c r="AP169" s="20">
        <f>IFERROR(INDEX(FHA_Lookup!$C$2:$C$11,MATCH(TRUE,ISNUMBER(SEARCH(FHA_Lookup!$A$2:$A$11,UPPER(SUBSTITUTE(O169," ","")))),0)),"OTHER")</f>
        <v/>
      </c>
      <c r="AQ169" s="20">
        <f>IF(AP169="NC",1,0)</f>
        <v/>
      </c>
      <c r="AR169" s="20">
        <f>IF(UPPER(TRIM(P169))="AFF",1,0)</f>
        <v/>
      </c>
      <c r="AS169" s="20">
        <f>IF(UPPER(TRIM(P169))="BAF",1,0)</f>
        <v/>
      </c>
      <c r="AT169" s="20">
        <f>IF(UPPER(TRIM(P169))="MKT",1,0)</f>
        <v/>
      </c>
      <c r="AU169" s="20">
        <f>IF(AO169="221d4",1,0)</f>
        <v/>
      </c>
      <c r="AV169" s="20">
        <f>IF(AO169="223a7",1,0)</f>
        <v/>
      </c>
      <c r="AW169" s="20">
        <f>IF(AO169="232",1,0)</f>
        <v/>
      </c>
      <c r="AX169" s="20">
        <f>IF(AO169="538",1,0)</f>
        <v/>
      </c>
      <c r="AY169" s="20">
        <f>IF(AO169="241",1,0)</f>
        <v/>
      </c>
      <c r="AZ169" s="20">
        <f>IF(AO169="220",1,0)</f>
        <v/>
      </c>
      <c r="BA169" s="20">
        <f>IF(AO169="OTHER",1,0)</f>
        <v/>
      </c>
      <c r="BB169" s="20">
        <f>IF(UPPER(TRIM(C169))="LM",1,0)</f>
        <v/>
      </c>
      <c r="BC169" s="20">
        <f>IF(UPPER(TRIM(C169))="PN",1,0)</f>
        <v/>
      </c>
      <c r="BD169" s="20">
        <f>IF(UPPER(TRIM(C169))="LS",1,0)</f>
        <v/>
      </c>
      <c r="BE169" s="20">
        <f>IF(UPPER(TRIM(C169))="RX",1,0)</f>
        <v/>
      </c>
      <c r="BF169" s="22">
        <f>IFERROR((Parameters!$C$6*AM169+Parameters!$C$7*MAX(AM169-(-150),0)+Parameters!$C$8*MAX(AM169-(-50),0)+Parameters!$C$9*MAX(AM169-(0),0)+Parameters!$C$10*MAX(AM169-(50),0)+Parameters!$C$11*MAX(AM169-(100),0)+Parameters!$C$12*MAX(AM169-(150),0)+Parameters!$C$13*MAX(AM169-(250),0)),0)</f>
        <v/>
      </c>
      <c r="BG169" s="22">
        <f>IFERROR((Parameters!$C$14*AA169+Parameters!$C$15*MAX(AA169-(12),0)+Parameters!$C$16*MAX(AA169-(36),0)+Parameters!$C$17*MAX(AA169-(60),0)+Parameters!$C$18*MAX(AA169-(84),0)+Parameters!$C$19*MAX(AA169-(120),0)+Parameters!$C$20*MAX(AA169-(180),0)),0)</f>
        <v/>
      </c>
      <c r="BH169" s="22">
        <f>IFERROR((Parameters!$C$21*AK169+Parameters!$C$22*MAX(AK169-(0),0)+Parameters!$C$23*MAX(AK169-(2),0)+Parameters!$C$24*MAX(AK169-(5),0)+Parameters!$C$25*MAX(AK169-(8),0)),0)</f>
        <v/>
      </c>
      <c r="BI169" s="22">
        <f>IFERROR((Parameters!$C$26*AI169+Parameters!$C$27*MAX(AI169-(-100),0)+Parameters!$C$28*MAX(AI169-(-25),0)+Parameters!$C$29*MAX(AI169-(25),0)+Parameters!$C$30*MAX(AI169-(100),0)),0)</f>
        <v/>
      </c>
      <c r="BJ169" s="22">
        <f>IFERROR((Parameters!$C$31*AN169+Parameters!$C$32*MAX(AN169-(2),0)+Parameters!$C$33*MAX(AN169-(10),0)+Parameters!$C$34*MAX(AN169-(25),0)),0)</f>
        <v/>
      </c>
      <c r="BK169" s="22">
        <f>IFERROR((Parameters!$C$35*AB169+Parameters!$C$36*MAX(AB169-(12),0)+Parameters!$C$37*MAX(AB169-(24),0)+Parameters!$C$38*MAX(AB169-(60),0)),0)</f>
        <v/>
      </c>
      <c r="BL169" s="22">
        <f>IFERROR((Parameters!$C$39*AC169+Parameters!$C$40*MAX(AC169-(6),0)+Parameters!$C$41*MAX(AC169-(12),0)+Parameters!$C$42*MAX(AC169-(24),0)),0)</f>
        <v/>
      </c>
      <c r="BM169" s="22">
        <f>IFERROR(Parameters!$C$43*(MAX(AM169,0)*MIN(MAX(AK169,0),10))/100,0)</f>
        <v/>
      </c>
      <c r="BN169" s="22">
        <f>Parameters!$C$44*AE169</f>
        <v/>
      </c>
      <c r="BO169" s="22">
        <f>Parameters!$C$45*AU169 + Parameters!$C$46*AV169 + Parameters!$C$47*AW169 + Parameters!$C$48*AX169 + Parameters!$C$49*AY169 + Parameters!$C$50*AZ169 + Parameters!$C$51*BA169</f>
        <v/>
      </c>
      <c r="BP169" s="22">
        <f>Parameters!$C$52*AQ169</f>
        <v/>
      </c>
      <c r="BQ169" s="22">
        <f>Parameters!$C$53*AR169+Parameters!$C$54*AS169+Parameters!$C$55*AT169</f>
        <v/>
      </c>
      <c r="BR169" s="22">
        <f>Parameters!$C$56*BB169+Parameters!$C$57*BC169+Parameters!$C$58*BD169+Parameters!$C$59*BE169</f>
        <v/>
      </c>
      <c r="BS169" s="23">
        <f>Parameters!$B$2</f>
        <v/>
      </c>
      <c r="BT169" s="23">
        <f>BS169+BF169 + BG169 + BH169 + BI169 + BJ169 + BK169 + BL169 + BM169 + BN169 + BO169 + BP169 + BQ169 + BR169</f>
        <v/>
      </c>
      <c r="BU169" s="24">
        <f>IF(AD169=1,0,1/(1+EXP(-BT169))*Parameters!$B$3)</f>
        <v/>
      </c>
      <c r="BV169" s="25">
        <f>(1-(1-BU169)^12)*100</f>
        <v/>
      </c>
      <c r="BW169" s="25">
        <f>IF(AD169=1,0,(1-(1-1/(1+EXP(-Parameters!$B$2)))^12)*100)</f>
        <v/>
      </c>
      <c r="BX169" s="25">
        <f>IF(AD169=1,0,BV169-(1-(1-(1/(1+EXP(-(BT169-BF169)))*Parameters!$B$3))^12)*100)</f>
        <v/>
      </c>
      <c r="BY169" s="25">
        <f>IF(AD169=1,0,BV169-(1-(1-(1/(1+EXP(-(BT169-BG169)))*Parameters!$B$3))^12)*100)</f>
        <v/>
      </c>
      <c r="BZ169" s="25">
        <f>IF(AD169=1,0,BV169-(1-(1-(1/(1+EXP(-(BT169-BH169)))*Parameters!$B$3))^12)*100)</f>
        <v/>
      </c>
      <c r="CA169" s="25">
        <f>IF(AD169=1,0,BV169-(1-(1-(1/(1+EXP(-(BT169-BI169)))*Parameters!$B$3))^12)*100)</f>
        <v/>
      </c>
      <c r="CB169" s="25">
        <f>IF(AD169=1,0,BV169-(1-(1-(1/(1+EXP(-(BT169-BJ169)))*Parameters!$B$3))^12)*100)</f>
        <v/>
      </c>
      <c r="CC169" s="25">
        <f>IF(AD169=1,0,BV169-(1-(1-(1/(1+EXP(-(BT169-BK169)))*Parameters!$B$3))^12)*100)</f>
        <v/>
      </c>
      <c r="CD169" s="25">
        <f>IF(AD169=1,0,BV169-(1-(1-(1/(1+EXP(-(BT169-BL169)))*Parameters!$B$3))^12)*100)</f>
        <v/>
      </c>
      <c r="CE169" s="25">
        <f>IF(AD169=1,0,BV169-(1-(1-(1/(1+EXP(-(BT169-BM169)))*Parameters!$B$3))^12)*100)</f>
        <v/>
      </c>
      <c r="CF169" s="25">
        <f>IF(AD169=1,0,BV169-(1-(1-(1/(1+EXP(-(BT169-BN169)))*Parameters!$B$3))^12)*100)</f>
        <v/>
      </c>
      <c r="CG169" s="25">
        <f>IF(AD169=1,0,BV169-(1-(1-(1/(1+EXP(-(BT169-BO169)))*Parameters!$B$3))^12)*100)</f>
        <v/>
      </c>
      <c r="CH169" s="25">
        <f>IF(AD169=1,0,BV169-(1-(1-(1/(1+EXP(-(BT169-BP169)))*Parameters!$B$3))^12)*100)</f>
        <v/>
      </c>
      <c r="CI169" s="25">
        <f>IF(AD169=1,0,BV169-(1-(1-(1/(1+EXP(-(BT169-BQ169)))*Parameters!$B$3))^12)*100)</f>
        <v/>
      </c>
      <c r="CJ169" s="25">
        <f>IF(AD169=1,0,BV169-(1-(1-(1/(1+EXP(-(BT169-BR169)))*Parameters!$B$3))^12)*100)</f>
        <v/>
      </c>
    </row>
    <row r="170">
      <c r="A170" s="17" t="inlineStr">
        <is>
          <t>GNR_AFF_2018</t>
        </is>
      </c>
      <c r="B170" s="17" t="inlineStr">
        <is>
          <t>3617XPFZ4</t>
        </is>
      </c>
      <c r="C170" s="17" t="inlineStr">
        <is>
          <t>LM</t>
        </is>
      </c>
      <c r="D170" s="17" t="inlineStr">
        <is>
          <t>MIDLAND STATES BANK</t>
        </is>
      </c>
      <c r="E170" s="17" t="inlineStr">
        <is>
          <t>3617XPFZ4_000000003211054</t>
        </is>
      </c>
      <c r="F170" s="17" t="n">
        <v>202603</v>
      </c>
      <c r="G170" s="18" t="n">
        <v>3.3</v>
      </c>
      <c r="H170" s="19" t="n">
        <v>9150607.34</v>
      </c>
      <c r="I170" s="17" t="n">
        <v>388</v>
      </c>
      <c r="J170" s="17" t="n">
        <v>20190329</v>
      </c>
      <c r="K170" s="17" t="n">
        <v>20540401</v>
      </c>
      <c r="L170" s="17" t="n">
        <v>20230101</v>
      </c>
      <c r="M170" s="17" t="n">
        <v>20320101</v>
      </c>
      <c r="N170" s="17" t="n">
        <v>9</v>
      </c>
      <c r="O170" s="17" t="inlineStr">
        <is>
          <t>207/223(f)</t>
        </is>
      </c>
      <c r="P170" s="17" t="inlineStr">
        <is>
          <t>BAF</t>
        </is>
      </c>
      <c r="Q170" s="17" t="inlineStr">
        <is>
          <t>M</t>
        </is>
      </c>
      <c r="R170" s="17" t="n"/>
      <c r="S170" s="17" t="n">
        <v>1</v>
      </c>
      <c r="T170" s="17" t="inlineStr">
        <is>
          <t>DE</t>
        </is>
      </c>
      <c r="U170" s="17" t="n">
        <v>169</v>
      </c>
      <c r="V170" s="17" t="n">
        <v>490.5</v>
      </c>
      <c r="W170" s="17" t="n">
        <v>84</v>
      </c>
      <c r="X170" s="17" t="n">
        <v>2019</v>
      </c>
      <c r="Y170" s="17" t="n">
        <v>-37</v>
      </c>
      <c r="Z170" s="17" t="n">
        <v>6</v>
      </c>
      <c r="AA170" s="20">
        <f>IF(ISNUMBER(W170),W170,IFERROR(MAX(0,(VALUE(LEFT(F170,4))-VALUE(LEFT(TEXT(J170,"00000000"),4)))*12+(VALUE(MID(F170,5,2))-VALUE(MID(TEXT(J170,"00000000"),5,2)))),""))</f>
        <v/>
      </c>
      <c r="AB170" s="20">
        <f>IFERROR((VALUE(LEFT(TEXT(K170,"00000000"),4))-VALUE(LEFT(F170,4)))*12+(VALUE(MID(TEXT(K170,"00000000"),5,2))-VALUE(MID(F170,5,2))),"")</f>
        <v/>
      </c>
      <c r="AC170" s="20">
        <f>IF(OR(L170="",NOT(ISNUMBER(L170))),0,MAX(0,MIN(60,(VALUE(LEFT(F170,4))-VALUE(LEFT(TEXT(L170,"00000000"),4)))*12+(VALUE(MID(F170,5,2))-VALUE(MID(TEXT(L170,"00000000"),5,2))))))</f>
        <v/>
      </c>
      <c r="AD170" s="20">
        <f>IF(OR(L170="",NOT(ISNUMBER(L170))),0,IF(VALUE(F170)&lt;VALUE(LEFT(TEXT(L170,"00000000"),6)),1,0))</f>
        <v/>
      </c>
      <c r="AE170" s="20">
        <f>IF(OR(M170="",NOT(ISNUMBER(M170))),0,IF(VALUE(F170)&lt;VALUE(LEFT(TEXT(M170,"00000000"),6)),1,0))</f>
        <v/>
      </c>
      <c r="AF170" s="20">
        <f>IF(AND(AD170=0,AE170=0),1,0)</f>
        <v/>
      </c>
      <c r="AG170" s="20">
        <f>IF(ISNUMBER(X170),X170,IFERROR(VALUE(LEFT(TEXT(J170,"00000000"),4)),""))</f>
        <v/>
      </c>
      <c r="AH170" s="20">
        <f>IFERROR(XLOOKUP(AG170,Vintage_Rates!$A$2:$A$1000,Vintage_Rates!$B$2:$B$1000,""),"")</f>
        <v/>
      </c>
      <c r="AI170" s="20">
        <f>IF(ISNUMBER(Y170),Y170,IFERROR((G170-AH170)*100,""))</f>
        <v/>
      </c>
      <c r="AJ170" s="20">
        <f>IF(ISNUMBER(V170),V170,IFERROR(XLOOKUP(VALUE(F170),PLC_Rates!$A$2:$A$1000,PLC_Rates!$B$2:$B$1000,""),""))</f>
        <v/>
      </c>
      <c r="AK170" s="20">
        <f>IF(ISNUMBER(Z170),Z170,IF(AE170=0,0,MAX(0,MIN(10,((VALUE(LEFT(TEXT(M170,"00000000"),4))-VALUE(LEFT(F170,4)))*12+(VALUE(MID(TEXT(M170,"00000000"),5,2))-VALUE(MID(F170,5,2))))/12))))</f>
        <v/>
      </c>
      <c r="AL170" s="20">
        <f>IFERROR(G170*100-AJ170,"")</f>
        <v/>
      </c>
      <c r="AM170" s="20">
        <f>IFERROR(G170*100-(AJ170+(1+AK170)*12.5),"")</f>
        <v/>
      </c>
      <c r="AN170" s="21">
        <f>IFERROR(MIN(H170/1000000,100),"")</f>
        <v/>
      </c>
      <c r="AO170" s="20">
        <f>IFERROR(INDEX(FHA_Lookup!$B$2:$B$11,MATCH(TRUE,ISNUMBER(SEARCH(FHA_Lookup!$A$2:$A$11,UPPER(SUBSTITUTE(O170," ","")))),0)),"OTHER")</f>
        <v/>
      </c>
      <c r="AP170" s="20">
        <f>IFERROR(INDEX(FHA_Lookup!$C$2:$C$11,MATCH(TRUE,ISNUMBER(SEARCH(FHA_Lookup!$A$2:$A$11,UPPER(SUBSTITUTE(O170," ","")))),0)),"OTHER")</f>
        <v/>
      </c>
      <c r="AQ170" s="20">
        <f>IF(AP170="NC",1,0)</f>
        <v/>
      </c>
      <c r="AR170" s="20">
        <f>IF(UPPER(TRIM(P170))="AFF",1,0)</f>
        <v/>
      </c>
      <c r="AS170" s="20">
        <f>IF(UPPER(TRIM(P170))="BAF",1,0)</f>
        <v/>
      </c>
      <c r="AT170" s="20">
        <f>IF(UPPER(TRIM(P170))="MKT",1,0)</f>
        <v/>
      </c>
      <c r="AU170" s="20">
        <f>IF(AO170="221d4",1,0)</f>
        <v/>
      </c>
      <c r="AV170" s="20">
        <f>IF(AO170="223a7",1,0)</f>
        <v/>
      </c>
      <c r="AW170" s="20">
        <f>IF(AO170="232",1,0)</f>
        <v/>
      </c>
      <c r="AX170" s="20">
        <f>IF(AO170="538",1,0)</f>
        <v/>
      </c>
      <c r="AY170" s="20">
        <f>IF(AO170="241",1,0)</f>
        <v/>
      </c>
      <c r="AZ170" s="20">
        <f>IF(AO170="220",1,0)</f>
        <v/>
      </c>
      <c r="BA170" s="20">
        <f>IF(AO170="OTHER",1,0)</f>
        <v/>
      </c>
      <c r="BB170" s="20">
        <f>IF(UPPER(TRIM(C170))="LM",1,0)</f>
        <v/>
      </c>
      <c r="BC170" s="20">
        <f>IF(UPPER(TRIM(C170))="PN",1,0)</f>
        <v/>
      </c>
      <c r="BD170" s="20">
        <f>IF(UPPER(TRIM(C170))="LS",1,0)</f>
        <v/>
      </c>
      <c r="BE170" s="20">
        <f>IF(UPPER(TRIM(C170))="RX",1,0)</f>
        <v/>
      </c>
      <c r="BF170" s="22">
        <f>IFERROR((Parameters!$C$6*AM170+Parameters!$C$7*MAX(AM170-(-150),0)+Parameters!$C$8*MAX(AM170-(-50),0)+Parameters!$C$9*MAX(AM170-(0),0)+Parameters!$C$10*MAX(AM170-(50),0)+Parameters!$C$11*MAX(AM170-(100),0)+Parameters!$C$12*MAX(AM170-(150),0)+Parameters!$C$13*MAX(AM170-(250),0)),0)</f>
        <v/>
      </c>
      <c r="BG170" s="22">
        <f>IFERROR((Parameters!$C$14*AA170+Parameters!$C$15*MAX(AA170-(12),0)+Parameters!$C$16*MAX(AA170-(36),0)+Parameters!$C$17*MAX(AA170-(60),0)+Parameters!$C$18*MAX(AA170-(84),0)+Parameters!$C$19*MAX(AA170-(120),0)+Parameters!$C$20*MAX(AA170-(180),0)),0)</f>
        <v/>
      </c>
      <c r="BH170" s="22">
        <f>IFERROR((Parameters!$C$21*AK170+Parameters!$C$22*MAX(AK170-(0),0)+Parameters!$C$23*MAX(AK170-(2),0)+Parameters!$C$24*MAX(AK170-(5),0)+Parameters!$C$25*MAX(AK170-(8),0)),0)</f>
        <v/>
      </c>
      <c r="BI170" s="22">
        <f>IFERROR((Parameters!$C$26*AI170+Parameters!$C$27*MAX(AI170-(-100),0)+Parameters!$C$28*MAX(AI170-(-25),0)+Parameters!$C$29*MAX(AI170-(25),0)+Parameters!$C$30*MAX(AI170-(100),0)),0)</f>
        <v/>
      </c>
      <c r="BJ170" s="22">
        <f>IFERROR((Parameters!$C$31*AN170+Parameters!$C$32*MAX(AN170-(2),0)+Parameters!$C$33*MAX(AN170-(10),0)+Parameters!$C$34*MAX(AN170-(25),0)),0)</f>
        <v/>
      </c>
      <c r="BK170" s="22">
        <f>IFERROR((Parameters!$C$35*AB170+Parameters!$C$36*MAX(AB170-(12),0)+Parameters!$C$37*MAX(AB170-(24),0)+Parameters!$C$38*MAX(AB170-(60),0)),0)</f>
        <v/>
      </c>
      <c r="BL170" s="22">
        <f>IFERROR((Parameters!$C$39*AC170+Parameters!$C$40*MAX(AC170-(6),0)+Parameters!$C$41*MAX(AC170-(12),0)+Parameters!$C$42*MAX(AC170-(24),0)),0)</f>
        <v/>
      </c>
      <c r="BM170" s="22">
        <f>IFERROR(Parameters!$C$43*(MAX(AM170,0)*MIN(MAX(AK170,0),10))/100,0)</f>
        <v/>
      </c>
      <c r="BN170" s="22">
        <f>Parameters!$C$44*AE170</f>
        <v/>
      </c>
      <c r="BO170" s="22">
        <f>Parameters!$C$45*AU170 + Parameters!$C$46*AV170 + Parameters!$C$47*AW170 + Parameters!$C$48*AX170 + Parameters!$C$49*AY170 + Parameters!$C$50*AZ170 + Parameters!$C$51*BA170</f>
        <v/>
      </c>
      <c r="BP170" s="22">
        <f>Parameters!$C$52*AQ170</f>
        <v/>
      </c>
      <c r="BQ170" s="22">
        <f>Parameters!$C$53*AR170+Parameters!$C$54*AS170+Parameters!$C$55*AT170</f>
        <v/>
      </c>
      <c r="BR170" s="22">
        <f>Parameters!$C$56*BB170+Parameters!$C$57*BC170+Parameters!$C$58*BD170+Parameters!$C$59*BE170</f>
        <v/>
      </c>
      <c r="BS170" s="23">
        <f>Parameters!$B$2</f>
        <v/>
      </c>
      <c r="BT170" s="23">
        <f>BS170+BF170 + BG170 + BH170 + BI170 + BJ170 + BK170 + BL170 + BM170 + BN170 + BO170 + BP170 + BQ170 + BR170</f>
        <v/>
      </c>
      <c r="BU170" s="24">
        <f>IF(AD170=1,0,1/(1+EXP(-BT170))*Parameters!$B$3)</f>
        <v/>
      </c>
      <c r="BV170" s="25">
        <f>(1-(1-BU170)^12)*100</f>
        <v/>
      </c>
      <c r="BW170" s="25">
        <f>IF(AD170=1,0,(1-(1-1/(1+EXP(-Parameters!$B$2)))^12)*100)</f>
        <v/>
      </c>
      <c r="BX170" s="25">
        <f>IF(AD170=1,0,BV170-(1-(1-(1/(1+EXP(-(BT170-BF170)))*Parameters!$B$3))^12)*100)</f>
        <v/>
      </c>
      <c r="BY170" s="25">
        <f>IF(AD170=1,0,BV170-(1-(1-(1/(1+EXP(-(BT170-BG170)))*Parameters!$B$3))^12)*100)</f>
        <v/>
      </c>
      <c r="BZ170" s="25">
        <f>IF(AD170=1,0,BV170-(1-(1-(1/(1+EXP(-(BT170-BH170)))*Parameters!$B$3))^12)*100)</f>
        <v/>
      </c>
      <c r="CA170" s="25">
        <f>IF(AD170=1,0,BV170-(1-(1-(1/(1+EXP(-(BT170-BI170)))*Parameters!$B$3))^12)*100)</f>
        <v/>
      </c>
      <c r="CB170" s="25">
        <f>IF(AD170=1,0,BV170-(1-(1-(1/(1+EXP(-(BT170-BJ170)))*Parameters!$B$3))^12)*100)</f>
        <v/>
      </c>
      <c r="CC170" s="25">
        <f>IF(AD170=1,0,BV170-(1-(1-(1/(1+EXP(-(BT170-BK170)))*Parameters!$B$3))^12)*100)</f>
        <v/>
      </c>
      <c r="CD170" s="25">
        <f>IF(AD170=1,0,BV170-(1-(1-(1/(1+EXP(-(BT170-BL170)))*Parameters!$B$3))^12)*100)</f>
        <v/>
      </c>
      <c r="CE170" s="25">
        <f>IF(AD170=1,0,BV170-(1-(1-(1/(1+EXP(-(BT170-BM170)))*Parameters!$B$3))^12)*100)</f>
        <v/>
      </c>
      <c r="CF170" s="25">
        <f>IF(AD170=1,0,BV170-(1-(1-(1/(1+EXP(-(BT170-BN170)))*Parameters!$B$3))^12)*100)</f>
        <v/>
      </c>
      <c r="CG170" s="25">
        <f>IF(AD170=1,0,BV170-(1-(1-(1/(1+EXP(-(BT170-BO170)))*Parameters!$B$3))^12)*100)</f>
        <v/>
      </c>
      <c r="CH170" s="25">
        <f>IF(AD170=1,0,BV170-(1-(1-(1/(1+EXP(-(BT170-BP170)))*Parameters!$B$3))^12)*100)</f>
        <v/>
      </c>
      <c r="CI170" s="25">
        <f>IF(AD170=1,0,BV170-(1-(1-(1/(1+EXP(-(BT170-BQ170)))*Parameters!$B$3))^12)*100)</f>
        <v/>
      </c>
      <c r="CJ170" s="25">
        <f>IF(AD170=1,0,BV170-(1-(1-(1/(1+EXP(-(BT170-BR170)))*Parameters!$B$3))^12)*100)</f>
        <v/>
      </c>
    </row>
    <row r="171">
      <c r="A171" s="17" t="inlineStr">
        <is>
          <t>GNR_AFF_2018</t>
        </is>
      </c>
      <c r="B171" s="17" t="inlineStr">
        <is>
          <t>3617JUB26</t>
        </is>
      </c>
      <c r="C171" s="17" t="inlineStr">
        <is>
          <t>PN</t>
        </is>
      </c>
      <c r="D171" s="17" t="inlineStr">
        <is>
          <t>NORTHMARQ FINANCE, LLC</t>
        </is>
      </c>
      <c r="E171" s="17" t="inlineStr">
        <is>
          <t>3617JUB26_000000008411158</t>
        </is>
      </c>
      <c r="F171" s="17" t="n">
        <v>202603</v>
      </c>
      <c r="G171" s="18" t="n">
        <v>3.07</v>
      </c>
      <c r="H171" s="19" t="n">
        <v>6970308.27</v>
      </c>
      <c r="I171" s="17" t="n">
        <v>420</v>
      </c>
      <c r="J171" s="17" t="n">
        <v>20190904</v>
      </c>
      <c r="K171" s="17" t="n">
        <v>20550501</v>
      </c>
      <c r="L171" s="17" t="n"/>
      <c r="M171" s="17" t="n">
        <v>20300601</v>
      </c>
      <c r="N171" s="17" t="n">
        <v>10</v>
      </c>
      <c r="O171" s="17" t="inlineStr">
        <is>
          <t>207/223(F)</t>
        </is>
      </c>
      <c r="P171" s="17" t="inlineStr">
        <is>
          <t>AFF</t>
        </is>
      </c>
      <c r="Q171" s="17" t="n"/>
      <c r="R171" s="17" t="n"/>
      <c r="S171" s="17" t="n"/>
      <c r="T171" s="17" t="inlineStr">
        <is>
          <t>MO</t>
        </is>
      </c>
      <c r="U171" s="17" t="n">
        <v>136</v>
      </c>
      <c r="V171" s="17" t="n">
        <v>490.5</v>
      </c>
      <c r="W171" s="17" t="n">
        <v>78</v>
      </c>
      <c r="X171" s="17" t="n">
        <v>2019</v>
      </c>
      <c r="Y171" s="17" t="n">
        <v>-60</v>
      </c>
      <c r="Z171" s="17" t="n">
        <v>5</v>
      </c>
      <c r="AA171" s="20">
        <f>IF(ISNUMBER(W171),W171,IFERROR(MAX(0,(VALUE(LEFT(F171,4))-VALUE(LEFT(TEXT(J171,"00000000"),4)))*12+(VALUE(MID(F171,5,2))-VALUE(MID(TEXT(J171,"00000000"),5,2)))),""))</f>
        <v/>
      </c>
      <c r="AB171" s="20">
        <f>IFERROR((VALUE(LEFT(TEXT(K171,"00000000"),4))-VALUE(LEFT(F171,4)))*12+(VALUE(MID(TEXT(K171,"00000000"),5,2))-VALUE(MID(F171,5,2))),"")</f>
        <v/>
      </c>
      <c r="AC171" s="20">
        <f>IF(OR(L171="",NOT(ISNUMBER(L171))),0,MAX(0,MIN(60,(VALUE(LEFT(F171,4))-VALUE(LEFT(TEXT(L171,"00000000"),4)))*12+(VALUE(MID(F171,5,2))-VALUE(MID(TEXT(L171,"00000000"),5,2))))))</f>
        <v/>
      </c>
      <c r="AD171" s="20">
        <f>IF(OR(L171="",NOT(ISNUMBER(L171))),0,IF(VALUE(F171)&lt;VALUE(LEFT(TEXT(L171,"00000000"),6)),1,0))</f>
        <v/>
      </c>
      <c r="AE171" s="20">
        <f>IF(OR(M171="",NOT(ISNUMBER(M171))),0,IF(VALUE(F171)&lt;VALUE(LEFT(TEXT(M171,"00000000"),6)),1,0))</f>
        <v/>
      </c>
      <c r="AF171" s="20">
        <f>IF(AND(AD171=0,AE171=0),1,0)</f>
        <v/>
      </c>
      <c r="AG171" s="20">
        <f>IF(ISNUMBER(X171),X171,IFERROR(VALUE(LEFT(TEXT(J171,"00000000"),4)),""))</f>
        <v/>
      </c>
      <c r="AH171" s="20">
        <f>IFERROR(XLOOKUP(AG171,Vintage_Rates!$A$2:$A$1000,Vintage_Rates!$B$2:$B$1000,""),"")</f>
        <v/>
      </c>
      <c r="AI171" s="20">
        <f>IF(ISNUMBER(Y171),Y171,IFERROR((G171-AH171)*100,""))</f>
        <v/>
      </c>
      <c r="AJ171" s="20">
        <f>IF(ISNUMBER(V171),V171,IFERROR(XLOOKUP(VALUE(F171),PLC_Rates!$A$2:$A$1000,PLC_Rates!$B$2:$B$1000,""),""))</f>
        <v/>
      </c>
      <c r="AK171" s="20">
        <f>IF(ISNUMBER(Z171),Z171,IF(AE171=0,0,MAX(0,MIN(10,((VALUE(LEFT(TEXT(M171,"00000000"),4))-VALUE(LEFT(F171,4)))*12+(VALUE(MID(TEXT(M171,"00000000"),5,2))-VALUE(MID(F171,5,2))))/12))))</f>
        <v/>
      </c>
      <c r="AL171" s="20">
        <f>IFERROR(G171*100-AJ171,"")</f>
        <v/>
      </c>
      <c r="AM171" s="20">
        <f>IFERROR(G171*100-(AJ171+(1+AK171)*12.5),"")</f>
        <v/>
      </c>
      <c r="AN171" s="21">
        <f>IFERROR(MIN(H171/1000000,100),"")</f>
        <v/>
      </c>
      <c r="AO171" s="20">
        <f>IFERROR(INDEX(FHA_Lookup!$B$2:$B$11,MATCH(TRUE,ISNUMBER(SEARCH(FHA_Lookup!$A$2:$A$11,UPPER(SUBSTITUTE(O171," ","")))),0)),"OTHER")</f>
        <v/>
      </c>
      <c r="AP171" s="20">
        <f>IFERROR(INDEX(FHA_Lookup!$C$2:$C$11,MATCH(TRUE,ISNUMBER(SEARCH(FHA_Lookup!$A$2:$A$11,UPPER(SUBSTITUTE(O171," ","")))),0)),"OTHER")</f>
        <v/>
      </c>
      <c r="AQ171" s="20">
        <f>IF(AP171="NC",1,0)</f>
        <v/>
      </c>
      <c r="AR171" s="20">
        <f>IF(UPPER(TRIM(P171))="AFF",1,0)</f>
        <v/>
      </c>
      <c r="AS171" s="20">
        <f>IF(UPPER(TRIM(P171))="BAF",1,0)</f>
        <v/>
      </c>
      <c r="AT171" s="20">
        <f>IF(UPPER(TRIM(P171))="MKT",1,0)</f>
        <v/>
      </c>
      <c r="AU171" s="20">
        <f>IF(AO171="221d4",1,0)</f>
        <v/>
      </c>
      <c r="AV171" s="20">
        <f>IF(AO171="223a7",1,0)</f>
        <v/>
      </c>
      <c r="AW171" s="20">
        <f>IF(AO171="232",1,0)</f>
        <v/>
      </c>
      <c r="AX171" s="20">
        <f>IF(AO171="538",1,0)</f>
        <v/>
      </c>
      <c r="AY171" s="20">
        <f>IF(AO171="241",1,0)</f>
        <v/>
      </c>
      <c r="AZ171" s="20">
        <f>IF(AO171="220",1,0)</f>
        <v/>
      </c>
      <c r="BA171" s="20">
        <f>IF(AO171="OTHER",1,0)</f>
        <v/>
      </c>
      <c r="BB171" s="20">
        <f>IF(UPPER(TRIM(C171))="LM",1,0)</f>
        <v/>
      </c>
      <c r="BC171" s="20">
        <f>IF(UPPER(TRIM(C171))="PN",1,0)</f>
        <v/>
      </c>
      <c r="BD171" s="20">
        <f>IF(UPPER(TRIM(C171))="LS",1,0)</f>
        <v/>
      </c>
      <c r="BE171" s="20">
        <f>IF(UPPER(TRIM(C171))="RX",1,0)</f>
        <v/>
      </c>
      <c r="BF171" s="22">
        <f>IFERROR((Parameters!$C$6*AM171+Parameters!$C$7*MAX(AM171-(-150),0)+Parameters!$C$8*MAX(AM171-(-50),0)+Parameters!$C$9*MAX(AM171-(0),0)+Parameters!$C$10*MAX(AM171-(50),0)+Parameters!$C$11*MAX(AM171-(100),0)+Parameters!$C$12*MAX(AM171-(150),0)+Parameters!$C$13*MAX(AM171-(250),0)),0)</f>
        <v/>
      </c>
      <c r="BG171" s="22">
        <f>IFERROR((Parameters!$C$14*AA171+Parameters!$C$15*MAX(AA171-(12),0)+Parameters!$C$16*MAX(AA171-(36),0)+Parameters!$C$17*MAX(AA171-(60),0)+Parameters!$C$18*MAX(AA171-(84),0)+Parameters!$C$19*MAX(AA171-(120),0)+Parameters!$C$20*MAX(AA171-(180),0)),0)</f>
        <v/>
      </c>
      <c r="BH171" s="22">
        <f>IFERROR((Parameters!$C$21*AK171+Parameters!$C$22*MAX(AK171-(0),0)+Parameters!$C$23*MAX(AK171-(2),0)+Parameters!$C$24*MAX(AK171-(5),0)+Parameters!$C$25*MAX(AK171-(8),0)),0)</f>
        <v/>
      </c>
      <c r="BI171" s="22">
        <f>IFERROR((Parameters!$C$26*AI171+Parameters!$C$27*MAX(AI171-(-100),0)+Parameters!$C$28*MAX(AI171-(-25),0)+Parameters!$C$29*MAX(AI171-(25),0)+Parameters!$C$30*MAX(AI171-(100),0)),0)</f>
        <v/>
      </c>
      <c r="BJ171" s="22">
        <f>IFERROR((Parameters!$C$31*AN171+Parameters!$C$32*MAX(AN171-(2),0)+Parameters!$C$33*MAX(AN171-(10),0)+Parameters!$C$34*MAX(AN171-(25),0)),0)</f>
        <v/>
      </c>
      <c r="BK171" s="22">
        <f>IFERROR((Parameters!$C$35*AB171+Parameters!$C$36*MAX(AB171-(12),0)+Parameters!$C$37*MAX(AB171-(24),0)+Parameters!$C$38*MAX(AB171-(60),0)),0)</f>
        <v/>
      </c>
      <c r="BL171" s="22">
        <f>IFERROR((Parameters!$C$39*AC171+Parameters!$C$40*MAX(AC171-(6),0)+Parameters!$C$41*MAX(AC171-(12),0)+Parameters!$C$42*MAX(AC171-(24),0)),0)</f>
        <v/>
      </c>
      <c r="BM171" s="22">
        <f>IFERROR(Parameters!$C$43*(MAX(AM171,0)*MIN(MAX(AK171,0),10))/100,0)</f>
        <v/>
      </c>
      <c r="BN171" s="22">
        <f>Parameters!$C$44*AE171</f>
        <v/>
      </c>
      <c r="BO171" s="22">
        <f>Parameters!$C$45*AU171 + Parameters!$C$46*AV171 + Parameters!$C$47*AW171 + Parameters!$C$48*AX171 + Parameters!$C$49*AY171 + Parameters!$C$50*AZ171 + Parameters!$C$51*BA171</f>
        <v/>
      </c>
      <c r="BP171" s="22">
        <f>Parameters!$C$52*AQ171</f>
        <v/>
      </c>
      <c r="BQ171" s="22">
        <f>Parameters!$C$53*AR171+Parameters!$C$54*AS171+Parameters!$C$55*AT171</f>
        <v/>
      </c>
      <c r="BR171" s="22">
        <f>Parameters!$C$56*BB171+Parameters!$C$57*BC171+Parameters!$C$58*BD171+Parameters!$C$59*BE171</f>
        <v/>
      </c>
      <c r="BS171" s="23">
        <f>Parameters!$B$2</f>
        <v/>
      </c>
      <c r="BT171" s="23">
        <f>BS171+BF171 + BG171 + BH171 + BI171 + BJ171 + BK171 + BL171 + BM171 + BN171 + BO171 + BP171 + BQ171 + BR171</f>
        <v/>
      </c>
      <c r="BU171" s="24">
        <f>IF(AD171=1,0,1/(1+EXP(-BT171))*Parameters!$B$3)</f>
        <v/>
      </c>
      <c r="BV171" s="25">
        <f>(1-(1-BU171)^12)*100</f>
        <v/>
      </c>
      <c r="BW171" s="25">
        <f>IF(AD171=1,0,(1-(1-1/(1+EXP(-Parameters!$B$2)))^12)*100)</f>
        <v/>
      </c>
      <c r="BX171" s="25">
        <f>IF(AD171=1,0,BV171-(1-(1-(1/(1+EXP(-(BT171-BF171)))*Parameters!$B$3))^12)*100)</f>
        <v/>
      </c>
      <c r="BY171" s="25">
        <f>IF(AD171=1,0,BV171-(1-(1-(1/(1+EXP(-(BT171-BG171)))*Parameters!$B$3))^12)*100)</f>
        <v/>
      </c>
      <c r="BZ171" s="25">
        <f>IF(AD171=1,0,BV171-(1-(1-(1/(1+EXP(-(BT171-BH171)))*Parameters!$B$3))^12)*100)</f>
        <v/>
      </c>
      <c r="CA171" s="25">
        <f>IF(AD171=1,0,BV171-(1-(1-(1/(1+EXP(-(BT171-BI171)))*Parameters!$B$3))^12)*100)</f>
        <v/>
      </c>
      <c r="CB171" s="25">
        <f>IF(AD171=1,0,BV171-(1-(1-(1/(1+EXP(-(BT171-BJ171)))*Parameters!$B$3))^12)*100)</f>
        <v/>
      </c>
      <c r="CC171" s="25">
        <f>IF(AD171=1,0,BV171-(1-(1-(1/(1+EXP(-(BT171-BK171)))*Parameters!$B$3))^12)*100)</f>
        <v/>
      </c>
      <c r="CD171" s="25">
        <f>IF(AD171=1,0,BV171-(1-(1-(1/(1+EXP(-(BT171-BL171)))*Parameters!$B$3))^12)*100)</f>
        <v/>
      </c>
      <c r="CE171" s="25">
        <f>IF(AD171=1,0,BV171-(1-(1-(1/(1+EXP(-(BT171-BM171)))*Parameters!$B$3))^12)*100)</f>
        <v/>
      </c>
      <c r="CF171" s="25">
        <f>IF(AD171=1,0,BV171-(1-(1-(1/(1+EXP(-(BT171-BN171)))*Parameters!$B$3))^12)*100)</f>
        <v/>
      </c>
      <c r="CG171" s="25">
        <f>IF(AD171=1,0,BV171-(1-(1-(1/(1+EXP(-(BT171-BO171)))*Parameters!$B$3))^12)*100)</f>
        <v/>
      </c>
      <c r="CH171" s="25">
        <f>IF(AD171=1,0,BV171-(1-(1-(1/(1+EXP(-(BT171-BP171)))*Parameters!$B$3))^12)*100)</f>
        <v/>
      </c>
      <c r="CI171" s="25">
        <f>IF(AD171=1,0,BV171-(1-(1-(1/(1+EXP(-(BT171-BQ171)))*Parameters!$B$3))^12)*100)</f>
        <v/>
      </c>
      <c r="CJ171" s="25">
        <f>IF(AD171=1,0,BV171-(1-(1-(1/(1+EXP(-(BT171-BR171)))*Parameters!$B$3))^12)*100)</f>
        <v/>
      </c>
    </row>
    <row r="172">
      <c r="A172" s="17" t="inlineStr">
        <is>
          <t>GNR_AFF_2018</t>
        </is>
      </c>
      <c r="B172" s="17" t="inlineStr">
        <is>
          <t>3617AKHH8</t>
        </is>
      </c>
      <c r="C172" s="17" t="inlineStr">
        <is>
          <t>PN</t>
        </is>
      </c>
      <c r="D172" s="17" t="inlineStr">
        <is>
          <t>LUMENT REAL ESTATE CAPITAL,LLC</t>
        </is>
      </c>
      <c r="E172" s="17" t="inlineStr">
        <is>
          <t>3617AKHH8_000000011511268</t>
        </is>
      </c>
      <c r="F172" s="17" t="n">
        <v>202603</v>
      </c>
      <c r="G172" s="18" t="n">
        <v>3.2</v>
      </c>
      <c r="H172" s="19" t="n">
        <v>4003900.47</v>
      </c>
      <c r="I172" s="17" t="n">
        <v>420</v>
      </c>
      <c r="J172" s="17" t="n">
        <v>20171031</v>
      </c>
      <c r="K172" s="17" t="n">
        <v>20521101</v>
      </c>
      <c r="L172" s="17" t="n"/>
      <c r="M172" s="17" t="n">
        <v>20271201</v>
      </c>
      <c r="N172" s="17" t="n">
        <v>10</v>
      </c>
      <c r="O172" s="17" t="inlineStr">
        <is>
          <t>207/223(F)</t>
        </is>
      </c>
      <c r="P172" s="17" t="inlineStr">
        <is>
          <t>BAF</t>
        </is>
      </c>
      <c r="Q172" s="17" t="n"/>
      <c r="R172" s="17" t="n"/>
      <c r="S172" s="17" t="n"/>
      <c r="T172" s="17" t="inlineStr">
        <is>
          <t>TX</t>
        </is>
      </c>
      <c r="U172" s="17" t="n">
        <v>100</v>
      </c>
      <c r="V172" s="17" t="n">
        <v>490.5</v>
      </c>
      <c r="W172" s="17" t="n">
        <v>101</v>
      </c>
      <c r="X172" s="17" t="n">
        <v>2017</v>
      </c>
      <c r="Y172" s="17" t="n">
        <v>-27</v>
      </c>
      <c r="Z172" s="17" t="n">
        <v>2</v>
      </c>
      <c r="AA172" s="20">
        <f>IF(ISNUMBER(W172),W172,IFERROR(MAX(0,(VALUE(LEFT(F172,4))-VALUE(LEFT(TEXT(J172,"00000000"),4)))*12+(VALUE(MID(F172,5,2))-VALUE(MID(TEXT(J172,"00000000"),5,2)))),""))</f>
        <v/>
      </c>
      <c r="AB172" s="20">
        <f>IFERROR((VALUE(LEFT(TEXT(K172,"00000000"),4))-VALUE(LEFT(F172,4)))*12+(VALUE(MID(TEXT(K172,"00000000"),5,2))-VALUE(MID(F172,5,2))),"")</f>
        <v/>
      </c>
      <c r="AC172" s="20">
        <f>IF(OR(L172="",NOT(ISNUMBER(L172))),0,MAX(0,MIN(60,(VALUE(LEFT(F172,4))-VALUE(LEFT(TEXT(L172,"00000000"),4)))*12+(VALUE(MID(F172,5,2))-VALUE(MID(TEXT(L172,"00000000"),5,2))))))</f>
        <v/>
      </c>
      <c r="AD172" s="20">
        <f>IF(OR(L172="",NOT(ISNUMBER(L172))),0,IF(VALUE(F172)&lt;VALUE(LEFT(TEXT(L172,"00000000"),6)),1,0))</f>
        <v/>
      </c>
      <c r="AE172" s="20">
        <f>IF(OR(M172="",NOT(ISNUMBER(M172))),0,IF(VALUE(F172)&lt;VALUE(LEFT(TEXT(M172,"00000000"),6)),1,0))</f>
        <v/>
      </c>
      <c r="AF172" s="20">
        <f>IF(AND(AD172=0,AE172=0),1,0)</f>
        <v/>
      </c>
      <c r="AG172" s="20">
        <f>IF(ISNUMBER(X172),X172,IFERROR(VALUE(LEFT(TEXT(J172,"00000000"),4)),""))</f>
        <v/>
      </c>
      <c r="AH172" s="20">
        <f>IFERROR(XLOOKUP(AG172,Vintage_Rates!$A$2:$A$1000,Vintage_Rates!$B$2:$B$1000,""),"")</f>
        <v/>
      </c>
      <c r="AI172" s="20">
        <f>IF(ISNUMBER(Y172),Y172,IFERROR((G172-AH172)*100,""))</f>
        <v/>
      </c>
      <c r="AJ172" s="20">
        <f>IF(ISNUMBER(V172),V172,IFERROR(XLOOKUP(VALUE(F172),PLC_Rates!$A$2:$A$1000,PLC_Rates!$B$2:$B$1000,""),""))</f>
        <v/>
      </c>
      <c r="AK172" s="20">
        <f>IF(ISNUMBER(Z172),Z172,IF(AE172=0,0,MAX(0,MIN(10,((VALUE(LEFT(TEXT(M172,"00000000"),4))-VALUE(LEFT(F172,4)))*12+(VALUE(MID(TEXT(M172,"00000000"),5,2))-VALUE(MID(F172,5,2))))/12))))</f>
        <v/>
      </c>
      <c r="AL172" s="20">
        <f>IFERROR(G172*100-AJ172,"")</f>
        <v/>
      </c>
      <c r="AM172" s="20">
        <f>IFERROR(G172*100-(AJ172+(1+AK172)*12.5),"")</f>
        <v/>
      </c>
      <c r="AN172" s="21">
        <f>IFERROR(MIN(H172/1000000,100),"")</f>
        <v/>
      </c>
      <c r="AO172" s="20">
        <f>IFERROR(INDEX(FHA_Lookup!$B$2:$B$11,MATCH(TRUE,ISNUMBER(SEARCH(FHA_Lookup!$A$2:$A$11,UPPER(SUBSTITUTE(O172," ","")))),0)),"OTHER")</f>
        <v/>
      </c>
      <c r="AP172" s="20">
        <f>IFERROR(INDEX(FHA_Lookup!$C$2:$C$11,MATCH(TRUE,ISNUMBER(SEARCH(FHA_Lookup!$A$2:$A$11,UPPER(SUBSTITUTE(O172," ","")))),0)),"OTHER")</f>
        <v/>
      </c>
      <c r="AQ172" s="20">
        <f>IF(AP172="NC",1,0)</f>
        <v/>
      </c>
      <c r="AR172" s="20">
        <f>IF(UPPER(TRIM(P172))="AFF",1,0)</f>
        <v/>
      </c>
      <c r="AS172" s="20">
        <f>IF(UPPER(TRIM(P172))="BAF",1,0)</f>
        <v/>
      </c>
      <c r="AT172" s="20">
        <f>IF(UPPER(TRIM(P172))="MKT",1,0)</f>
        <v/>
      </c>
      <c r="AU172" s="20">
        <f>IF(AO172="221d4",1,0)</f>
        <v/>
      </c>
      <c r="AV172" s="20">
        <f>IF(AO172="223a7",1,0)</f>
        <v/>
      </c>
      <c r="AW172" s="20">
        <f>IF(AO172="232",1,0)</f>
        <v/>
      </c>
      <c r="AX172" s="20">
        <f>IF(AO172="538",1,0)</f>
        <v/>
      </c>
      <c r="AY172" s="20">
        <f>IF(AO172="241",1,0)</f>
        <v/>
      </c>
      <c r="AZ172" s="20">
        <f>IF(AO172="220",1,0)</f>
        <v/>
      </c>
      <c r="BA172" s="20">
        <f>IF(AO172="OTHER",1,0)</f>
        <v/>
      </c>
      <c r="BB172" s="20">
        <f>IF(UPPER(TRIM(C172))="LM",1,0)</f>
        <v/>
      </c>
      <c r="BC172" s="20">
        <f>IF(UPPER(TRIM(C172))="PN",1,0)</f>
        <v/>
      </c>
      <c r="BD172" s="20">
        <f>IF(UPPER(TRIM(C172))="LS",1,0)</f>
        <v/>
      </c>
      <c r="BE172" s="20">
        <f>IF(UPPER(TRIM(C172))="RX",1,0)</f>
        <v/>
      </c>
      <c r="BF172" s="22">
        <f>IFERROR((Parameters!$C$6*AM172+Parameters!$C$7*MAX(AM172-(-150),0)+Parameters!$C$8*MAX(AM172-(-50),0)+Parameters!$C$9*MAX(AM172-(0),0)+Parameters!$C$10*MAX(AM172-(50),0)+Parameters!$C$11*MAX(AM172-(100),0)+Parameters!$C$12*MAX(AM172-(150),0)+Parameters!$C$13*MAX(AM172-(250),0)),0)</f>
        <v/>
      </c>
      <c r="BG172" s="22">
        <f>IFERROR((Parameters!$C$14*AA172+Parameters!$C$15*MAX(AA172-(12),0)+Parameters!$C$16*MAX(AA172-(36),0)+Parameters!$C$17*MAX(AA172-(60),0)+Parameters!$C$18*MAX(AA172-(84),0)+Parameters!$C$19*MAX(AA172-(120),0)+Parameters!$C$20*MAX(AA172-(180),0)),0)</f>
        <v/>
      </c>
      <c r="BH172" s="22">
        <f>IFERROR((Parameters!$C$21*AK172+Parameters!$C$22*MAX(AK172-(0),0)+Parameters!$C$23*MAX(AK172-(2),0)+Parameters!$C$24*MAX(AK172-(5),0)+Parameters!$C$25*MAX(AK172-(8),0)),0)</f>
        <v/>
      </c>
      <c r="BI172" s="22">
        <f>IFERROR((Parameters!$C$26*AI172+Parameters!$C$27*MAX(AI172-(-100),0)+Parameters!$C$28*MAX(AI172-(-25),0)+Parameters!$C$29*MAX(AI172-(25),0)+Parameters!$C$30*MAX(AI172-(100),0)),0)</f>
        <v/>
      </c>
      <c r="BJ172" s="22">
        <f>IFERROR((Parameters!$C$31*AN172+Parameters!$C$32*MAX(AN172-(2),0)+Parameters!$C$33*MAX(AN172-(10),0)+Parameters!$C$34*MAX(AN172-(25),0)),0)</f>
        <v/>
      </c>
      <c r="BK172" s="22">
        <f>IFERROR((Parameters!$C$35*AB172+Parameters!$C$36*MAX(AB172-(12),0)+Parameters!$C$37*MAX(AB172-(24),0)+Parameters!$C$38*MAX(AB172-(60),0)),0)</f>
        <v/>
      </c>
      <c r="BL172" s="22">
        <f>IFERROR((Parameters!$C$39*AC172+Parameters!$C$40*MAX(AC172-(6),0)+Parameters!$C$41*MAX(AC172-(12),0)+Parameters!$C$42*MAX(AC172-(24),0)),0)</f>
        <v/>
      </c>
      <c r="BM172" s="22">
        <f>IFERROR(Parameters!$C$43*(MAX(AM172,0)*MIN(MAX(AK172,0),10))/100,0)</f>
        <v/>
      </c>
      <c r="BN172" s="22">
        <f>Parameters!$C$44*AE172</f>
        <v/>
      </c>
      <c r="BO172" s="22">
        <f>Parameters!$C$45*AU172 + Parameters!$C$46*AV172 + Parameters!$C$47*AW172 + Parameters!$C$48*AX172 + Parameters!$C$49*AY172 + Parameters!$C$50*AZ172 + Parameters!$C$51*BA172</f>
        <v/>
      </c>
      <c r="BP172" s="22">
        <f>Parameters!$C$52*AQ172</f>
        <v/>
      </c>
      <c r="BQ172" s="22">
        <f>Parameters!$C$53*AR172+Parameters!$C$54*AS172+Parameters!$C$55*AT172</f>
        <v/>
      </c>
      <c r="BR172" s="22">
        <f>Parameters!$C$56*BB172+Parameters!$C$57*BC172+Parameters!$C$58*BD172+Parameters!$C$59*BE172</f>
        <v/>
      </c>
      <c r="BS172" s="23">
        <f>Parameters!$B$2</f>
        <v/>
      </c>
      <c r="BT172" s="23">
        <f>BS172+BF172 + BG172 + BH172 + BI172 + BJ172 + BK172 + BL172 + BM172 + BN172 + BO172 + BP172 + BQ172 + BR172</f>
        <v/>
      </c>
      <c r="BU172" s="24">
        <f>IF(AD172=1,0,1/(1+EXP(-BT172))*Parameters!$B$3)</f>
        <v/>
      </c>
      <c r="BV172" s="25">
        <f>(1-(1-BU172)^12)*100</f>
        <v/>
      </c>
      <c r="BW172" s="25">
        <f>IF(AD172=1,0,(1-(1-1/(1+EXP(-Parameters!$B$2)))^12)*100)</f>
        <v/>
      </c>
      <c r="BX172" s="25">
        <f>IF(AD172=1,0,BV172-(1-(1-(1/(1+EXP(-(BT172-BF172)))*Parameters!$B$3))^12)*100)</f>
        <v/>
      </c>
      <c r="BY172" s="25">
        <f>IF(AD172=1,0,BV172-(1-(1-(1/(1+EXP(-(BT172-BG172)))*Parameters!$B$3))^12)*100)</f>
        <v/>
      </c>
      <c r="BZ172" s="25">
        <f>IF(AD172=1,0,BV172-(1-(1-(1/(1+EXP(-(BT172-BH172)))*Parameters!$B$3))^12)*100)</f>
        <v/>
      </c>
      <c r="CA172" s="25">
        <f>IF(AD172=1,0,BV172-(1-(1-(1/(1+EXP(-(BT172-BI172)))*Parameters!$B$3))^12)*100)</f>
        <v/>
      </c>
      <c r="CB172" s="25">
        <f>IF(AD172=1,0,BV172-(1-(1-(1/(1+EXP(-(BT172-BJ172)))*Parameters!$B$3))^12)*100)</f>
        <v/>
      </c>
      <c r="CC172" s="25">
        <f>IF(AD172=1,0,BV172-(1-(1-(1/(1+EXP(-(BT172-BK172)))*Parameters!$B$3))^12)*100)</f>
        <v/>
      </c>
      <c r="CD172" s="25">
        <f>IF(AD172=1,0,BV172-(1-(1-(1/(1+EXP(-(BT172-BL172)))*Parameters!$B$3))^12)*100)</f>
        <v/>
      </c>
      <c r="CE172" s="25">
        <f>IF(AD172=1,0,BV172-(1-(1-(1/(1+EXP(-(BT172-BM172)))*Parameters!$B$3))^12)*100)</f>
        <v/>
      </c>
      <c r="CF172" s="25">
        <f>IF(AD172=1,0,BV172-(1-(1-(1/(1+EXP(-(BT172-BN172)))*Parameters!$B$3))^12)*100)</f>
        <v/>
      </c>
      <c r="CG172" s="25">
        <f>IF(AD172=1,0,BV172-(1-(1-(1/(1+EXP(-(BT172-BO172)))*Parameters!$B$3))^12)*100)</f>
        <v/>
      </c>
      <c r="CH172" s="25">
        <f>IF(AD172=1,0,BV172-(1-(1-(1/(1+EXP(-(BT172-BP172)))*Parameters!$B$3))^12)*100)</f>
        <v/>
      </c>
      <c r="CI172" s="25">
        <f>IF(AD172=1,0,BV172-(1-(1-(1/(1+EXP(-(BT172-BQ172)))*Parameters!$B$3))^12)*100)</f>
        <v/>
      </c>
      <c r="CJ172" s="25">
        <f>IF(AD172=1,0,BV172-(1-(1-(1/(1+EXP(-(BT172-BR172)))*Parameters!$B$3))^12)*100)</f>
        <v/>
      </c>
    </row>
    <row r="173">
      <c r="A173" s="17" t="inlineStr">
        <is>
          <t>GNR_AFF_2018</t>
        </is>
      </c>
      <c r="B173" s="17" t="inlineStr">
        <is>
          <t>36193EB41</t>
        </is>
      </c>
      <c r="C173" s="17" t="inlineStr">
        <is>
          <t>PN</t>
        </is>
      </c>
      <c r="D173" s="17" t="inlineStr">
        <is>
          <t>MERCHANTS CAPITAL CORP.</t>
        </is>
      </c>
      <c r="E173" s="17" t="inlineStr">
        <is>
          <t>36193EB41_000000005336213</t>
        </is>
      </c>
      <c r="F173" s="17" t="n">
        <v>202603</v>
      </c>
      <c r="G173" s="18" t="n">
        <v>2.5</v>
      </c>
      <c r="H173" s="19" t="n">
        <v>17422751.77</v>
      </c>
      <c r="I173" s="17" t="n">
        <v>504</v>
      </c>
      <c r="J173" s="17" t="n">
        <v>20160501</v>
      </c>
      <c r="K173" s="17" t="n">
        <v>20580601</v>
      </c>
      <c r="L173" s="17" t="n">
        <v>20200701</v>
      </c>
      <c r="M173" s="17" t="n">
        <v>20280701</v>
      </c>
      <c r="N173" s="17" t="n">
        <v>8</v>
      </c>
      <c r="O173" s="17" t="inlineStr">
        <is>
          <t>221(d)(4)</t>
        </is>
      </c>
      <c r="P173" s="17" t="inlineStr">
        <is>
          <t>BAF</t>
        </is>
      </c>
      <c r="Q173" s="17" t="n"/>
      <c r="R173" s="17" t="n"/>
      <c r="S173" s="17" t="n"/>
      <c r="T173" s="17" t="inlineStr">
        <is>
          <t>NC</t>
        </is>
      </c>
      <c r="U173" s="17" t="n">
        <v>200</v>
      </c>
      <c r="V173" s="17" t="n">
        <v>490.5</v>
      </c>
      <c r="W173" s="17" t="n">
        <v>118</v>
      </c>
      <c r="X173" s="17" t="n">
        <v>2016</v>
      </c>
      <c r="Y173" s="17" t="n">
        <v>-95</v>
      </c>
      <c r="Z173" s="17" t="n">
        <v>3</v>
      </c>
      <c r="AA173" s="20">
        <f>IF(ISNUMBER(W173),W173,IFERROR(MAX(0,(VALUE(LEFT(F173,4))-VALUE(LEFT(TEXT(J173,"00000000"),4)))*12+(VALUE(MID(F173,5,2))-VALUE(MID(TEXT(J173,"00000000"),5,2)))),""))</f>
        <v/>
      </c>
      <c r="AB173" s="20">
        <f>IFERROR((VALUE(LEFT(TEXT(K173,"00000000"),4))-VALUE(LEFT(F173,4)))*12+(VALUE(MID(TEXT(K173,"00000000"),5,2))-VALUE(MID(F173,5,2))),"")</f>
        <v/>
      </c>
      <c r="AC173" s="20">
        <f>IF(OR(L173="",NOT(ISNUMBER(L173))),0,MAX(0,MIN(60,(VALUE(LEFT(F173,4))-VALUE(LEFT(TEXT(L173,"00000000"),4)))*12+(VALUE(MID(F173,5,2))-VALUE(MID(TEXT(L173,"00000000"),5,2))))))</f>
        <v/>
      </c>
      <c r="AD173" s="20">
        <f>IF(OR(L173="",NOT(ISNUMBER(L173))),0,IF(VALUE(F173)&lt;VALUE(LEFT(TEXT(L173,"00000000"),6)),1,0))</f>
        <v/>
      </c>
      <c r="AE173" s="20">
        <f>IF(OR(M173="",NOT(ISNUMBER(M173))),0,IF(VALUE(F173)&lt;VALUE(LEFT(TEXT(M173,"00000000"),6)),1,0))</f>
        <v/>
      </c>
      <c r="AF173" s="20">
        <f>IF(AND(AD173=0,AE173=0),1,0)</f>
        <v/>
      </c>
      <c r="AG173" s="20">
        <f>IF(ISNUMBER(X173),X173,IFERROR(VALUE(LEFT(TEXT(J173,"00000000"),4)),""))</f>
        <v/>
      </c>
      <c r="AH173" s="20">
        <f>IFERROR(XLOOKUP(AG173,Vintage_Rates!$A$2:$A$1000,Vintage_Rates!$B$2:$B$1000,""),"")</f>
        <v/>
      </c>
      <c r="AI173" s="20">
        <f>IF(ISNUMBER(Y173),Y173,IFERROR((G173-AH173)*100,""))</f>
        <v/>
      </c>
      <c r="AJ173" s="20">
        <f>IF(ISNUMBER(V173),V173,IFERROR(XLOOKUP(VALUE(F173),PLC_Rates!$A$2:$A$1000,PLC_Rates!$B$2:$B$1000,""),""))</f>
        <v/>
      </c>
      <c r="AK173" s="20">
        <f>IF(ISNUMBER(Z173),Z173,IF(AE173=0,0,MAX(0,MIN(10,((VALUE(LEFT(TEXT(M173,"00000000"),4))-VALUE(LEFT(F173,4)))*12+(VALUE(MID(TEXT(M173,"00000000"),5,2))-VALUE(MID(F173,5,2))))/12))))</f>
        <v/>
      </c>
      <c r="AL173" s="20">
        <f>IFERROR(G173*100-AJ173,"")</f>
        <v/>
      </c>
      <c r="AM173" s="20">
        <f>IFERROR(G173*100-(AJ173+(1+AK173)*12.5),"")</f>
        <v/>
      </c>
      <c r="AN173" s="21">
        <f>IFERROR(MIN(H173/1000000,100),"")</f>
        <v/>
      </c>
      <c r="AO173" s="20">
        <f>IFERROR(INDEX(FHA_Lookup!$B$2:$B$11,MATCH(TRUE,ISNUMBER(SEARCH(FHA_Lookup!$A$2:$A$11,UPPER(SUBSTITUTE(O173," ","")))),0)),"OTHER")</f>
        <v/>
      </c>
      <c r="AP173" s="20">
        <f>IFERROR(INDEX(FHA_Lookup!$C$2:$C$11,MATCH(TRUE,ISNUMBER(SEARCH(FHA_Lookup!$A$2:$A$11,UPPER(SUBSTITUTE(O173," ","")))),0)),"OTHER")</f>
        <v/>
      </c>
      <c r="AQ173" s="20">
        <f>IF(AP173="NC",1,0)</f>
        <v/>
      </c>
      <c r="AR173" s="20">
        <f>IF(UPPER(TRIM(P173))="AFF",1,0)</f>
        <v/>
      </c>
      <c r="AS173" s="20">
        <f>IF(UPPER(TRIM(P173))="BAF",1,0)</f>
        <v/>
      </c>
      <c r="AT173" s="20">
        <f>IF(UPPER(TRIM(P173))="MKT",1,0)</f>
        <v/>
      </c>
      <c r="AU173" s="20">
        <f>IF(AO173="221d4",1,0)</f>
        <v/>
      </c>
      <c r="AV173" s="20">
        <f>IF(AO173="223a7",1,0)</f>
        <v/>
      </c>
      <c r="AW173" s="20">
        <f>IF(AO173="232",1,0)</f>
        <v/>
      </c>
      <c r="AX173" s="20">
        <f>IF(AO173="538",1,0)</f>
        <v/>
      </c>
      <c r="AY173" s="20">
        <f>IF(AO173="241",1,0)</f>
        <v/>
      </c>
      <c r="AZ173" s="20">
        <f>IF(AO173="220",1,0)</f>
        <v/>
      </c>
      <c r="BA173" s="20">
        <f>IF(AO173="OTHER",1,0)</f>
        <v/>
      </c>
      <c r="BB173" s="20">
        <f>IF(UPPER(TRIM(C173))="LM",1,0)</f>
        <v/>
      </c>
      <c r="BC173" s="20">
        <f>IF(UPPER(TRIM(C173))="PN",1,0)</f>
        <v/>
      </c>
      <c r="BD173" s="20">
        <f>IF(UPPER(TRIM(C173))="LS",1,0)</f>
        <v/>
      </c>
      <c r="BE173" s="20">
        <f>IF(UPPER(TRIM(C173))="RX",1,0)</f>
        <v/>
      </c>
      <c r="BF173" s="22">
        <f>IFERROR((Parameters!$C$6*AM173+Parameters!$C$7*MAX(AM173-(-150),0)+Parameters!$C$8*MAX(AM173-(-50),0)+Parameters!$C$9*MAX(AM173-(0),0)+Parameters!$C$10*MAX(AM173-(50),0)+Parameters!$C$11*MAX(AM173-(100),0)+Parameters!$C$12*MAX(AM173-(150),0)+Parameters!$C$13*MAX(AM173-(250),0)),0)</f>
        <v/>
      </c>
      <c r="BG173" s="22">
        <f>IFERROR((Parameters!$C$14*AA173+Parameters!$C$15*MAX(AA173-(12),0)+Parameters!$C$16*MAX(AA173-(36),0)+Parameters!$C$17*MAX(AA173-(60),0)+Parameters!$C$18*MAX(AA173-(84),0)+Parameters!$C$19*MAX(AA173-(120),0)+Parameters!$C$20*MAX(AA173-(180),0)),0)</f>
        <v/>
      </c>
      <c r="BH173" s="22">
        <f>IFERROR((Parameters!$C$21*AK173+Parameters!$C$22*MAX(AK173-(0),0)+Parameters!$C$23*MAX(AK173-(2),0)+Parameters!$C$24*MAX(AK173-(5),0)+Parameters!$C$25*MAX(AK173-(8),0)),0)</f>
        <v/>
      </c>
      <c r="BI173" s="22">
        <f>IFERROR((Parameters!$C$26*AI173+Parameters!$C$27*MAX(AI173-(-100),0)+Parameters!$C$28*MAX(AI173-(-25),0)+Parameters!$C$29*MAX(AI173-(25),0)+Parameters!$C$30*MAX(AI173-(100),0)),0)</f>
        <v/>
      </c>
      <c r="BJ173" s="22">
        <f>IFERROR((Parameters!$C$31*AN173+Parameters!$C$32*MAX(AN173-(2),0)+Parameters!$C$33*MAX(AN173-(10),0)+Parameters!$C$34*MAX(AN173-(25),0)),0)</f>
        <v/>
      </c>
      <c r="BK173" s="22">
        <f>IFERROR((Parameters!$C$35*AB173+Parameters!$C$36*MAX(AB173-(12),0)+Parameters!$C$37*MAX(AB173-(24),0)+Parameters!$C$38*MAX(AB173-(60),0)),0)</f>
        <v/>
      </c>
      <c r="BL173" s="22">
        <f>IFERROR((Parameters!$C$39*AC173+Parameters!$C$40*MAX(AC173-(6),0)+Parameters!$C$41*MAX(AC173-(12),0)+Parameters!$C$42*MAX(AC173-(24),0)),0)</f>
        <v/>
      </c>
      <c r="BM173" s="22">
        <f>IFERROR(Parameters!$C$43*(MAX(AM173,0)*MIN(MAX(AK173,0),10))/100,0)</f>
        <v/>
      </c>
      <c r="BN173" s="22">
        <f>Parameters!$C$44*AE173</f>
        <v/>
      </c>
      <c r="BO173" s="22">
        <f>Parameters!$C$45*AU173 + Parameters!$C$46*AV173 + Parameters!$C$47*AW173 + Parameters!$C$48*AX173 + Parameters!$C$49*AY173 + Parameters!$C$50*AZ173 + Parameters!$C$51*BA173</f>
        <v/>
      </c>
      <c r="BP173" s="22">
        <f>Parameters!$C$52*AQ173</f>
        <v/>
      </c>
      <c r="BQ173" s="22">
        <f>Parameters!$C$53*AR173+Parameters!$C$54*AS173+Parameters!$C$55*AT173</f>
        <v/>
      </c>
      <c r="BR173" s="22">
        <f>Parameters!$C$56*BB173+Parameters!$C$57*BC173+Parameters!$C$58*BD173+Parameters!$C$59*BE173</f>
        <v/>
      </c>
      <c r="BS173" s="23">
        <f>Parameters!$B$2</f>
        <v/>
      </c>
      <c r="BT173" s="23">
        <f>BS173+BF173 + BG173 + BH173 + BI173 + BJ173 + BK173 + BL173 + BM173 + BN173 + BO173 + BP173 + BQ173 + BR173</f>
        <v/>
      </c>
      <c r="BU173" s="24">
        <f>IF(AD173=1,0,1/(1+EXP(-BT173))*Parameters!$B$3)</f>
        <v/>
      </c>
      <c r="BV173" s="25">
        <f>(1-(1-BU173)^12)*100</f>
        <v/>
      </c>
      <c r="BW173" s="25">
        <f>IF(AD173=1,0,(1-(1-1/(1+EXP(-Parameters!$B$2)))^12)*100)</f>
        <v/>
      </c>
      <c r="BX173" s="25">
        <f>IF(AD173=1,0,BV173-(1-(1-(1/(1+EXP(-(BT173-BF173)))*Parameters!$B$3))^12)*100)</f>
        <v/>
      </c>
      <c r="BY173" s="25">
        <f>IF(AD173=1,0,BV173-(1-(1-(1/(1+EXP(-(BT173-BG173)))*Parameters!$B$3))^12)*100)</f>
        <v/>
      </c>
      <c r="BZ173" s="25">
        <f>IF(AD173=1,0,BV173-(1-(1-(1/(1+EXP(-(BT173-BH173)))*Parameters!$B$3))^12)*100)</f>
        <v/>
      </c>
      <c r="CA173" s="25">
        <f>IF(AD173=1,0,BV173-(1-(1-(1/(1+EXP(-(BT173-BI173)))*Parameters!$B$3))^12)*100)</f>
        <v/>
      </c>
      <c r="CB173" s="25">
        <f>IF(AD173=1,0,BV173-(1-(1-(1/(1+EXP(-(BT173-BJ173)))*Parameters!$B$3))^12)*100)</f>
        <v/>
      </c>
      <c r="CC173" s="25">
        <f>IF(AD173=1,0,BV173-(1-(1-(1/(1+EXP(-(BT173-BK173)))*Parameters!$B$3))^12)*100)</f>
        <v/>
      </c>
      <c r="CD173" s="25">
        <f>IF(AD173=1,0,BV173-(1-(1-(1/(1+EXP(-(BT173-BL173)))*Parameters!$B$3))^12)*100)</f>
        <v/>
      </c>
      <c r="CE173" s="25">
        <f>IF(AD173=1,0,BV173-(1-(1-(1/(1+EXP(-(BT173-BM173)))*Parameters!$B$3))^12)*100)</f>
        <v/>
      </c>
      <c r="CF173" s="25">
        <f>IF(AD173=1,0,BV173-(1-(1-(1/(1+EXP(-(BT173-BN173)))*Parameters!$B$3))^12)*100)</f>
        <v/>
      </c>
      <c r="CG173" s="25">
        <f>IF(AD173=1,0,BV173-(1-(1-(1/(1+EXP(-(BT173-BO173)))*Parameters!$B$3))^12)*100)</f>
        <v/>
      </c>
      <c r="CH173" s="25">
        <f>IF(AD173=1,0,BV173-(1-(1-(1/(1+EXP(-(BT173-BP173)))*Parameters!$B$3))^12)*100)</f>
        <v/>
      </c>
      <c r="CI173" s="25">
        <f>IF(AD173=1,0,BV173-(1-(1-(1/(1+EXP(-(BT173-BQ173)))*Parameters!$B$3))^12)*100)</f>
        <v/>
      </c>
      <c r="CJ173" s="25">
        <f>IF(AD173=1,0,BV173-(1-(1-(1/(1+EXP(-(BT173-BR173)))*Parameters!$B$3))^12)*100)</f>
        <v/>
      </c>
    </row>
    <row r="174">
      <c r="A174" s="17" t="inlineStr">
        <is>
          <t>GNR_AFF_2018</t>
        </is>
      </c>
      <c r="B174" s="17" t="inlineStr">
        <is>
          <t>3617QE4X4</t>
        </is>
      </c>
      <c r="C174" s="17" t="inlineStr">
        <is>
          <t>LM</t>
        </is>
      </c>
      <c r="D174" s="17" t="inlineStr">
        <is>
          <t>GERSHMAN INVESTMENT CORP.</t>
        </is>
      </c>
      <c r="E174" s="17" t="inlineStr">
        <is>
          <t>3617QE4X4_000000008511205</t>
        </is>
      </c>
      <c r="F174" s="17" t="n">
        <v>202603</v>
      </c>
      <c r="G174" s="18" t="n">
        <v>3.25</v>
      </c>
      <c r="H174" s="19" t="n">
        <v>2229986.59</v>
      </c>
      <c r="I174" s="17" t="n">
        <v>214</v>
      </c>
      <c r="J174" s="17" t="n">
        <v>20200801</v>
      </c>
      <c r="K174" s="17" t="n">
        <v>20380701</v>
      </c>
      <c r="L174" s="17" t="n">
        <v>20211001</v>
      </c>
      <c r="M174" s="17" t="n">
        <v>20301001</v>
      </c>
      <c r="N174" s="17" t="n">
        <v>9</v>
      </c>
      <c r="O174" s="17" t="inlineStr">
        <is>
          <t>207/223(f)</t>
        </is>
      </c>
      <c r="P174" s="17" t="inlineStr">
        <is>
          <t>BAF</t>
        </is>
      </c>
      <c r="Q174" s="17" t="inlineStr">
        <is>
          <t>M</t>
        </is>
      </c>
      <c r="R174" s="17" t="n"/>
      <c r="S174" s="17" t="n">
        <v>1</v>
      </c>
      <c r="T174" s="17" t="inlineStr">
        <is>
          <t>MO</t>
        </is>
      </c>
      <c r="U174" s="17" t="n">
        <v>116</v>
      </c>
      <c r="V174" s="17" t="n">
        <v>490.5</v>
      </c>
      <c r="W174" s="17" t="n">
        <v>67</v>
      </c>
      <c r="X174" s="17" t="n">
        <v>2020</v>
      </c>
      <c r="Y174" s="17" t="n">
        <v>40</v>
      </c>
      <c r="Z174" s="17" t="n">
        <v>8</v>
      </c>
      <c r="AA174" s="20">
        <f>IF(ISNUMBER(W174),W174,IFERROR(MAX(0,(VALUE(LEFT(F174,4))-VALUE(LEFT(TEXT(J174,"00000000"),4)))*12+(VALUE(MID(F174,5,2))-VALUE(MID(TEXT(J174,"00000000"),5,2)))),""))</f>
        <v/>
      </c>
      <c r="AB174" s="20">
        <f>IFERROR((VALUE(LEFT(TEXT(K174,"00000000"),4))-VALUE(LEFT(F174,4)))*12+(VALUE(MID(TEXT(K174,"00000000"),5,2))-VALUE(MID(F174,5,2))),"")</f>
        <v/>
      </c>
      <c r="AC174" s="20">
        <f>IF(OR(L174="",NOT(ISNUMBER(L174))),0,MAX(0,MIN(60,(VALUE(LEFT(F174,4))-VALUE(LEFT(TEXT(L174,"00000000"),4)))*12+(VALUE(MID(F174,5,2))-VALUE(MID(TEXT(L174,"00000000"),5,2))))))</f>
        <v/>
      </c>
      <c r="AD174" s="20">
        <f>IF(OR(L174="",NOT(ISNUMBER(L174))),0,IF(VALUE(F174)&lt;VALUE(LEFT(TEXT(L174,"00000000"),6)),1,0))</f>
        <v/>
      </c>
      <c r="AE174" s="20">
        <f>IF(OR(M174="",NOT(ISNUMBER(M174))),0,IF(VALUE(F174)&lt;VALUE(LEFT(TEXT(M174,"00000000"),6)),1,0))</f>
        <v/>
      </c>
      <c r="AF174" s="20">
        <f>IF(AND(AD174=0,AE174=0),1,0)</f>
        <v/>
      </c>
      <c r="AG174" s="20">
        <f>IF(ISNUMBER(X174),X174,IFERROR(VALUE(LEFT(TEXT(J174,"00000000"),4)),""))</f>
        <v/>
      </c>
      <c r="AH174" s="20">
        <f>IFERROR(XLOOKUP(AG174,Vintage_Rates!$A$2:$A$1000,Vintage_Rates!$B$2:$B$1000,""),"")</f>
        <v/>
      </c>
      <c r="AI174" s="20">
        <f>IF(ISNUMBER(Y174),Y174,IFERROR((G174-AH174)*100,""))</f>
        <v/>
      </c>
      <c r="AJ174" s="20">
        <f>IF(ISNUMBER(V174),V174,IFERROR(XLOOKUP(VALUE(F174),PLC_Rates!$A$2:$A$1000,PLC_Rates!$B$2:$B$1000,""),""))</f>
        <v/>
      </c>
      <c r="AK174" s="20">
        <f>IF(ISNUMBER(Z174),Z174,IF(AE174=0,0,MAX(0,MIN(10,((VALUE(LEFT(TEXT(M174,"00000000"),4))-VALUE(LEFT(F174,4)))*12+(VALUE(MID(TEXT(M174,"00000000"),5,2))-VALUE(MID(F174,5,2))))/12))))</f>
        <v/>
      </c>
      <c r="AL174" s="20">
        <f>IFERROR(G174*100-AJ174,"")</f>
        <v/>
      </c>
      <c r="AM174" s="20">
        <f>IFERROR(G174*100-(AJ174+(1+AK174)*12.5),"")</f>
        <v/>
      </c>
      <c r="AN174" s="21">
        <f>IFERROR(MIN(H174/1000000,100),"")</f>
        <v/>
      </c>
      <c r="AO174" s="20">
        <f>IFERROR(INDEX(FHA_Lookup!$B$2:$B$11,MATCH(TRUE,ISNUMBER(SEARCH(FHA_Lookup!$A$2:$A$11,UPPER(SUBSTITUTE(O174," ","")))),0)),"OTHER")</f>
        <v/>
      </c>
      <c r="AP174" s="20">
        <f>IFERROR(INDEX(FHA_Lookup!$C$2:$C$11,MATCH(TRUE,ISNUMBER(SEARCH(FHA_Lookup!$A$2:$A$11,UPPER(SUBSTITUTE(O174," ","")))),0)),"OTHER")</f>
        <v/>
      </c>
      <c r="AQ174" s="20">
        <f>IF(AP174="NC",1,0)</f>
        <v/>
      </c>
      <c r="AR174" s="20">
        <f>IF(UPPER(TRIM(P174))="AFF",1,0)</f>
        <v/>
      </c>
      <c r="AS174" s="20">
        <f>IF(UPPER(TRIM(P174))="BAF",1,0)</f>
        <v/>
      </c>
      <c r="AT174" s="20">
        <f>IF(UPPER(TRIM(P174))="MKT",1,0)</f>
        <v/>
      </c>
      <c r="AU174" s="20">
        <f>IF(AO174="221d4",1,0)</f>
        <v/>
      </c>
      <c r="AV174" s="20">
        <f>IF(AO174="223a7",1,0)</f>
        <v/>
      </c>
      <c r="AW174" s="20">
        <f>IF(AO174="232",1,0)</f>
        <v/>
      </c>
      <c r="AX174" s="20">
        <f>IF(AO174="538",1,0)</f>
        <v/>
      </c>
      <c r="AY174" s="20">
        <f>IF(AO174="241",1,0)</f>
        <v/>
      </c>
      <c r="AZ174" s="20">
        <f>IF(AO174="220",1,0)</f>
        <v/>
      </c>
      <c r="BA174" s="20">
        <f>IF(AO174="OTHER",1,0)</f>
        <v/>
      </c>
      <c r="BB174" s="20">
        <f>IF(UPPER(TRIM(C174))="LM",1,0)</f>
        <v/>
      </c>
      <c r="BC174" s="20">
        <f>IF(UPPER(TRIM(C174))="PN",1,0)</f>
        <v/>
      </c>
      <c r="BD174" s="20">
        <f>IF(UPPER(TRIM(C174))="LS",1,0)</f>
        <v/>
      </c>
      <c r="BE174" s="20">
        <f>IF(UPPER(TRIM(C174))="RX",1,0)</f>
        <v/>
      </c>
      <c r="BF174" s="22">
        <f>IFERROR((Parameters!$C$6*AM174+Parameters!$C$7*MAX(AM174-(-150),0)+Parameters!$C$8*MAX(AM174-(-50),0)+Parameters!$C$9*MAX(AM174-(0),0)+Parameters!$C$10*MAX(AM174-(50),0)+Parameters!$C$11*MAX(AM174-(100),0)+Parameters!$C$12*MAX(AM174-(150),0)+Parameters!$C$13*MAX(AM174-(250),0)),0)</f>
        <v/>
      </c>
      <c r="BG174" s="22">
        <f>IFERROR((Parameters!$C$14*AA174+Parameters!$C$15*MAX(AA174-(12),0)+Parameters!$C$16*MAX(AA174-(36),0)+Parameters!$C$17*MAX(AA174-(60),0)+Parameters!$C$18*MAX(AA174-(84),0)+Parameters!$C$19*MAX(AA174-(120),0)+Parameters!$C$20*MAX(AA174-(180),0)),0)</f>
        <v/>
      </c>
      <c r="BH174" s="22">
        <f>IFERROR((Parameters!$C$21*AK174+Parameters!$C$22*MAX(AK174-(0),0)+Parameters!$C$23*MAX(AK174-(2),0)+Parameters!$C$24*MAX(AK174-(5),0)+Parameters!$C$25*MAX(AK174-(8),0)),0)</f>
        <v/>
      </c>
      <c r="BI174" s="22">
        <f>IFERROR((Parameters!$C$26*AI174+Parameters!$C$27*MAX(AI174-(-100),0)+Parameters!$C$28*MAX(AI174-(-25),0)+Parameters!$C$29*MAX(AI174-(25),0)+Parameters!$C$30*MAX(AI174-(100),0)),0)</f>
        <v/>
      </c>
      <c r="BJ174" s="22">
        <f>IFERROR((Parameters!$C$31*AN174+Parameters!$C$32*MAX(AN174-(2),0)+Parameters!$C$33*MAX(AN174-(10),0)+Parameters!$C$34*MAX(AN174-(25),0)),0)</f>
        <v/>
      </c>
      <c r="BK174" s="22">
        <f>IFERROR((Parameters!$C$35*AB174+Parameters!$C$36*MAX(AB174-(12),0)+Parameters!$C$37*MAX(AB174-(24),0)+Parameters!$C$38*MAX(AB174-(60),0)),0)</f>
        <v/>
      </c>
      <c r="BL174" s="22">
        <f>IFERROR((Parameters!$C$39*AC174+Parameters!$C$40*MAX(AC174-(6),0)+Parameters!$C$41*MAX(AC174-(12),0)+Parameters!$C$42*MAX(AC174-(24),0)),0)</f>
        <v/>
      </c>
      <c r="BM174" s="22">
        <f>IFERROR(Parameters!$C$43*(MAX(AM174,0)*MIN(MAX(AK174,0),10))/100,0)</f>
        <v/>
      </c>
      <c r="BN174" s="22">
        <f>Parameters!$C$44*AE174</f>
        <v/>
      </c>
      <c r="BO174" s="22">
        <f>Parameters!$C$45*AU174 + Parameters!$C$46*AV174 + Parameters!$C$47*AW174 + Parameters!$C$48*AX174 + Parameters!$C$49*AY174 + Parameters!$C$50*AZ174 + Parameters!$C$51*BA174</f>
        <v/>
      </c>
      <c r="BP174" s="22">
        <f>Parameters!$C$52*AQ174</f>
        <v/>
      </c>
      <c r="BQ174" s="22">
        <f>Parameters!$C$53*AR174+Parameters!$C$54*AS174+Parameters!$C$55*AT174</f>
        <v/>
      </c>
      <c r="BR174" s="22">
        <f>Parameters!$C$56*BB174+Parameters!$C$57*BC174+Parameters!$C$58*BD174+Parameters!$C$59*BE174</f>
        <v/>
      </c>
      <c r="BS174" s="23">
        <f>Parameters!$B$2</f>
        <v/>
      </c>
      <c r="BT174" s="23">
        <f>BS174+BF174 + BG174 + BH174 + BI174 + BJ174 + BK174 + BL174 + BM174 + BN174 + BO174 + BP174 + BQ174 + BR174</f>
        <v/>
      </c>
      <c r="BU174" s="24">
        <f>IF(AD174=1,0,1/(1+EXP(-BT174))*Parameters!$B$3)</f>
        <v/>
      </c>
      <c r="BV174" s="25">
        <f>(1-(1-BU174)^12)*100</f>
        <v/>
      </c>
      <c r="BW174" s="25">
        <f>IF(AD174=1,0,(1-(1-1/(1+EXP(-Parameters!$B$2)))^12)*100)</f>
        <v/>
      </c>
      <c r="BX174" s="25">
        <f>IF(AD174=1,0,BV174-(1-(1-(1/(1+EXP(-(BT174-BF174)))*Parameters!$B$3))^12)*100)</f>
        <v/>
      </c>
      <c r="BY174" s="25">
        <f>IF(AD174=1,0,BV174-(1-(1-(1/(1+EXP(-(BT174-BG174)))*Parameters!$B$3))^12)*100)</f>
        <v/>
      </c>
      <c r="BZ174" s="25">
        <f>IF(AD174=1,0,BV174-(1-(1-(1/(1+EXP(-(BT174-BH174)))*Parameters!$B$3))^12)*100)</f>
        <v/>
      </c>
      <c r="CA174" s="25">
        <f>IF(AD174=1,0,BV174-(1-(1-(1/(1+EXP(-(BT174-BI174)))*Parameters!$B$3))^12)*100)</f>
        <v/>
      </c>
      <c r="CB174" s="25">
        <f>IF(AD174=1,0,BV174-(1-(1-(1/(1+EXP(-(BT174-BJ174)))*Parameters!$B$3))^12)*100)</f>
        <v/>
      </c>
      <c r="CC174" s="25">
        <f>IF(AD174=1,0,BV174-(1-(1-(1/(1+EXP(-(BT174-BK174)))*Parameters!$B$3))^12)*100)</f>
        <v/>
      </c>
      <c r="CD174" s="25">
        <f>IF(AD174=1,0,BV174-(1-(1-(1/(1+EXP(-(BT174-BL174)))*Parameters!$B$3))^12)*100)</f>
        <v/>
      </c>
      <c r="CE174" s="25">
        <f>IF(AD174=1,0,BV174-(1-(1-(1/(1+EXP(-(BT174-BM174)))*Parameters!$B$3))^12)*100)</f>
        <v/>
      </c>
      <c r="CF174" s="25">
        <f>IF(AD174=1,0,BV174-(1-(1-(1/(1+EXP(-(BT174-BN174)))*Parameters!$B$3))^12)*100)</f>
        <v/>
      </c>
      <c r="CG174" s="25">
        <f>IF(AD174=1,0,BV174-(1-(1-(1/(1+EXP(-(BT174-BO174)))*Parameters!$B$3))^12)*100)</f>
        <v/>
      </c>
      <c r="CH174" s="25">
        <f>IF(AD174=1,0,BV174-(1-(1-(1/(1+EXP(-(BT174-BP174)))*Parameters!$B$3))^12)*100)</f>
        <v/>
      </c>
      <c r="CI174" s="25">
        <f>IF(AD174=1,0,BV174-(1-(1-(1/(1+EXP(-(BT174-BQ174)))*Parameters!$B$3))^12)*100)</f>
        <v/>
      </c>
      <c r="CJ174" s="25">
        <f>IF(AD174=1,0,BV174-(1-(1-(1/(1+EXP(-(BT174-BR174)))*Parameters!$B$3))^12)*100)</f>
        <v/>
      </c>
    </row>
    <row r="175">
      <c r="A175" s="17" t="inlineStr">
        <is>
          <t>GNR_AFF_2018</t>
        </is>
      </c>
      <c r="B175" s="17" t="inlineStr">
        <is>
          <t>3617W0CY6</t>
        </is>
      </c>
      <c r="C175" s="17" t="inlineStr">
        <is>
          <t>LM</t>
        </is>
      </c>
      <c r="D175" s="17" t="inlineStr">
        <is>
          <t>BERKADIA COMMERCIAL MORTGAGE, LLC</t>
        </is>
      </c>
      <c r="E175" s="17" t="inlineStr">
        <is>
          <t>3617W0CY6_000000011535793</t>
        </is>
      </c>
      <c r="F175" s="17" t="n">
        <v>202603</v>
      </c>
      <c r="G175" s="18" t="n">
        <v>3.33</v>
      </c>
      <c r="H175" s="19" t="n">
        <v>22478133.48</v>
      </c>
      <c r="I175" s="17" t="n">
        <v>463</v>
      </c>
      <c r="J175" s="17" t="n">
        <v>20180216</v>
      </c>
      <c r="K175" s="17" t="n">
        <v>20600301</v>
      </c>
      <c r="L175" s="17" t="n">
        <v>20230101</v>
      </c>
      <c r="M175" s="17" t="n">
        <v>20320101</v>
      </c>
      <c r="N175" s="17" t="n">
        <v>10</v>
      </c>
      <c r="O175" s="17" t="inlineStr">
        <is>
          <t>221(d)(4)</t>
        </is>
      </c>
      <c r="P175" s="17" t="inlineStr">
        <is>
          <t>AFF</t>
        </is>
      </c>
      <c r="Q175" s="17" t="inlineStr">
        <is>
          <t>M</t>
        </is>
      </c>
      <c r="R175" s="17" t="n"/>
      <c r="S175" s="17" t="n">
        <v>1</v>
      </c>
      <c r="T175" s="17" t="inlineStr">
        <is>
          <t>TX</t>
        </is>
      </c>
      <c r="U175" s="17" t="n">
        <v>197</v>
      </c>
      <c r="V175" s="17" t="n">
        <v>490.5</v>
      </c>
      <c r="W175" s="17" t="n">
        <v>97</v>
      </c>
      <c r="X175" s="17" t="n">
        <v>2018</v>
      </c>
      <c r="Y175" s="17" t="n">
        <v>-69</v>
      </c>
      <c r="Z175" s="17" t="n">
        <v>7</v>
      </c>
      <c r="AA175" s="20">
        <f>IF(ISNUMBER(W175),W175,IFERROR(MAX(0,(VALUE(LEFT(F175,4))-VALUE(LEFT(TEXT(J175,"00000000"),4)))*12+(VALUE(MID(F175,5,2))-VALUE(MID(TEXT(J175,"00000000"),5,2)))),""))</f>
        <v/>
      </c>
      <c r="AB175" s="20">
        <f>IFERROR((VALUE(LEFT(TEXT(K175,"00000000"),4))-VALUE(LEFT(F175,4)))*12+(VALUE(MID(TEXT(K175,"00000000"),5,2))-VALUE(MID(F175,5,2))),"")</f>
        <v/>
      </c>
      <c r="AC175" s="20">
        <f>IF(OR(L175="",NOT(ISNUMBER(L175))),0,MAX(0,MIN(60,(VALUE(LEFT(F175,4))-VALUE(LEFT(TEXT(L175,"00000000"),4)))*12+(VALUE(MID(F175,5,2))-VALUE(MID(TEXT(L175,"00000000"),5,2))))))</f>
        <v/>
      </c>
      <c r="AD175" s="20">
        <f>IF(OR(L175="",NOT(ISNUMBER(L175))),0,IF(VALUE(F175)&lt;VALUE(LEFT(TEXT(L175,"00000000"),6)),1,0))</f>
        <v/>
      </c>
      <c r="AE175" s="20">
        <f>IF(OR(M175="",NOT(ISNUMBER(M175))),0,IF(VALUE(F175)&lt;VALUE(LEFT(TEXT(M175,"00000000"),6)),1,0))</f>
        <v/>
      </c>
      <c r="AF175" s="20">
        <f>IF(AND(AD175=0,AE175=0),1,0)</f>
        <v/>
      </c>
      <c r="AG175" s="20">
        <f>IF(ISNUMBER(X175),X175,IFERROR(VALUE(LEFT(TEXT(J175,"00000000"),4)),""))</f>
        <v/>
      </c>
      <c r="AH175" s="20">
        <f>IFERROR(XLOOKUP(AG175,Vintage_Rates!$A$2:$A$1000,Vintage_Rates!$B$2:$B$1000,""),"")</f>
        <v/>
      </c>
      <c r="AI175" s="20">
        <f>IF(ISNUMBER(Y175),Y175,IFERROR((G175-AH175)*100,""))</f>
        <v/>
      </c>
      <c r="AJ175" s="20">
        <f>IF(ISNUMBER(V175),V175,IFERROR(XLOOKUP(VALUE(F175),PLC_Rates!$A$2:$A$1000,PLC_Rates!$B$2:$B$1000,""),""))</f>
        <v/>
      </c>
      <c r="AK175" s="20">
        <f>IF(ISNUMBER(Z175),Z175,IF(AE175=0,0,MAX(0,MIN(10,((VALUE(LEFT(TEXT(M175,"00000000"),4))-VALUE(LEFT(F175,4)))*12+(VALUE(MID(TEXT(M175,"00000000"),5,2))-VALUE(MID(F175,5,2))))/12))))</f>
        <v/>
      </c>
      <c r="AL175" s="20">
        <f>IFERROR(G175*100-AJ175,"")</f>
        <v/>
      </c>
      <c r="AM175" s="20">
        <f>IFERROR(G175*100-(AJ175+(1+AK175)*12.5),"")</f>
        <v/>
      </c>
      <c r="AN175" s="21">
        <f>IFERROR(MIN(H175/1000000,100),"")</f>
        <v/>
      </c>
      <c r="AO175" s="20">
        <f>IFERROR(INDEX(FHA_Lookup!$B$2:$B$11,MATCH(TRUE,ISNUMBER(SEARCH(FHA_Lookup!$A$2:$A$11,UPPER(SUBSTITUTE(O175," ","")))),0)),"OTHER")</f>
        <v/>
      </c>
      <c r="AP175" s="20">
        <f>IFERROR(INDEX(FHA_Lookup!$C$2:$C$11,MATCH(TRUE,ISNUMBER(SEARCH(FHA_Lookup!$A$2:$A$11,UPPER(SUBSTITUTE(O175," ","")))),0)),"OTHER")</f>
        <v/>
      </c>
      <c r="AQ175" s="20">
        <f>IF(AP175="NC",1,0)</f>
        <v/>
      </c>
      <c r="AR175" s="20">
        <f>IF(UPPER(TRIM(P175))="AFF",1,0)</f>
        <v/>
      </c>
      <c r="AS175" s="20">
        <f>IF(UPPER(TRIM(P175))="BAF",1,0)</f>
        <v/>
      </c>
      <c r="AT175" s="20">
        <f>IF(UPPER(TRIM(P175))="MKT",1,0)</f>
        <v/>
      </c>
      <c r="AU175" s="20">
        <f>IF(AO175="221d4",1,0)</f>
        <v/>
      </c>
      <c r="AV175" s="20">
        <f>IF(AO175="223a7",1,0)</f>
        <v/>
      </c>
      <c r="AW175" s="20">
        <f>IF(AO175="232",1,0)</f>
        <v/>
      </c>
      <c r="AX175" s="20">
        <f>IF(AO175="538",1,0)</f>
        <v/>
      </c>
      <c r="AY175" s="20">
        <f>IF(AO175="241",1,0)</f>
        <v/>
      </c>
      <c r="AZ175" s="20">
        <f>IF(AO175="220",1,0)</f>
        <v/>
      </c>
      <c r="BA175" s="20">
        <f>IF(AO175="OTHER",1,0)</f>
        <v/>
      </c>
      <c r="BB175" s="20">
        <f>IF(UPPER(TRIM(C175))="LM",1,0)</f>
        <v/>
      </c>
      <c r="BC175" s="20">
        <f>IF(UPPER(TRIM(C175))="PN",1,0)</f>
        <v/>
      </c>
      <c r="BD175" s="20">
        <f>IF(UPPER(TRIM(C175))="LS",1,0)</f>
        <v/>
      </c>
      <c r="BE175" s="20">
        <f>IF(UPPER(TRIM(C175))="RX",1,0)</f>
        <v/>
      </c>
      <c r="BF175" s="22">
        <f>IFERROR((Parameters!$C$6*AM175+Parameters!$C$7*MAX(AM175-(-150),0)+Parameters!$C$8*MAX(AM175-(-50),0)+Parameters!$C$9*MAX(AM175-(0),0)+Parameters!$C$10*MAX(AM175-(50),0)+Parameters!$C$11*MAX(AM175-(100),0)+Parameters!$C$12*MAX(AM175-(150),0)+Parameters!$C$13*MAX(AM175-(250),0)),0)</f>
        <v/>
      </c>
      <c r="BG175" s="22">
        <f>IFERROR((Parameters!$C$14*AA175+Parameters!$C$15*MAX(AA175-(12),0)+Parameters!$C$16*MAX(AA175-(36),0)+Parameters!$C$17*MAX(AA175-(60),0)+Parameters!$C$18*MAX(AA175-(84),0)+Parameters!$C$19*MAX(AA175-(120),0)+Parameters!$C$20*MAX(AA175-(180),0)),0)</f>
        <v/>
      </c>
      <c r="BH175" s="22">
        <f>IFERROR((Parameters!$C$21*AK175+Parameters!$C$22*MAX(AK175-(0),0)+Parameters!$C$23*MAX(AK175-(2),0)+Parameters!$C$24*MAX(AK175-(5),0)+Parameters!$C$25*MAX(AK175-(8),0)),0)</f>
        <v/>
      </c>
      <c r="BI175" s="22">
        <f>IFERROR((Parameters!$C$26*AI175+Parameters!$C$27*MAX(AI175-(-100),0)+Parameters!$C$28*MAX(AI175-(-25),0)+Parameters!$C$29*MAX(AI175-(25),0)+Parameters!$C$30*MAX(AI175-(100),0)),0)</f>
        <v/>
      </c>
      <c r="BJ175" s="22">
        <f>IFERROR((Parameters!$C$31*AN175+Parameters!$C$32*MAX(AN175-(2),0)+Parameters!$C$33*MAX(AN175-(10),0)+Parameters!$C$34*MAX(AN175-(25),0)),0)</f>
        <v/>
      </c>
      <c r="BK175" s="22">
        <f>IFERROR((Parameters!$C$35*AB175+Parameters!$C$36*MAX(AB175-(12),0)+Parameters!$C$37*MAX(AB175-(24),0)+Parameters!$C$38*MAX(AB175-(60),0)),0)</f>
        <v/>
      </c>
      <c r="BL175" s="22">
        <f>IFERROR((Parameters!$C$39*AC175+Parameters!$C$40*MAX(AC175-(6),0)+Parameters!$C$41*MAX(AC175-(12),0)+Parameters!$C$42*MAX(AC175-(24),0)),0)</f>
        <v/>
      </c>
      <c r="BM175" s="22">
        <f>IFERROR(Parameters!$C$43*(MAX(AM175,0)*MIN(MAX(AK175,0),10))/100,0)</f>
        <v/>
      </c>
      <c r="BN175" s="22">
        <f>Parameters!$C$44*AE175</f>
        <v/>
      </c>
      <c r="BO175" s="22">
        <f>Parameters!$C$45*AU175 + Parameters!$C$46*AV175 + Parameters!$C$47*AW175 + Parameters!$C$48*AX175 + Parameters!$C$49*AY175 + Parameters!$C$50*AZ175 + Parameters!$C$51*BA175</f>
        <v/>
      </c>
      <c r="BP175" s="22">
        <f>Parameters!$C$52*AQ175</f>
        <v/>
      </c>
      <c r="BQ175" s="22">
        <f>Parameters!$C$53*AR175+Parameters!$C$54*AS175+Parameters!$C$55*AT175</f>
        <v/>
      </c>
      <c r="BR175" s="22">
        <f>Parameters!$C$56*BB175+Parameters!$C$57*BC175+Parameters!$C$58*BD175+Parameters!$C$59*BE175</f>
        <v/>
      </c>
      <c r="BS175" s="23">
        <f>Parameters!$B$2</f>
        <v/>
      </c>
      <c r="BT175" s="23">
        <f>BS175+BF175 + BG175 + BH175 + BI175 + BJ175 + BK175 + BL175 + BM175 + BN175 + BO175 + BP175 + BQ175 + BR175</f>
        <v/>
      </c>
      <c r="BU175" s="24">
        <f>IF(AD175=1,0,1/(1+EXP(-BT175))*Parameters!$B$3)</f>
        <v/>
      </c>
      <c r="BV175" s="25">
        <f>(1-(1-BU175)^12)*100</f>
        <v/>
      </c>
      <c r="BW175" s="25">
        <f>IF(AD175=1,0,(1-(1-1/(1+EXP(-Parameters!$B$2)))^12)*100)</f>
        <v/>
      </c>
      <c r="BX175" s="25">
        <f>IF(AD175=1,0,BV175-(1-(1-(1/(1+EXP(-(BT175-BF175)))*Parameters!$B$3))^12)*100)</f>
        <v/>
      </c>
      <c r="BY175" s="25">
        <f>IF(AD175=1,0,BV175-(1-(1-(1/(1+EXP(-(BT175-BG175)))*Parameters!$B$3))^12)*100)</f>
        <v/>
      </c>
      <c r="BZ175" s="25">
        <f>IF(AD175=1,0,BV175-(1-(1-(1/(1+EXP(-(BT175-BH175)))*Parameters!$B$3))^12)*100)</f>
        <v/>
      </c>
      <c r="CA175" s="25">
        <f>IF(AD175=1,0,BV175-(1-(1-(1/(1+EXP(-(BT175-BI175)))*Parameters!$B$3))^12)*100)</f>
        <v/>
      </c>
      <c r="CB175" s="25">
        <f>IF(AD175=1,0,BV175-(1-(1-(1/(1+EXP(-(BT175-BJ175)))*Parameters!$B$3))^12)*100)</f>
        <v/>
      </c>
      <c r="CC175" s="25">
        <f>IF(AD175=1,0,BV175-(1-(1-(1/(1+EXP(-(BT175-BK175)))*Parameters!$B$3))^12)*100)</f>
        <v/>
      </c>
      <c r="CD175" s="25">
        <f>IF(AD175=1,0,BV175-(1-(1-(1/(1+EXP(-(BT175-BL175)))*Parameters!$B$3))^12)*100)</f>
        <v/>
      </c>
      <c r="CE175" s="25">
        <f>IF(AD175=1,0,BV175-(1-(1-(1/(1+EXP(-(BT175-BM175)))*Parameters!$B$3))^12)*100)</f>
        <v/>
      </c>
      <c r="CF175" s="25">
        <f>IF(AD175=1,0,BV175-(1-(1-(1/(1+EXP(-(BT175-BN175)))*Parameters!$B$3))^12)*100)</f>
        <v/>
      </c>
      <c r="CG175" s="25">
        <f>IF(AD175=1,0,BV175-(1-(1-(1/(1+EXP(-(BT175-BO175)))*Parameters!$B$3))^12)*100)</f>
        <v/>
      </c>
      <c r="CH175" s="25">
        <f>IF(AD175=1,0,BV175-(1-(1-(1/(1+EXP(-(BT175-BP175)))*Parameters!$B$3))^12)*100)</f>
        <v/>
      </c>
      <c r="CI175" s="25">
        <f>IF(AD175=1,0,BV175-(1-(1-(1/(1+EXP(-(BT175-BQ175)))*Parameters!$B$3))^12)*100)</f>
        <v/>
      </c>
      <c r="CJ175" s="25">
        <f>IF(AD175=1,0,BV175-(1-(1-(1/(1+EXP(-(BT175-BR175)))*Parameters!$B$3))^12)*100)</f>
        <v/>
      </c>
    </row>
    <row r="176">
      <c r="A176" s="17" t="inlineStr">
        <is>
          <t>GNR_AFF_2018</t>
        </is>
      </c>
      <c r="B176" s="17" t="inlineStr">
        <is>
          <t>36196PJF0</t>
        </is>
      </c>
      <c r="C176" s="17" t="inlineStr">
        <is>
          <t>PN</t>
        </is>
      </c>
      <c r="D176" s="17" t="inlineStr">
        <is>
          <t>LUMENT REAL ESTATE CAPITAL,LLC</t>
        </is>
      </c>
      <c r="E176" s="17" t="inlineStr">
        <is>
          <t>36196PJF0_000000002311426</t>
        </is>
      </c>
      <c r="F176" s="17" t="n">
        <v>202603</v>
      </c>
      <c r="G176" s="18" t="n">
        <v>3.58</v>
      </c>
      <c r="H176" s="19" t="n">
        <v>29700996.16</v>
      </c>
      <c r="I176" s="17" t="n">
        <v>420</v>
      </c>
      <c r="J176" s="17" t="n">
        <v>20170130</v>
      </c>
      <c r="K176" s="17" t="n">
        <v>20520201</v>
      </c>
      <c r="L176" s="17" t="n"/>
      <c r="M176" s="17" t="n">
        <v>20270301</v>
      </c>
      <c r="N176" s="17" t="n">
        <v>10</v>
      </c>
      <c r="O176" s="17" t="inlineStr">
        <is>
          <t>207/223(F)</t>
        </is>
      </c>
      <c r="P176" s="17" t="inlineStr">
        <is>
          <t>BAF</t>
        </is>
      </c>
      <c r="Q176" s="17" t="n"/>
      <c r="R176" s="17" t="n"/>
      <c r="S176" s="17" t="n"/>
      <c r="T176" s="17" t="inlineStr">
        <is>
          <t>MA</t>
        </is>
      </c>
      <c r="U176" s="17" t="n">
        <v>150</v>
      </c>
      <c r="V176" s="17" t="n">
        <v>490.5</v>
      </c>
      <c r="W176" s="17" t="n">
        <v>110</v>
      </c>
      <c r="X176" s="17" t="n">
        <v>2017</v>
      </c>
      <c r="Y176" s="17" t="n">
        <v>11</v>
      </c>
      <c r="Z176" s="17" t="n">
        <v>1</v>
      </c>
      <c r="AA176" s="20">
        <f>IF(ISNUMBER(W176),W176,IFERROR(MAX(0,(VALUE(LEFT(F176,4))-VALUE(LEFT(TEXT(J176,"00000000"),4)))*12+(VALUE(MID(F176,5,2))-VALUE(MID(TEXT(J176,"00000000"),5,2)))),""))</f>
        <v/>
      </c>
      <c r="AB176" s="20">
        <f>IFERROR((VALUE(LEFT(TEXT(K176,"00000000"),4))-VALUE(LEFT(F176,4)))*12+(VALUE(MID(TEXT(K176,"00000000"),5,2))-VALUE(MID(F176,5,2))),"")</f>
        <v/>
      </c>
      <c r="AC176" s="20">
        <f>IF(OR(L176="",NOT(ISNUMBER(L176))),0,MAX(0,MIN(60,(VALUE(LEFT(F176,4))-VALUE(LEFT(TEXT(L176,"00000000"),4)))*12+(VALUE(MID(F176,5,2))-VALUE(MID(TEXT(L176,"00000000"),5,2))))))</f>
        <v/>
      </c>
      <c r="AD176" s="20">
        <f>IF(OR(L176="",NOT(ISNUMBER(L176))),0,IF(VALUE(F176)&lt;VALUE(LEFT(TEXT(L176,"00000000"),6)),1,0))</f>
        <v/>
      </c>
      <c r="AE176" s="20">
        <f>IF(OR(M176="",NOT(ISNUMBER(M176))),0,IF(VALUE(F176)&lt;VALUE(LEFT(TEXT(M176,"00000000"),6)),1,0))</f>
        <v/>
      </c>
      <c r="AF176" s="20">
        <f>IF(AND(AD176=0,AE176=0),1,0)</f>
        <v/>
      </c>
      <c r="AG176" s="20">
        <f>IF(ISNUMBER(X176),X176,IFERROR(VALUE(LEFT(TEXT(J176,"00000000"),4)),""))</f>
        <v/>
      </c>
      <c r="AH176" s="20">
        <f>IFERROR(XLOOKUP(AG176,Vintage_Rates!$A$2:$A$1000,Vintage_Rates!$B$2:$B$1000,""),"")</f>
        <v/>
      </c>
      <c r="AI176" s="20">
        <f>IF(ISNUMBER(Y176),Y176,IFERROR((G176-AH176)*100,""))</f>
        <v/>
      </c>
      <c r="AJ176" s="20">
        <f>IF(ISNUMBER(V176),V176,IFERROR(XLOOKUP(VALUE(F176),PLC_Rates!$A$2:$A$1000,PLC_Rates!$B$2:$B$1000,""),""))</f>
        <v/>
      </c>
      <c r="AK176" s="20">
        <f>IF(ISNUMBER(Z176),Z176,IF(AE176=0,0,MAX(0,MIN(10,((VALUE(LEFT(TEXT(M176,"00000000"),4))-VALUE(LEFT(F176,4)))*12+(VALUE(MID(TEXT(M176,"00000000"),5,2))-VALUE(MID(F176,5,2))))/12))))</f>
        <v/>
      </c>
      <c r="AL176" s="20">
        <f>IFERROR(G176*100-AJ176,"")</f>
        <v/>
      </c>
      <c r="AM176" s="20">
        <f>IFERROR(G176*100-(AJ176+(1+AK176)*12.5),"")</f>
        <v/>
      </c>
      <c r="AN176" s="21">
        <f>IFERROR(MIN(H176/1000000,100),"")</f>
        <v/>
      </c>
      <c r="AO176" s="20">
        <f>IFERROR(INDEX(FHA_Lookup!$B$2:$B$11,MATCH(TRUE,ISNUMBER(SEARCH(FHA_Lookup!$A$2:$A$11,UPPER(SUBSTITUTE(O176," ","")))),0)),"OTHER")</f>
        <v/>
      </c>
      <c r="AP176" s="20">
        <f>IFERROR(INDEX(FHA_Lookup!$C$2:$C$11,MATCH(TRUE,ISNUMBER(SEARCH(FHA_Lookup!$A$2:$A$11,UPPER(SUBSTITUTE(O176," ","")))),0)),"OTHER")</f>
        <v/>
      </c>
      <c r="AQ176" s="20">
        <f>IF(AP176="NC",1,0)</f>
        <v/>
      </c>
      <c r="AR176" s="20">
        <f>IF(UPPER(TRIM(P176))="AFF",1,0)</f>
        <v/>
      </c>
      <c r="AS176" s="20">
        <f>IF(UPPER(TRIM(P176))="BAF",1,0)</f>
        <v/>
      </c>
      <c r="AT176" s="20">
        <f>IF(UPPER(TRIM(P176))="MKT",1,0)</f>
        <v/>
      </c>
      <c r="AU176" s="20">
        <f>IF(AO176="221d4",1,0)</f>
        <v/>
      </c>
      <c r="AV176" s="20">
        <f>IF(AO176="223a7",1,0)</f>
        <v/>
      </c>
      <c r="AW176" s="20">
        <f>IF(AO176="232",1,0)</f>
        <v/>
      </c>
      <c r="AX176" s="20">
        <f>IF(AO176="538",1,0)</f>
        <v/>
      </c>
      <c r="AY176" s="20">
        <f>IF(AO176="241",1,0)</f>
        <v/>
      </c>
      <c r="AZ176" s="20">
        <f>IF(AO176="220",1,0)</f>
        <v/>
      </c>
      <c r="BA176" s="20">
        <f>IF(AO176="OTHER",1,0)</f>
        <v/>
      </c>
      <c r="BB176" s="20">
        <f>IF(UPPER(TRIM(C176))="LM",1,0)</f>
        <v/>
      </c>
      <c r="BC176" s="20">
        <f>IF(UPPER(TRIM(C176))="PN",1,0)</f>
        <v/>
      </c>
      <c r="BD176" s="20">
        <f>IF(UPPER(TRIM(C176))="LS",1,0)</f>
        <v/>
      </c>
      <c r="BE176" s="20">
        <f>IF(UPPER(TRIM(C176))="RX",1,0)</f>
        <v/>
      </c>
      <c r="BF176" s="22">
        <f>IFERROR((Parameters!$C$6*AM176+Parameters!$C$7*MAX(AM176-(-150),0)+Parameters!$C$8*MAX(AM176-(-50),0)+Parameters!$C$9*MAX(AM176-(0),0)+Parameters!$C$10*MAX(AM176-(50),0)+Parameters!$C$11*MAX(AM176-(100),0)+Parameters!$C$12*MAX(AM176-(150),0)+Parameters!$C$13*MAX(AM176-(250),0)),0)</f>
        <v/>
      </c>
      <c r="BG176" s="22">
        <f>IFERROR((Parameters!$C$14*AA176+Parameters!$C$15*MAX(AA176-(12),0)+Parameters!$C$16*MAX(AA176-(36),0)+Parameters!$C$17*MAX(AA176-(60),0)+Parameters!$C$18*MAX(AA176-(84),0)+Parameters!$C$19*MAX(AA176-(120),0)+Parameters!$C$20*MAX(AA176-(180),0)),0)</f>
        <v/>
      </c>
      <c r="BH176" s="22">
        <f>IFERROR((Parameters!$C$21*AK176+Parameters!$C$22*MAX(AK176-(0),0)+Parameters!$C$23*MAX(AK176-(2),0)+Parameters!$C$24*MAX(AK176-(5),0)+Parameters!$C$25*MAX(AK176-(8),0)),0)</f>
        <v/>
      </c>
      <c r="BI176" s="22">
        <f>IFERROR((Parameters!$C$26*AI176+Parameters!$C$27*MAX(AI176-(-100),0)+Parameters!$C$28*MAX(AI176-(-25),0)+Parameters!$C$29*MAX(AI176-(25),0)+Parameters!$C$30*MAX(AI176-(100),0)),0)</f>
        <v/>
      </c>
      <c r="BJ176" s="22">
        <f>IFERROR((Parameters!$C$31*AN176+Parameters!$C$32*MAX(AN176-(2),0)+Parameters!$C$33*MAX(AN176-(10),0)+Parameters!$C$34*MAX(AN176-(25),0)),0)</f>
        <v/>
      </c>
      <c r="BK176" s="22">
        <f>IFERROR((Parameters!$C$35*AB176+Parameters!$C$36*MAX(AB176-(12),0)+Parameters!$C$37*MAX(AB176-(24),0)+Parameters!$C$38*MAX(AB176-(60),0)),0)</f>
        <v/>
      </c>
      <c r="BL176" s="22">
        <f>IFERROR((Parameters!$C$39*AC176+Parameters!$C$40*MAX(AC176-(6),0)+Parameters!$C$41*MAX(AC176-(12),0)+Parameters!$C$42*MAX(AC176-(24),0)),0)</f>
        <v/>
      </c>
      <c r="BM176" s="22">
        <f>IFERROR(Parameters!$C$43*(MAX(AM176,0)*MIN(MAX(AK176,0),10))/100,0)</f>
        <v/>
      </c>
      <c r="BN176" s="22">
        <f>Parameters!$C$44*AE176</f>
        <v/>
      </c>
      <c r="BO176" s="22">
        <f>Parameters!$C$45*AU176 + Parameters!$C$46*AV176 + Parameters!$C$47*AW176 + Parameters!$C$48*AX176 + Parameters!$C$49*AY176 + Parameters!$C$50*AZ176 + Parameters!$C$51*BA176</f>
        <v/>
      </c>
      <c r="BP176" s="22">
        <f>Parameters!$C$52*AQ176</f>
        <v/>
      </c>
      <c r="BQ176" s="22">
        <f>Parameters!$C$53*AR176+Parameters!$C$54*AS176+Parameters!$C$55*AT176</f>
        <v/>
      </c>
      <c r="BR176" s="22">
        <f>Parameters!$C$56*BB176+Parameters!$C$57*BC176+Parameters!$C$58*BD176+Parameters!$C$59*BE176</f>
        <v/>
      </c>
      <c r="BS176" s="23">
        <f>Parameters!$B$2</f>
        <v/>
      </c>
      <c r="BT176" s="23">
        <f>BS176+BF176 + BG176 + BH176 + BI176 + BJ176 + BK176 + BL176 + BM176 + BN176 + BO176 + BP176 + BQ176 + BR176</f>
        <v/>
      </c>
      <c r="BU176" s="24">
        <f>IF(AD176=1,0,1/(1+EXP(-BT176))*Parameters!$B$3)</f>
        <v/>
      </c>
      <c r="BV176" s="25">
        <f>(1-(1-BU176)^12)*100</f>
        <v/>
      </c>
      <c r="BW176" s="25">
        <f>IF(AD176=1,0,(1-(1-1/(1+EXP(-Parameters!$B$2)))^12)*100)</f>
        <v/>
      </c>
      <c r="BX176" s="25">
        <f>IF(AD176=1,0,BV176-(1-(1-(1/(1+EXP(-(BT176-BF176)))*Parameters!$B$3))^12)*100)</f>
        <v/>
      </c>
      <c r="BY176" s="25">
        <f>IF(AD176=1,0,BV176-(1-(1-(1/(1+EXP(-(BT176-BG176)))*Parameters!$B$3))^12)*100)</f>
        <v/>
      </c>
      <c r="BZ176" s="25">
        <f>IF(AD176=1,0,BV176-(1-(1-(1/(1+EXP(-(BT176-BH176)))*Parameters!$B$3))^12)*100)</f>
        <v/>
      </c>
      <c r="CA176" s="25">
        <f>IF(AD176=1,0,BV176-(1-(1-(1/(1+EXP(-(BT176-BI176)))*Parameters!$B$3))^12)*100)</f>
        <v/>
      </c>
      <c r="CB176" s="25">
        <f>IF(AD176=1,0,BV176-(1-(1-(1/(1+EXP(-(BT176-BJ176)))*Parameters!$B$3))^12)*100)</f>
        <v/>
      </c>
      <c r="CC176" s="25">
        <f>IF(AD176=1,0,BV176-(1-(1-(1/(1+EXP(-(BT176-BK176)))*Parameters!$B$3))^12)*100)</f>
        <v/>
      </c>
      <c r="CD176" s="25">
        <f>IF(AD176=1,0,BV176-(1-(1-(1/(1+EXP(-(BT176-BL176)))*Parameters!$B$3))^12)*100)</f>
        <v/>
      </c>
      <c r="CE176" s="25">
        <f>IF(AD176=1,0,BV176-(1-(1-(1/(1+EXP(-(BT176-BM176)))*Parameters!$B$3))^12)*100)</f>
        <v/>
      </c>
      <c r="CF176" s="25">
        <f>IF(AD176=1,0,BV176-(1-(1-(1/(1+EXP(-(BT176-BN176)))*Parameters!$B$3))^12)*100)</f>
        <v/>
      </c>
      <c r="CG176" s="25">
        <f>IF(AD176=1,0,BV176-(1-(1-(1/(1+EXP(-(BT176-BO176)))*Parameters!$B$3))^12)*100)</f>
        <v/>
      </c>
      <c r="CH176" s="25">
        <f>IF(AD176=1,0,BV176-(1-(1-(1/(1+EXP(-(BT176-BP176)))*Parameters!$B$3))^12)*100)</f>
        <v/>
      </c>
      <c r="CI176" s="25">
        <f>IF(AD176=1,0,BV176-(1-(1-(1/(1+EXP(-(BT176-BQ176)))*Parameters!$B$3))^12)*100)</f>
        <v/>
      </c>
      <c r="CJ176" s="25">
        <f>IF(AD176=1,0,BV176-(1-(1-(1/(1+EXP(-(BT176-BR176)))*Parameters!$B$3))^12)*100)</f>
        <v/>
      </c>
    </row>
    <row r="177">
      <c r="A177" s="17" t="inlineStr">
        <is>
          <t>GNR_AFF_2018</t>
        </is>
      </c>
      <c r="B177" s="17" t="inlineStr">
        <is>
          <t>3617GYZK5</t>
        </is>
      </c>
      <c r="C177" s="17" t="inlineStr">
        <is>
          <t>PN</t>
        </is>
      </c>
      <c r="D177" s="17" t="inlineStr">
        <is>
          <t>AGM FINANCIAL SERVICES, INC.</t>
        </is>
      </c>
      <c r="E177" s="17" t="inlineStr">
        <is>
          <t>3617GYZK5_000000005411171</t>
        </is>
      </c>
      <c r="F177" s="17" t="n">
        <v>202603</v>
      </c>
      <c r="G177" s="18" t="n">
        <v>4.38</v>
      </c>
      <c r="H177" s="19" t="n">
        <v>2282550.06</v>
      </c>
      <c r="I177" s="17" t="n">
        <v>360</v>
      </c>
      <c r="J177" s="17" t="n">
        <v>20181130</v>
      </c>
      <c r="K177" s="17" t="n">
        <v>20481201</v>
      </c>
      <c r="L177" s="17" t="n"/>
      <c r="M177" s="17" t="n">
        <v>20240101</v>
      </c>
      <c r="N177" s="17" t="n">
        <v>5</v>
      </c>
      <c r="O177" s="17" t="inlineStr">
        <is>
          <t>223(F)</t>
        </is>
      </c>
      <c r="P177" s="17" t="inlineStr">
        <is>
          <t>BAF</t>
        </is>
      </c>
      <c r="Q177" s="17" t="n"/>
      <c r="R177" s="17" t="inlineStr">
        <is>
          <t>P</t>
        </is>
      </c>
      <c r="S177" s="17" t="n"/>
      <c r="T177" s="17" t="inlineStr">
        <is>
          <t>SC</t>
        </is>
      </c>
      <c r="U177" s="17" t="n">
        <v>70</v>
      </c>
      <c r="V177" s="17" t="n">
        <v>490.5</v>
      </c>
      <c r="W177" s="17" t="n">
        <v>88</v>
      </c>
      <c r="X177" s="17" t="n">
        <v>2018</v>
      </c>
      <c r="Y177" s="17" t="n">
        <v>36</v>
      </c>
      <c r="Z177" s="17" t="n">
        <v>0</v>
      </c>
      <c r="AA177" s="20">
        <f>IF(ISNUMBER(W177),W177,IFERROR(MAX(0,(VALUE(LEFT(F177,4))-VALUE(LEFT(TEXT(J177,"00000000"),4)))*12+(VALUE(MID(F177,5,2))-VALUE(MID(TEXT(J177,"00000000"),5,2)))),""))</f>
        <v/>
      </c>
      <c r="AB177" s="20">
        <f>IFERROR((VALUE(LEFT(TEXT(K177,"00000000"),4))-VALUE(LEFT(F177,4)))*12+(VALUE(MID(TEXT(K177,"00000000"),5,2))-VALUE(MID(F177,5,2))),"")</f>
        <v/>
      </c>
      <c r="AC177" s="20">
        <f>IF(OR(L177="",NOT(ISNUMBER(L177))),0,MAX(0,MIN(60,(VALUE(LEFT(F177,4))-VALUE(LEFT(TEXT(L177,"00000000"),4)))*12+(VALUE(MID(F177,5,2))-VALUE(MID(TEXT(L177,"00000000"),5,2))))))</f>
        <v/>
      </c>
      <c r="AD177" s="20">
        <f>IF(OR(L177="",NOT(ISNUMBER(L177))),0,IF(VALUE(F177)&lt;VALUE(LEFT(TEXT(L177,"00000000"),6)),1,0))</f>
        <v/>
      </c>
      <c r="AE177" s="20">
        <f>IF(OR(M177="",NOT(ISNUMBER(M177))),0,IF(VALUE(F177)&lt;VALUE(LEFT(TEXT(M177,"00000000"),6)),1,0))</f>
        <v/>
      </c>
      <c r="AF177" s="20">
        <f>IF(AND(AD177=0,AE177=0),1,0)</f>
        <v/>
      </c>
      <c r="AG177" s="20">
        <f>IF(ISNUMBER(X177),X177,IFERROR(VALUE(LEFT(TEXT(J177,"00000000"),4)),""))</f>
        <v/>
      </c>
      <c r="AH177" s="20">
        <f>IFERROR(XLOOKUP(AG177,Vintage_Rates!$A$2:$A$1000,Vintage_Rates!$B$2:$B$1000,""),"")</f>
        <v/>
      </c>
      <c r="AI177" s="20">
        <f>IF(ISNUMBER(Y177),Y177,IFERROR((G177-AH177)*100,""))</f>
        <v/>
      </c>
      <c r="AJ177" s="20">
        <f>IF(ISNUMBER(V177),V177,IFERROR(XLOOKUP(VALUE(F177),PLC_Rates!$A$2:$A$1000,PLC_Rates!$B$2:$B$1000,""),""))</f>
        <v/>
      </c>
      <c r="AK177" s="20">
        <f>IF(ISNUMBER(Z177),Z177,IF(AE177=0,0,MAX(0,MIN(10,((VALUE(LEFT(TEXT(M177,"00000000"),4))-VALUE(LEFT(F177,4)))*12+(VALUE(MID(TEXT(M177,"00000000"),5,2))-VALUE(MID(F177,5,2))))/12))))</f>
        <v/>
      </c>
      <c r="AL177" s="20">
        <f>IFERROR(G177*100-AJ177,"")</f>
        <v/>
      </c>
      <c r="AM177" s="20">
        <f>IFERROR(G177*100-(AJ177+(1+AK177)*12.5),"")</f>
        <v/>
      </c>
      <c r="AN177" s="21">
        <f>IFERROR(MIN(H177/1000000,100),"")</f>
        <v/>
      </c>
      <c r="AO177" s="20">
        <f>IFERROR(INDEX(FHA_Lookup!$B$2:$B$11,MATCH(TRUE,ISNUMBER(SEARCH(FHA_Lookup!$A$2:$A$11,UPPER(SUBSTITUTE(O177," ","")))),0)),"OTHER")</f>
        <v/>
      </c>
      <c r="AP177" s="20">
        <f>IFERROR(INDEX(FHA_Lookup!$C$2:$C$11,MATCH(TRUE,ISNUMBER(SEARCH(FHA_Lookup!$A$2:$A$11,UPPER(SUBSTITUTE(O177," ","")))),0)),"OTHER")</f>
        <v/>
      </c>
      <c r="AQ177" s="20">
        <f>IF(AP177="NC",1,0)</f>
        <v/>
      </c>
      <c r="AR177" s="20">
        <f>IF(UPPER(TRIM(P177))="AFF",1,0)</f>
        <v/>
      </c>
      <c r="AS177" s="20">
        <f>IF(UPPER(TRIM(P177))="BAF",1,0)</f>
        <v/>
      </c>
      <c r="AT177" s="20">
        <f>IF(UPPER(TRIM(P177))="MKT",1,0)</f>
        <v/>
      </c>
      <c r="AU177" s="20">
        <f>IF(AO177="221d4",1,0)</f>
        <v/>
      </c>
      <c r="AV177" s="20">
        <f>IF(AO177="223a7",1,0)</f>
        <v/>
      </c>
      <c r="AW177" s="20">
        <f>IF(AO177="232",1,0)</f>
        <v/>
      </c>
      <c r="AX177" s="20">
        <f>IF(AO177="538",1,0)</f>
        <v/>
      </c>
      <c r="AY177" s="20">
        <f>IF(AO177="241",1,0)</f>
        <v/>
      </c>
      <c r="AZ177" s="20">
        <f>IF(AO177="220",1,0)</f>
        <v/>
      </c>
      <c r="BA177" s="20">
        <f>IF(AO177="OTHER",1,0)</f>
        <v/>
      </c>
      <c r="BB177" s="20">
        <f>IF(UPPER(TRIM(C177))="LM",1,0)</f>
        <v/>
      </c>
      <c r="BC177" s="20">
        <f>IF(UPPER(TRIM(C177))="PN",1,0)</f>
        <v/>
      </c>
      <c r="BD177" s="20">
        <f>IF(UPPER(TRIM(C177))="LS",1,0)</f>
        <v/>
      </c>
      <c r="BE177" s="20">
        <f>IF(UPPER(TRIM(C177))="RX",1,0)</f>
        <v/>
      </c>
      <c r="BF177" s="22">
        <f>IFERROR((Parameters!$C$6*AM177+Parameters!$C$7*MAX(AM177-(-150),0)+Parameters!$C$8*MAX(AM177-(-50),0)+Parameters!$C$9*MAX(AM177-(0),0)+Parameters!$C$10*MAX(AM177-(50),0)+Parameters!$C$11*MAX(AM177-(100),0)+Parameters!$C$12*MAX(AM177-(150),0)+Parameters!$C$13*MAX(AM177-(250),0)),0)</f>
        <v/>
      </c>
      <c r="BG177" s="22">
        <f>IFERROR((Parameters!$C$14*AA177+Parameters!$C$15*MAX(AA177-(12),0)+Parameters!$C$16*MAX(AA177-(36),0)+Parameters!$C$17*MAX(AA177-(60),0)+Parameters!$C$18*MAX(AA177-(84),0)+Parameters!$C$19*MAX(AA177-(120),0)+Parameters!$C$20*MAX(AA177-(180),0)),0)</f>
        <v/>
      </c>
      <c r="BH177" s="22">
        <f>IFERROR((Parameters!$C$21*AK177+Parameters!$C$22*MAX(AK177-(0),0)+Parameters!$C$23*MAX(AK177-(2),0)+Parameters!$C$24*MAX(AK177-(5),0)+Parameters!$C$25*MAX(AK177-(8),0)),0)</f>
        <v/>
      </c>
      <c r="BI177" s="22">
        <f>IFERROR((Parameters!$C$26*AI177+Parameters!$C$27*MAX(AI177-(-100),0)+Parameters!$C$28*MAX(AI177-(-25),0)+Parameters!$C$29*MAX(AI177-(25),0)+Parameters!$C$30*MAX(AI177-(100),0)),0)</f>
        <v/>
      </c>
      <c r="BJ177" s="22">
        <f>IFERROR((Parameters!$C$31*AN177+Parameters!$C$32*MAX(AN177-(2),0)+Parameters!$C$33*MAX(AN177-(10),0)+Parameters!$C$34*MAX(AN177-(25),0)),0)</f>
        <v/>
      </c>
      <c r="BK177" s="22">
        <f>IFERROR((Parameters!$C$35*AB177+Parameters!$C$36*MAX(AB177-(12),0)+Parameters!$C$37*MAX(AB177-(24),0)+Parameters!$C$38*MAX(AB177-(60),0)),0)</f>
        <v/>
      </c>
      <c r="BL177" s="22">
        <f>IFERROR((Parameters!$C$39*AC177+Parameters!$C$40*MAX(AC177-(6),0)+Parameters!$C$41*MAX(AC177-(12),0)+Parameters!$C$42*MAX(AC177-(24),0)),0)</f>
        <v/>
      </c>
      <c r="BM177" s="22">
        <f>IFERROR(Parameters!$C$43*(MAX(AM177,0)*MIN(MAX(AK177,0),10))/100,0)</f>
        <v/>
      </c>
      <c r="BN177" s="22">
        <f>Parameters!$C$44*AE177</f>
        <v/>
      </c>
      <c r="BO177" s="22">
        <f>Parameters!$C$45*AU177 + Parameters!$C$46*AV177 + Parameters!$C$47*AW177 + Parameters!$C$48*AX177 + Parameters!$C$49*AY177 + Parameters!$C$50*AZ177 + Parameters!$C$51*BA177</f>
        <v/>
      </c>
      <c r="BP177" s="22">
        <f>Parameters!$C$52*AQ177</f>
        <v/>
      </c>
      <c r="BQ177" s="22">
        <f>Parameters!$C$53*AR177+Parameters!$C$54*AS177+Parameters!$C$55*AT177</f>
        <v/>
      </c>
      <c r="BR177" s="22">
        <f>Parameters!$C$56*BB177+Parameters!$C$57*BC177+Parameters!$C$58*BD177+Parameters!$C$59*BE177</f>
        <v/>
      </c>
      <c r="BS177" s="23">
        <f>Parameters!$B$2</f>
        <v/>
      </c>
      <c r="BT177" s="23">
        <f>BS177+BF177 + BG177 + BH177 + BI177 + BJ177 + BK177 + BL177 + BM177 + BN177 + BO177 + BP177 + BQ177 + BR177</f>
        <v/>
      </c>
      <c r="BU177" s="24">
        <f>IF(AD177=1,0,1/(1+EXP(-BT177))*Parameters!$B$3)</f>
        <v/>
      </c>
      <c r="BV177" s="25">
        <f>(1-(1-BU177)^12)*100</f>
        <v/>
      </c>
      <c r="BW177" s="25">
        <f>IF(AD177=1,0,(1-(1-1/(1+EXP(-Parameters!$B$2)))^12)*100)</f>
        <v/>
      </c>
      <c r="BX177" s="25">
        <f>IF(AD177=1,0,BV177-(1-(1-(1/(1+EXP(-(BT177-BF177)))*Parameters!$B$3))^12)*100)</f>
        <v/>
      </c>
      <c r="BY177" s="25">
        <f>IF(AD177=1,0,BV177-(1-(1-(1/(1+EXP(-(BT177-BG177)))*Parameters!$B$3))^12)*100)</f>
        <v/>
      </c>
      <c r="BZ177" s="25">
        <f>IF(AD177=1,0,BV177-(1-(1-(1/(1+EXP(-(BT177-BH177)))*Parameters!$B$3))^12)*100)</f>
        <v/>
      </c>
      <c r="CA177" s="25">
        <f>IF(AD177=1,0,BV177-(1-(1-(1/(1+EXP(-(BT177-BI177)))*Parameters!$B$3))^12)*100)</f>
        <v/>
      </c>
      <c r="CB177" s="25">
        <f>IF(AD177=1,0,BV177-(1-(1-(1/(1+EXP(-(BT177-BJ177)))*Parameters!$B$3))^12)*100)</f>
        <v/>
      </c>
      <c r="CC177" s="25">
        <f>IF(AD177=1,0,BV177-(1-(1-(1/(1+EXP(-(BT177-BK177)))*Parameters!$B$3))^12)*100)</f>
        <v/>
      </c>
      <c r="CD177" s="25">
        <f>IF(AD177=1,0,BV177-(1-(1-(1/(1+EXP(-(BT177-BL177)))*Parameters!$B$3))^12)*100)</f>
        <v/>
      </c>
      <c r="CE177" s="25">
        <f>IF(AD177=1,0,BV177-(1-(1-(1/(1+EXP(-(BT177-BM177)))*Parameters!$B$3))^12)*100)</f>
        <v/>
      </c>
      <c r="CF177" s="25">
        <f>IF(AD177=1,0,BV177-(1-(1-(1/(1+EXP(-(BT177-BN177)))*Parameters!$B$3))^12)*100)</f>
        <v/>
      </c>
      <c r="CG177" s="25">
        <f>IF(AD177=1,0,BV177-(1-(1-(1/(1+EXP(-(BT177-BO177)))*Parameters!$B$3))^12)*100)</f>
        <v/>
      </c>
      <c r="CH177" s="25">
        <f>IF(AD177=1,0,BV177-(1-(1-(1/(1+EXP(-(BT177-BP177)))*Parameters!$B$3))^12)*100)</f>
        <v/>
      </c>
      <c r="CI177" s="25">
        <f>IF(AD177=1,0,BV177-(1-(1-(1/(1+EXP(-(BT177-BQ177)))*Parameters!$B$3))^12)*100)</f>
        <v/>
      </c>
      <c r="CJ177" s="25">
        <f>IF(AD177=1,0,BV177-(1-(1-(1/(1+EXP(-(BT177-BR177)))*Parameters!$B$3))^12)*100)</f>
        <v/>
      </c>
    </row>
    <row r="178">
      <c r="A178" s="17" t="inlineStr">
        <is>
          <t>GNR_AFF_2018</t>
        </is>
      </c>
      <c r="B178" s="17" t="inlineStr">
        <is>
          <t>3617QRF39</t>
        </is>
      </c>
      <c r="C178" s="17" t="inlineStr">
        <is>
          <t>PN</t>
        </is>
      </c>
      <c r="D178" s="17" t="inlineStr">
        <is>
          <t>LUMENT REAL ESTATE CAPITAL,LLC</t>
        </is>
      </c>
      <c r="E178" s="17" t="inlineStr">
        <is>
          <t>3617QRF39_000000001211501</t>
        </is>
      </c>
      <c r="F178" s="17" t="n">
        <v>202603</v>
      </c>
      <c r="G178" s="18" t="n">
        <v>2.18</v>
      </c>
      <c r="H178" s="19" t="n">
        <v>52028879.73</v>
      </c>
      <c r="I178" s="17" t="n">
        <v>420</v>
      </c>
      <c r="J178" s="17" t="n">
        <v>20201216</v>
      </c>
      <c r="K178" s="17" t="n">
        <v>20560101</v>
      </c>
      <c r="L178" s="17" t="n"/>
      <c r="M178" s="17" t="n">
        <v>20310201</v>
      </c>
      <c r="N178" s="17" t="n">
        <v>10</v>
      </c>
      <c r="O178" s="17" t="inlineStr">
        <is>
          <t>207/223(F)</t>
        </is>
      </c>
      <c r="P178" s="17" t="inlineStr">
        <is>
          <t>BAF</t>
        </is>
      </c>
      <c r="Q178" s="17" t="n"/>
      <c r="R178" s="17" t="n"/>
      <c r="S178" s="17" t="n"/>
      <c r="T178" s="17" t="inlineStr">
        <is>
          <t>NY</t>
        </is>
      </c>
      <c r="U178" s="17" t="n">
        <v>183</v>
      </c>
      <c r="V178" s="17" t="n">
        <v>490.5</v>
      </c>
      <c r="W178" s="17" t="n">
        <v>63</v>
      </c>
      <c r="X178" s="17" t="n">
        <v>2020</v>
      </c>
      <c r="Y178" s="17" t="n">
        <v>-67</v>
      </c>
      <c r="Z178" s="17" t="n">
        <v>5</v>
      </c>
      <c r="AA178" s="20">
        <f>IF(ISNUMBER(W178),W178,IFERROR(MAX(0,(VALUE(LEFT(F178,4))-VALUE(LEFT(TEXT(J178,"00000000"),4)))*12+(VALUE(MID(F178,5,2))-VALUE(MID(TEXT(J178,"00000000"),5,2)))),""))</f>
        <v/>
      </c>
      <c r="AB178" s="20">
        <f>IFERROR((VALUE(LEFT(TEXT(K178,"00000000"),4))-VALUE(LEFT(F178,4)))*12+(VALUE(MID(TEXT(K178,"00000000"),5,2))-VALUE(MID(F178,5,2))),"")</f>
        <v/>
      </c>
      <c r="AC178" s="20">
        <f>IF(OR(L178="",NOT(ISNUMBER(L178))),0,MAX(0,MIN(60,(VALUE(LEFT(F178,4))-VALUE(LEFT(TEXT(L178,"00000000"),4)))*12+(VALUE(MID(F178,5,2))-VALUE(MID(TEXT(L178,"00000000"),5,2))))))</f>
        <v/>
      </c>
      <c r="AD178" s="20">
        <f>IF(OR(L178="",NOT(ISNUMBER(L178))),0,IF(VALUE(F178)&lt;VALUE(LEFT(TEXT(L178,"00000000"),6)),1,0))</f>
        <v/>
      </c>
      <c r="AE178" s="20">
        <f>IF(OR(M178="",NOT(ISNUMBER(M178))),0,IF(VALUE(F178)&lt;VALUE(LEFT(TEXT(M178,"00000000"),6)),1,0))</f>
        <v/>
      </c>
      <c r="AF178" s="20">
        <f>IF(AND(AD178=0,AE178=0),1,0)</f>
        <v/>
      </c>
      <c r="AG178" s="20">
        <f>IF(ISNUMBER(X178),X178,IFERROR(VALUE(LEFT(TEXT(J178,"00000000"),4)),""))</f>
        <v/>
      </c>
      <c r="AH178" s="20">
        <f>IFERROR(XLOOKUP(AG178,Vintage_Rates!$A$2:$A$1000,Vintage_Rates!$B$2:$B$1000,""),"")</f>
        <v/>
      </c>
      <c r="AI178" s="20">
        <f>IF(ISNUMBER(Y178),Y178,IFERROR((G178-AH178)*100,""))</f>
        <v/>
      </c>
      <c r="AJ178" s="20">
        <f>IF(ISNUMBER(V178),V178,IFERROR(XLOOKUP(VALUE(F178),PLC_Rates!$A$2:$A$1000,PLC_Rates!$B$2:$B$1000,""),""))</f>
        <v/>
      </c>
      <c r="AK178" s="20">
        <f>IF(ISNUMBER(Z178),Z178,IF(AE178=0,0,MAX(0,MIN(10,((VALUE(LEFT(TEXT(M178,"00000000"),4))-VALUE(LEFT(F178,4)))*12+(VALUE(MID(TEXT(M178,"00000000"),5,2))-VALUE(MID(F178,5,2))))/12))))</f>
        <v/>
      </c>
      <c r="AL178" s="20">
        <f>IFERROR(G178*100-AJ178,"")</f>
        <v/>
      </c>
      <c r="AM178" s="20">
        <f>IFERROR(G178*100-(AJ178+(1+AK178)*12.5),"")</f>
        <v/>
      </c>
      <c r="AN178" s="21">
        <f>IFERROR(MIN(H178/1000000,100),"")</f>
        <v/>
      </c>
      <c r="AO178" s="20">
        <f>IFERROR(INDEX(FHA_Lookup!$B$2:$B$11,MATCH(TRUE,ISNUMBER(SEARCH(FHA_Lookup!$A$2:$A$11,UPPER(SUBSTITUTE(O178," ","")))),0)),"OTHER")</f>
        <v/>
      </c>
      <c r="AP178" s="20">
        <f>IFERROR(INDEX(FHA_Lookup!$C$2:$C$11,MATCH(TRUE,ISNUMBER(SEARCH(FHA_Lookup!$A$2:$A$11,UPPER(SUBSTITUTE(O178," ","")))),0)),"OTHER")</f>
        <v/>
      </c>
      <c r="AQ178" s="20">
        <f>IF(AP178="NC",1,0)</f>
        <v/>
      </c>
      <c r="AR178" s="20">
        <f>IF(UPPER(TRIM(P178))="AFF",1,0)</f>
        <v/>
      </c>
      <c r="AS178" s="20">
        <f>IF(UPPER(TRIM(P178))="BAF",1,0)</f>
        <v/>
      </c>
      <c r="AT178" s="20">
        <f>IF(UPPER(TRIM(P178))="MKT",1,0)</f>
        <v/>
      </c>
      <c r="AU178" s="20">
        <f>IF(AO178="221d4",1,0)</f>
        <v/>
      </c>
      <c r="AV178" s="20">
        <f>IF(AO178="223a7",1,0)</f>
        <v/>
      </c>
      <c r="AW178" s="20">
        <f>IF(AO178="232",1,0)</f>
        <v/>
      </c>
      <c r="AX178" s="20">
        <f>IF(AO178="538",1,0)</f>
        <v/>
      </c>
      <c r="AY178" s="20">
        <f>IF(AO178="241",1,0)</f>
        <v/>
      </c>
      <c r="AZ178" s="20">
        <f>IF(AO178="220",1,0)</f>
        <v/>
      </c>
      <c r="BA178" s="20">
        <f>IF(AO178="OTHER",1,0)</f>
        <v/>
      </c>
      <c r="BB178" s="20">
        <f>IF(UPPER(TRIM(C178))="LM",1,0)</f>
        <v/>
      </c>
      <c r="BC178" s="20">
        <f>IF(UPPER(TRIM(C178))="PN",1,0)</f>
        <v/>
      </c>
      <c r="BD178" s="20">
        <f>IF(UPPER(TRIM(C178))="LS",1,0)</f>
        <v/>
      </c>
      <c r="BE178" s="20">
        <f>IF(UPPER(TRIM(C178))="RX",1,0)</f>
        <v/>
      </c>
      <c r="BF178" s="22">
        <f>IFERROR((Parameters!$C$6*AM178+Parameters!$C$7*MAX(AM178-(-150),0)+Parameters!$C$8*MAX(AM178-(-50),0)+Parameters!$C$9*MAX(AM178-(0),0)+Parameters!$C$10*MAX(AM178-(50),0)+Parameters!$C$11*MAX(AM178-(100),0)+Parameters!$C$12*MAX(AM178-(150),0)+Parameters!$C$13*MAX(AM178-(250),0)),0)</f>
        <v/>
      </c>
      <c r="BG178" s="22">
        <f>IFERROR((Parameters!$C$14*AA178+Parameters!$C$15*MAX(AA178-(12),0)+Parameters!$C$16*MAX(AA178-(36),0)+Parameters!$C$17*MAX(AA178-(60),0)+Parameters!$C$18*MAX(AA178-(84),0)+Parameters!$C$19*MAX(AA178-(120),0)+Parameters!$C$20*MAX(AA178-(180),0)),0)</f>
        <v/>
      </c>
      <c r="BH178" s="22">
        <f>IFERROR((Parameters!$C$21*AK178+Parameters!$C$22*MAX(AK178-(0),0)+Parameters!$C$23*MAX(AK178-(2),0)+Parameters!$C$24*MAX(AK178-(5),0)+Parameters!$C$25*MAX(AK178-(8),0)),0)</f>
        <v/>
      </c>
      <c r="BI178" s="22">
        <f>IFERROR((Parameters!$C$26*AI178+Parameters!$C$27*MAX(AI178-(-100),0)+Parameters!$C$28*MAX(AI178-(-25),0)+Parameters!$C$29*MAX(AI178-(25),0)+Parameters!$C$30*MAX(AI178-(100),0)),0)</f>
        <v/>
      </c>
      <c r="BJ178" s="22">
        <f>IFERROR((Parameters!$C$31*AN178+Parameters!$C$32*MAX(AN178-(2),0)+Parameters!$C$33*MAX(AN178-(10),0)+Parameters!$C$34*MAX(AN178-(25),0)),0)</f>
        <v/>
      </c>
      <c r="BK178" s="22">
        <f>IFERROR((Parameters!$C$35*AB178+Parameters!$C$36*MAX(AB178-(12),0)+Parameters!$C$37*MAX(AB178-(24),0)+Parameters!$C$38*MAX(AB178-(60),0)),0)</f>
        <v/>
      </c>
      <c r="BL178" s="22">
        <f>IFERROR((Parameters!$C$39*AC178+Parameters!$C$40*MAX(AC178-(6),0)+Parameters!$C$41*MAX(AC178-(12),0)+Parameters!$C$42*MAX(AC178-(24),0)),0)</f>
        <v/>
      </c>
      <c r="BM178" s="22">
        <f>IFERROR(Parameters!$C$43*(MAX(AM178,0)*MIN(MAX(AK178,0),10))/100,0)</f>
        <v/>
      </c>
      <c r="BN178" s="22">
        <f>Parameters!$C$44*AE178</f>
        <v/>
      </c>
      <c r="BO178" s="22">
        <f>Parameters!$C$45*AU178 + Parameters!$C$46*AV178 + Parameters!$C$47*AW178 + Parameters!$C$48*AX178 + Parameters!$C$49*AY178 + Parameters!$C$50*AZ178 + Parameters!$C$51*BA178</f>
        <v/>
      </c>
      <c r="BP178" s="22">
        <f>Parameters!$C$52*AQ178</f>
        <v/>
      </c>
      <c r="BQ178" s="22">
        <f>Parameters!$C$53*AR178+Parameters!$C$54*AS178+Parameters!$C$55*AT178</f>
        <v/>
      </c>
      <c r="BR178" s="22">
        <f>Parameters!$C$56*BB178+Parameters!$C$57*BC178+Parameters!$C$58*BD178+Parameters!$C$59*BE178</f>
        <v/>
      </c>
      <c r="BS178" s="23">
        <f>Parameters!$B$2</f>
        <v/>
      </c>
      <c r="BT178" s="23">
        <f>BS178+BF178 + BG178 + BH178 + BI178 + BJ178 + BK178 + BL178 + BM178 + BN178 + BO178 + BP178 + BQ178 + BR178</f>
        <v/>
      </c>
      <c r="BU178" s="24">
        <f>IF(AD178=1,0,1/(1+EXP(-BT178))*Parameters!$B$3)</f>
        <v/>
      </c>
      <c r="BV178" s="25">
        <f>(1-(1-BU178)^12)*100</f>
        <v/>
      </c>
      <c r="BW178" s="25">
        <f>IF(AD178=1,0,(1-(1-1/(1+EXP(-Parameters!$B$2)))^12)*100)</f>
        <v/>
      </c>
      <c r="BX178" s="25">
        <f>IF(AD178=1,0,BV178-(1-(1-(1/(1+EXP(-(BT178-BF178)))*Parameters!$B$3))^12)*100)</f>
        <v/>
      </c>
      <c r="BY178" s="25">
        <f>IF(AD178=1,0,BV178-(1-(1-(1/(1+EXP(-(BT178-BG178)))*Parameters!$B$3))^12)*100)</f>
        <v/>
      </c>
      <c r="BZ178" s="25">
        <f>IF(AD178=1,0,BV178-(1-(1-(1/(1+EXP(-(BT178-BH178)))*Parameters!$B$3))^12)*100)</f>
        <v/>
      </c>
      <c r="CA178" s="25">
        <f>IF(AD178=1,0,BV178-(1-(1-(1/(1+EXP(-(BT178-BI178)))*Parameters!$B$3))^12)*100)</f>
        <v/>
      </c>
      <c r="CB178" s="25">
        <f>IF(AD178=1,0,BV178-(1-(1-(1/(1+EXP(-(BT178-BJ178)))*Parameters!$B$3))^12)*100)</f>
        <v/>
      </c>
      <c r="CC178" s="25">
        <f>IF(AD178=1,0,BV178-(1-(1-(1/(1+EXP(-(BT178-BK178)))*Parameters!$B$3))^12)*100)</f>
        <v/>
      </c>
      <c r="CD178" s="25">
        <f>IF(AD178=1,0,BV178-(1-(1-(1/(1+EXP(-(BT178-BL178)))*Parameters!$B$3))^12)*100)</f>
        <v/>
      </c>
      <c r="CE178" s="25">
        <f>IF(AD178=1,0,BV178-(1-(1-(1/(1+EXP(-(BT178-BM178)))*Parameters!$B$3))^12)*100)</f>
        <v/>
      </c>
      <c r="CF178" s="25">
        <f>IF(AD178=1,0,BV178-(1-(1-(1/(1+EXP(-(BT178-BN178)))*Parameters!$B$3))^12)*100)</f>
        <v/>
      </c>
      <c r="CG178" s="25">
        <f>IF(AD178=1,0,BV178-(1-(1-(1/(1+EXP(-(BT178-BO178)))*Parameters!$B$3))^12)*100)</f>
        <v/>
      </c>
      <c r="CH178" s="25">
        <f>IF(AD178=1,0,BV178-(1-(1-(1/(1+EXP(-(BT178-BP178)))*Parameters!$B$3))^12)*100)</f>
        <v/>
      </c>
      <c r="CI178" s="25">
        <f>IF(AD178=1,0,BV178-(1-(1-(1/(1+EXP(-(BT178-BQ178)))*Parameters!$B$3))^12)*100)</f>
        <v/>
      </c>
      <c r="CJ178" s="25">
        <f>IF(AD178=1,0,BV178-(1-(1-(1/(1+EXP(-(BT178-BR178)))*Parameters!$B$3))^12)*100)</f>
        <v/>
      </c>
    </row>
    <row r="179">
      <c r="A179" s="17" t="inlineStr">
        <is>
          <t>GNR_AFF_2018</t>
        </is>
      </c>
      <c r="B179" s="17" t="inlineStr">
        <is>
          <t>3617G3MP6</t>
        </is>
      </c>
      <c r="C179" s="17" t="inlineStr">
        <is>
          <t>PN</t>
        </is>
      </c>
      <c r="D179" s="17" t="inlineStr">
        <is>
          <t>PNC BANK, NA</t>
        </is>
      </c>
      <c r="E179" s="17" t="inlineStr">
        <is>
          <t>3617G3MP6_000000011335769</t>
        </is>
      </c>
      <c r="F179" s="17" t="n">
        <v>202603</v>
      </c>
      <c r="G179" s="18" t="n">
        <v>4.6</v>
      </c>
      <c r="H179" s="19" t="n">
        <v>27390985.5</v>
      </c>
      <c r="I179" s="17" t="n">
        <v>507</v>
      </c>
      <c r="J179" s="17" t="n">
        <v>20181108</v>
      </c>
      <c r="K179" s="17" t="n">
        <v>20610301</v>
      </c>
      <c r="L179" s="17" t="n">
        <v>20210401</v>
      </c>
      <c r="M179" s="17" t="n">
        <v>20310401</v>
      </c>
      <c r="N179" s="17" t="n">
        <v>10</v>
      </c>
      <c r="O179" s="17" t="inlineStr">
        <is>
          <t>221(d)(4)</t>
        </is>
      </c>
      <c r="P179" s="17" t="inlineStr">
        <is>
          <t>BAF</t>
        </is>
      </c>
      <c r="Q179" s="17" t="n"/>
      <c r="R179" s="17" t="n"/>
      <c r="S179" s="17" t="n"/>
      <c r="T179" s="17" t="inlineStr">
        <is>
          <t>TX</t>
        </is>
      </c>
      <c r="U179" s="17" t="n">
        <v>426</v>
      </c>
      <c r="V179" s="17" t="n">
        <v>490.5</v>
      </c>
      <c r="W179" s="17" t="n">
        <v>88</v>
      </c>
      <c r="X179" s="17" t="n">
        <v>2018</v>
      </c>
      <c r="Y179" s="17" t="n">
        <v>58</v>
      </c>
      <c r="Z179" s="17" t="n">
        <v>6</v>
      </c>
      <c r="AA179" s="20">
        <f>IF(ISNUMBER(W179),W179,IFERROR(MAX(0,(VALUE(LEFT(F179,4))-VALUE(LEFT(TEXT(J179,"00000000"),4)))*12+(VALUE(MID(F179,5,2))-VALUE(MID(TEXT(J179,"00000000"),5,2)))),""))</f>
        <v/>
      </c>
      <c r="AB179" s="20">
        <f>IFERROR((VALUE(LEFT(TEXT(K179,"00000000"),4))-VALUE(LEFT(F179,4)))*12+(VALUE(MID(TEXT(K179,"00000000"),5,2))-VALUE(MID(F179,5,2))),"")</f>
        <v/>
      </c>
      <c r="AC179" s="20">
        <f>IF(OR(L179="",NOT(ISNUMBER(L179))),0,MAX(0,MIN(60,(VALUE(LEFT(F179,4))-VALUE(LEFT(TEXT(L179,"00000000"),4)))*12+(VALUE(MID(F179,5,2))-VALUE(MID(TEXT(L179,"00000000"),5,2))))))</f>
        <v/>
      </c>
      <c r="AD179" s="20">
        <f>IF(OR(L179="",NOT(ISNUMBER(L179))),0,IF(VALUE(F179)&lt;VALUE(LEFT(TEXT(L179,"00000000"),6)),1,0))</f>
        <v/>
      </c>
      <c r="AE179" s="20">
        <f>IF(OR(M179="",NOT(ISNUMBER(M179))),0,IF(VALUE(F179)&lt;VALUE(LEFT(TEXT(M179,"00000000"),6)),1,0))</f>
        <v/>
      </c>
      <c r="AF179" s="20">
        <f>IF(AND(AD179=0,AE179=0),1,0)</f>
        <v/>
      </c>
      <c r="AG179" s="20">
        <f>IF(ISNUMBER(X179),X179,IFERROR(VALUE(LEFT(TEXT(J179,"00000000"),4)),""))</f>
        <v/>
      </c>
      <c r="AH179" s="20">
        <f>IFERROR(XLOOKUP(AG179,Vintage_Rates!$A$2:$A$1000,Vintage_Rates!$B$2:$B$1000,""),"")</f>
        <v/>
      </c>
      <c r="AI179" s="20">
        <f>IF(ISNUMBER(Y179),Y179,IFERROR((G179-AH179)*100,""))</f>
        <v/>
      </c>
      <c r="AJ179" s="20">
        <f>IF(ISNUMBER(V179),V179,IFERROR(XLOOKUP(VALUE(F179),PLC_Rates!$A$2:$A$1000,PLC_Rates!$B$2:$B$1000,""),""))</f>
        <v/>
      </c>
      <c r="AK179" s="20">
        <f>IF(ISNUMBER(Z179),Z179,IF(AE179=0,0,MAX(0,MIN(10,((VALUE(LEFT(TEXT(M179,"00000000"),4))-VALUE(LEFT(F179,4)))*12+(VALUE(MID(TEXT(M179,"00000000"),5,2))-VALUE(MID(F179,5,2))))/12))))</f>
        <v/>
      </c>
      <c r="AL179" s="20">
        <f>IFERROR(G179*100-AJ179,"")</f>
        <v/>
      </c>
      <c r="AM179" s="20">
        <f>IFERROR(G179*100-(AJ179+(1+AK179)*12.5),"")</f>
        <v/>
      </c>
      <c r="AN179" s="21">
        <f>IFERROR(MIN(H179/1000000,100),"")</f>
        <v/>
      </c>
      <c r="AO179" s="20">
        <f>IFERROR(INDEX(FHA_Lookup!$B$2:$B$11,MATCH(TRUE,ISNUMBER(SEARCH(FHA_Lookup!$A$2:$A$11,UPPER(SUBSTITUTE(O179," ","")))),0)),"OTHER")</f>
        <v/>
      </c>
      <c r="AP179" s="20">
        <f>IFERROR(INDEX(FHA_Lookup!$C$2:$C$11,MATCH(TRUE,ISNUMBER(SEARCH(FHA_Lookup!$A$2:$A$11,UPPER(SUBSTITUTE(O179," ","")))),0)),"OTHER")</f>
        <v/>
      </c>
      <c r="AQ179" s="20">
        <f>IF(AP179="NC",1,0)</f>
        <v/>
      </c>
      <c r="AR179" s="20">
        <f>IF(UPPER(TRIM(P179))="AFF",1,0)</f>
        <v/>
      </c>
      <c r="AS179" s="20">
        <f>IF(UPPER(TRIM(P179))="BAF",1,0)</f>
        <v/>
      </c>
      <c r="AT179" s="20">
        <f>IF(UPPER(TRIM(P179))="MKT",1,0)</f>
        <v/>
      </c>
      <c r="AU179" s="20">
        <f>IF(AO179="221d4",1,0)</f>
        <v/>
      </c>
      <c r="AV179" s="20">
        <f>IF(AO179="223a7",1,0)</f>
        <v/>
      </c>
      <c r="AW179" s="20">
        <f>IF(AO179="232",1,0)</f>
        <v/>
      </c>
      <c r="AX179" s="20">
        <f>IF(AO179="538",1,0)</f>
        <v/>
      </c>
      <c r="AY179" s="20">
        <f>IF(AO179="241",1,0)</f>
        <v/>
      </c>
      <c r="AZ179" s="20">
        <f>IF(AO179="220",1,0)</f>
        <v/>
      </c>
      <c r="BA179" s="20">
        <f>IF(AO179="OTHER",1,0)</f>
        <v/>
      </c>
      <c r="BB179" s="20">
        <f>IF(UPPER(TRIM(C179))="LM",1,0)</f>
        <v/>
      </c>
      <c r="BC179" s="20">
        <f>IF(UPPER(TRIM(C179))="PN",1,0)</f>
        <v/>
      </c>
      <c r="BD179" s="20">
        <f>IF(UPPER(TRIM(C179))="LS",1,0)</f>
        <v/>
      </c>
      <c r="BE179" s="20">
        <f>IF(UPPER(TRIM(C179))="RX",1,0)</f>
        <v/>
      </c>
      <c r="BF179" s="22">
        <f>IFERROR((Parameters!$C$6*AM179+Parameters!$C$7*MAX(AM179-(-150),0)+Parameters!$C$8*MAX(AM179-(-50),0)+Parameters!$C$9*MAX(AM179-(0),0)+Parameters!$C$10*MAX(AM179-(50),0)+Parameters!$C$11*MAX(AM179-(100),0)+Parameters!$C$12*MAX(AM179-(150),0)+Parameters!$C$13*MAX(AM179-(250),0)),0)</f>
        <v/>
      </c>
      <c r="BG179" s="22">
        <f>IFERROR((Parameters!$C$14*AA179+Parameters!$C$15*MAX(AA179-(12),0)+Parameters!$C$16*MAX(AA179-(36),0)+Parameters!$C$17*MAX(AA179-(60),0)+Parameters!$C$18*MAX(AA179-(84),0)+Parameters!$C$19*MAX(AA179-(120),0)+Parameters!$C$20*MAX(AA179-(180),0)),0)</f>
        <v/>
      </c>
      <c r="BH179" s="22">
        <f>IFERROR((Parameters!$C$21*AK179+Parameters!$C$22*MAX(AK179-(0),0)+Parameters!$C$23*MAX(AK179-(2),0)+Parameters!$C$24*MAX(AK179-(5),0)+Parameters!$C$25*MAX(AK179-(8),0)),0)</f>
        <v/>
      </c>
      <c r="BI179" s="22">
        <f>IFERROR((Parameters!$C$26*AI179+Parameters!$C$27*MAX(AI179-(-100),0)+Parameters!$C$28*MAX(AI179-(-25),0)+Parameters!$C$29*MAX(AI179-(25),0)+Parameters!$C$30*MAX(AI179-(100),0)),0)</f>
        <v/>
      </c>
      <c r="BJ179" s="22">
        <f>IFERROR((Parameters!$C$31*AN179+Parameters!$C$32*MAX(AN179-(2),0)+Parameters!$C$33*MAX(AN179-(10),0)+Parameters!$C$34*MAX(AN179-(25),0)),0)</f>
        <v/>
      </c>
      <c r="BK179" s="22">
        <f>IFERROR((Parameters!$C$35*AB179+Parameters!$C$36*MAX(AB179-(12),0)+Parameters!$C$37*MAX(AB179-(24),0)+Parameters!$C$38*MAX(AB179-(60),0)),0)</f>
        <v/>
      </c>
      <c r="BL179" s="22">
        <f>IFERROR((Parameters!$C$39*AC179+Parameters!$C$40*MAX(AC179-(6),0)+Parameters!$C$41*MAX(AC179-(12),0)+Parameters!$C$42*MAX(AC179-(24),0)),0)</f>
        <v/>
      </c>
      <c r="BM179" s="22">
        <f>IFERROR(Parameters!$C$43*(MAX(AM179,0)*MIN(MAX(AK179,0),10))/100,0)</f>
        <v/>
      </c>
      <c r="BN179" s="22">
        <f>Parameters!$C$44*AE179</f>
        <v/>
      </c>
      <c r="BO179" s="22">
        <f>Parameters!$C$45*AU179 + Parameters!$C$46*AV179 + Parameters!$C$47*AW179 + Parameters!$C$48*AX179 + Parameters!$C$49*AY179 + Parameters!$C$50*AZ179 + Parameters!$C$51*BA179</f>
        <v/>
      </c>
      <c r="BP179" s="22">
        <f>Parameters!$C$52*AQ179</f>
        <v/>
      </c>
      <c r="BQ179" s="22">
        <f>Parameters!$C$53*AR179+Parameters!$C$54*AS179+Parameters!$C$55*AT179</f>
        <v/>
      </c>
      <c r="BR179" s="22">
        <f>Parameters!$C$56*BB179+Parameters!$C$57*BC179+Parameters!$C$58*BD179+Parameters!$C$59*BE179</f>
        <v/>
      </c>
      <c r="BS179" s="23">
        <f>Parameters!$B$2</f>
        <v/>
      </c>
      <c r="BT179" s="23">
        <f>BS179+BF179 + BG179 + BH179 + BI179 + BJ179 + BK179 + BL179 + BM179 + BN179 + BO179 + BP179 + BQ179 + BR179</f>
        <v/>
      </c>
      <c r="BU179" s="24">
        <f>IF(AD179=1,0,1/(1+EXP(-BT179))*Parameters!$B$3)</f>
        <v/>
      </c>
      <c r="BV179" s="25">
        <f>(1-(1-BU179)^12)*100</f>
        <v/>
      </c>
      <c r="BW179" s="25">
        <f>IF(AD179=1,0,(1-(1-1/(1+EXP(-Parameters!$B$2)))^12)*100)</f>
        <v/>
      </c>
      <c r="BX179" s="25">
        <f>IF(AD179=1,0,BV179-(1-(1-(1/(1+EXP(-(BT179-BF179)))*Parameters!$B$3))^12)*100)</f>
        <v/>
      </c>
      <c r="BY179" s="25">
        <f>IF(AD179=1,0,BV179-(1-(1-(1/(1+EXP(-(BT179-BG179)))*Parameters!$B$3))^12)*100)</f>
        <v/>
      </c>
      <c r="BZ179" s="25">
        <f>IF(AD179=1,0,BV179-(1-(1-(1/(1+EXP(-(BT179-BH179)))*Parameters!$B$3))^12)*100)</f>
        <v/>
      </c>
      <c r="CA179" s="25">
        <f>IF(AD179=1,0,BV179-(1-(1-(1/(1+EXP(-(BT179-BI179)))*Parameters!$B$3))^12)*100)</f>
        <v/>
      </c>
      <c r="CB179" s="25">
        <f>IF(AD179=1,0,BV179-(1-(1-(1/(1+EXP(-(BT179-BJ179)))*Parameters!$B$3))^12)*100)</f>
        <v/>
      </c>
      <c r="CC179" s="25">
        <f>IF(AD179=1,0,BV179-(1-(1-(1/(1+EXP(-(BT179-BK179)))*Parameters!$B$3))^12)*100)</f>
        <v/>
      </c>
      <c r="CD179" s="25">
        <f>IF(AD179=1,0,BV179-(1-(1-(1/(1+EXP(-(BT179-BL179)))*Parameters!$B$3))^12)*100)</f>
        <v/>
      </c>
      <c r="CE179" s="25">
        <f>IF(AD179=1,0,BV179-(1-(1-(1/(1+EXP(-(BT179-BM179)))*Parameters!$B$3))^12)*100)</f>
        <v/>
      </c>
      <c r="CF179" s="25">
        <f>IF(AD179=1,0,BV179-(1-(1-(1/(1+EXP(-(BT179-BN179)))*Parameters!$B$3))^12)*100)</f>
        <v/>
      </c>
      <c r="CG179" s="25">
        <f>IF(AD179=1,0,BV179-(1-(1-(1/(1+EXP(-(BT179-BO179)))*Parameters!$B$3))^12)*100)</f>
        <v/>
      </c>
      <c r="CH179" s="25">
        <f>IF(AD179=1,0,BV179-(1-(1-(1/(1+EXP(-(BT179-BP179)))*Parameters!$B$3))^12)*100)</f>
        <v/>
      </c>
      <c r="CI179" s="25">
        <f>IF(AD179=1,0,BV179-(1-(1-(1/(1+EXP(-(BT179-BQ179)))*Parameters!$B$3))^12)*100)</f>
        <v/>
      </c>
      <c r="CJ179" s="25">
        <f>IF(AD179=1,0,BV179-(1-(1-(1/(1+EXP(-(BT179-BR179)))*Parameters!$B$3))^12)*100)</f>
        <v/>
      </c>
    </row>
    <row r="180">
      <c r="A180" s="17" t="inlineStr">
        <is>
          <t>GNR_AFF_2018</t>
        </is>
      </c>
      <c r="B180" s="17" t="inlineStr">
        <is>
          <t>3617HVY54</t>
        </is>
      </c>
      <c r="C180" s="17" t="inlineStr">
        <is>
          <t>PN</t>
        </is>
      </c>
      <c r="D180" s="17" t="inlineStr">
        <is>
          <t>MERCHANTS CAPITAL CORP.</t>
        </is>
      </c>
      <c r="E180" s="17" t="inlineStr">
        <is>
          <t>3617HVY54_000000007311942</t>
        </is>
      </c>
      <c r="F180" s="17" t="n">
        <v>202603</v>
      </c>
      <c r="G180" s="18" t="n">
        <v>4.15</v>
      </c>
      <c r="H180" s="19" t="n">
        <v>1121124.42</v>
      </c>
      <c r="I180" s="17" t="n">
        <v>420</v>
      </c>
      <c r="J180" s="17" t="n">
        <v>20190201</v>
      </c>
      <c r="K180" s="17" t="n">
        <v>20540301</v>
      </c>
      <c r="L180" s="17" t="n"/>
      <c r="M180" s="17" t="n">
        <v>20290331</v>
      </c>
      <c r="N180" s="17" t="n">
        <v>10</v>
      </c>
      <c r="O180" s="17" t="inlineStr">
        <is>
          <t>207/223(f)</t>
        </is>
      </c>
      <c r="P180" s="17" t="inlineStr">
        <is>
          <t>BAF</t>
        </is>
      </c>
      <c r="Q180" s="17" t="n"/>
      <c r="R180" s="17" t="n"/>
      <c r="S180" s="17" t="n"/>
      <c r="T180" s="17" t="inlineStr">
        <is>
          <t>IN</t>
        </is>
      </c>
      <c r="U180" s="17" t="n">
        <v>64</v>
      </c>
      <c r="V180" s="17" t="n">
        <v>490.5</v>
      </c>
      <c r="W180" s="17" t="n">
        <v>85</v>
      </c>
      <c r="X180" s="17" t="n">
        <v>2019</v>
      </c>
      <c r="Y180" s="17" t="n">
        <v>48</v>
      </c>
      <c r="Z180" s="17" t="n">
        <v>3</v>
      </c>
      <c r="AA180" s="20">
        <f>IF(ISNUMBER(W180),W180,IFERROR(MAX(0,(VALUE(LEFT(F180,4))-VALUE(LEFT(TEXT(J180,"00000000"),4)))*12+(VALUE(MID(F180,5,2))-VALUE(MID(TEXT(J180,"00000000"),5,2)))),""))</f>
        <v/>
      </c>
      <c r="AB180" s="20">
        <f>IFERROR((VALUE(LEFT(TEXT(K180,"00000000"),4))-VALUE(LEFT(F180,4)))*12+(VALUE(MID(TEXT(K180,"00000000"),5,2))-VALUE(MID(F180,5,2))),"")</f>
        <v/>
      </c>
      <c r="AC180" s="20">
        <f>IF(OR(L180="",NOT(ISNUMBER(L180))),0,MAX(0,MIN(60,(VALUE(LEFT(F180,4))-VALUE(LEFT(TEXT(L180,"00000000"),4)))*12+(VALUE(MID(F180,5,2))-VALUE(MID(TEXT(L180,"00000000"),5,2))))))</f>
        <v/>
      </c>
      <c r="AD180" s="20">
        <f>IF(OR(L180="",NOT(ISNUMBER(L180))),0,IF(VALUE(F180)&lt;VALUE(LEFT(TEXT(L180,"00000000"),6)),1,0))</f>
        <v/>
      </c>
      <c r="AE180" s="20">
        <f>IF(OR(M180="",NOT(ISNUMBER(M180))),0,IF(VALUE(F180)&lt;VALUE(LEFT(TEXT(M180,"00000000"),6)),1,0))</f>
        <v/>
      </c>
      <c r="AF180" s="20">
        <f>IF(AND(AD180=0,AE180=0),1,0)</f>
        <v/>
      </c>
      <c r="AG180" s="20">
        <f>IF(ISNUMBER(X180),X180,IFERROR(VALUE(LEFT(TEXT(J180,"00000000"),4)),""))</f>
        <v/>
      </c>
      <c r="AH180" s="20">
        <f>IFERROR(XLOOKUP(AG180,Vintage_Rates!$A$2:$A$1000,Vintage_Rates!$B$2:$B$1000,""),"")</f>
        <v/>
      </c>
      <c r="AI180" s="20">
        <f>IF(ISNUMBER(Y180),Y180,IFERROR((G180-AH180)*100,""))</f>
        <v/>
      </c>
      <c r="AJ180" s="20">
        <f>IF(ISNUMBER(V180),V180,IFERROR(XLOOKUP(VALUE(F180),PLC_Rates!$A$2:$A$1000,PLC_Rates!$B$2:$B$1000,""),""))</f>
        <v/>
      </c>
      <c r="AK180" s="20">
        <f>IF(ISNUMBER(Z180),Z180,IF(AE180=0,0,MAX(0,MIN(10,((VALUE(LEFT(TEXT(M180,"00000000"),4))-VALUE(LEFT(F180,4)))*12+(VALUE(MID(TEXT(M180,"00000000"),5,2))-VALUE(MID(F180,5,2))))/12))))</f>
        <v/>
      </c>
      <c r="AL180" s="20">
        <f>IFERROR(G180*100-AJ180,"")</f>
        <v/>
      </c>
      <c r="AM180" s="20">
        <f>IFERROR(G180*100-(AJ180+(1+AK180)*12.5),"")</f>
        <v/>
      </c>
      <c r="AN180" s="21">
        <f>IFERROR(MIN(H180/1000000,100),"")</f>
        <v/>
      </c>
      <c r="AO180" s="20">
        <f>IFERROR(INDEX(FHA_Lookup!$B$2:$B$11,MATCH(TRUE,ISNUMBER(SEARCH(FHA_Lookup!$A$2:$A$11,UPPER(SUBSTITUTE(O180," ","")))),0)),"OTHER")</f>
        <v/>
      </c>
      <c r="AP180" s="20">
        <f>IFERROR(INDEX(FHA_Lookup!$C$2:$C$11,MATCH(TRUE,ISNUMBER(SEARCH(FHA_Lookup!$A$2:$A$11,UPPER(SUBSTITUTE(O180," ","")))),0)),"OTHER")</f>
        <v/>
      </c>
      <c r="AQ180" s="20">
        <f>IF(AP180="NC",1,0)</f>
        <v/>
      </c>
      <c r="AR180" s="20">
        <f>IF(UPPER(TRIM(P180))="AFF",1,0)</f>
        <v/>
      </c>
      <c r="AS180" s="20">
        <f>IF(UPPER(TRIM(P180))="BAF",1,0)</f>
        <v/>
      </c>
      <c r="AT180" s="20">
        <f>IF(UPPER(TRIM(P180))="MKT",1,0)</f>
        <v/>
      </c>
      <c r="AU180" s="20">
        <f>IF(AO180="221d4",1,0)</f>
        <v/>
      </c>
      <c r="AV180" s="20">
        <f>IF(AO180="223a7",1,0)</f>
        <v/>
      </c>
      <c r="AW180" s="20">
        <f>IF(AO180="232",1,0)</f>
        <v/>
      </c>
      <c r="AX180" s="20">
        <f>IF(AO180="538",1,0)</f>
        <v/>
      </c>
      <c r="AY180" s="20">
        <f>IF(AO180="241",1,0)</f>
        <v/>
      </c>
      <c r="AZ180" s="20">
        <f>IF(AO180="220",1,0)</f>
        <v/>
      </c>
      <c r="BA180" s="20">
        <f>IF(AO180="OTHER",1,0)</f>
        <v/>
      </c>
      <c r="BB180" s="20">
        <f>IF(UPPER(TRIM(C180))="LM",1,0)</f>
        <v/>
      </c>
      <c r="BC180" s="20">
        <f>IF(UPPER(TRIM(C180))="PN",1,0)</f>
        <v/>
      </c>
      <c r="BD180" s="20">
        <f>IF(UPPER(TRIM(C180))="LS",1,0)</f>
        <v/>
      </c>
      <c r="BE180" s="20">
        <f>IF(UPPER(TRIM(C180))="RX",1,0)</f>
        <v/>
      </c>
      <c r="BF180" s="22">
        <f>IFERROR((Parameters!$C$6*AM180+Parameters!$C$7*MAX(AM180-(-150),0)+Parameters!$C$8*MAX(AM180-(-50),0)+Parameters!$C$9*MAX(AM180-(0),0)+Parameters!$C$10*MAX(AM180-(50),0)+Parameters!$C$11*MAX(AM180-(100),0)+Parameters!$C$12*MAX(AM180-(150),0)+Parameters!$C$13*MAX(AM180-(250),0)),0)</f>
        <v/>
      </c>
      <c r="BG180" s="22">
        <f>IFERROR((Parameters!$C$14*AA180+Parameters!$C$15*MAX(AA180-(12),0)+Parameters!$C$16*MAX(AA180-(36),0)+Parameters!$C$17*MAX(AA180-(60),0)+Parameters!$C$18*MAX(AA180-(84),0)+Parameters!$C$19*MAX(AA180-(120),0)+Parameters!$C$20*MAX(AA180-(180),0)),0)</f>
        <v/>
      </c>
      <c r="BH180" s="22">
        <f>IFERROR((Parameters!$C$21*AK180+Parameters!$C$22*MAX(AK180-(0),0)+Parameters!$C$23*MAX(AK180-(2),0)+Parameters!$C$24*MAX(AK180-(5),0)+Parameters!$C$25*MAX(AK180-(8),0)),0)</f>
        <v/>
      </c>
      <c r="BI180" s="22">
        <f>IFERROR((Parameters!$C$26*AI180+Parameters!$C$27*MAX(AI180-(-100),0)+Parameters!$C$28*MAX(AI180-(-25),0)+Parameters!$C$29*MAX(AI180-(25),0)+Parameters!$C$30*MAX(AI180-(100),0)),0)</f>
        <v/>
      </c>
      <c r="BJ180" s="22">
        <f>IFERROR((Parameters!$C$31*AN180+Parameters!$C$32*MAX(AN180-(2),0)+Parameters!$C$33*MAX(AN180-(10),0)+Parameters!$C$34*MAX(AN180-(25),0)),0)</f>
        <v/>
      </c>
      <c r="BK180" s="22">
        <f>IFERROR((Parameters!$C$35*AB180+Parameters!$C$36*MAX(AB180-(12),0)+Parameters!$C$37*MAX(AB180-(24),0)+Parameters!$C$38*MAX(AB180-(60),0)),0)</f>
        <v/>
      </c>
      <c r="BL180" s="22">
        <f>IFERROR((Parameters!$C$39*AC180+Parameters!$C$40*MAX(AC180-(6),0)+Parameters!$C$41*MAX(AC180-(12),0)+Parameters!$C$42*MAX(AC180-(24),0)),0)</f>
        <v/>
      </c>
      <c r="BM180" s="22">
        <f>IFERROR(Parameters!$C$43*(MAX(AM180,0)*MIN(MAX(AK180,0),10))/100,0)</f>
        <v/>
      </c>
      <c r="BN180" s="22">
        <f>Parameters!$C$44*AE180</f>
        <v/>
      </c>
      <c r="BO180" s="22">
        <f>Parameters!$C$45*AU180 + Parameters!$C$46*AV180 + Parameters!$C$47*AW180 + Parameters!$C$48*AX180 + Parameters!$C$49*AY180 + Parameters!$C$50*AZ180 + Parameters!$C$51*BA180</f>
        <v/>
      </c>
      <c r="BP180" s="22">
        <f>Parameters!$C$52*AQ180</f>
        <v/>
      </c>
      <c r="BQ180" s="22">
        <f>Parameters!$C$53*AR180+Parameters!$C$54*AS180+Parameters!$C$55*AT180</f>
        <v/>
      </c>
      <c r="BR180" s="22">
        <f>Parameters!$C$56*BB180+Parameters!$C$57*BC180+Parameters!$C$58*BD180+Parameters!$C$59*BE180</f>
        <v/>
      </c>
      <c r="BS180" s="23">
        <f>Parameters!$B$2</f>
        <v/>
      </c>
      <c r="BT180" s="23">
        <f>BS180+BF180 + BG180 + BH180 + BI180 + BJ180 + BK180 + BL180 + BM180 + BN180 + BO180 + BP180 + BQ180 + BR180</f>
        <v/>
      </c>
      <c r="BU180" s="24">
        <f>IF(AD180=1,0,1/(1+EXP(-BT180))*Parameters!$B$3)</f>
        <v/>
      </c>
      <c r="BV180" s="25">
        <f>(1-(1-BU180)^12)*100</f>
        <v/>
      </c>
      <c r="BW180" s="25">
        <f>IF(AD180=1,0,(1-(1-1/(1+EXP(-Parameters!$B$2)))^12)*100)</f>
        <v/>
      </c>
      <c r="BX180" s="25">
        <f>IF(AD180=1,0,BV180-(1-(1-(1/(1+EXP(-(BT180-BF180)))*Parameters!$B$3))^12)*100)</f>
        <v/>
      </c>
      <c r="BY180" s="25">
        <f>IF(AD180=1,0,BV180-(1-(1-(1/(1+EXP(-(BT180-BG180)))*Parameters!$B$3))^12)*100)</f>
        <v/>
      </c>
      <c r="BZ180" s="25">
        <f>IF(AD180=1,0,BV180-(1-(1-(1/(1+EXP(-(BT180-BH180)))*Parameters!$B$3))^12)*100)</f>
        <v/>
      </c>
      <c r="CA180" s="25">
        <f>IF(AD180=1,0,BV180-(1-(1-(1/(1+EXP(-(BT180-BI180)))*Parameters!$B$3))^12)*100)</f>
        <v/>
      </c>
      <c r="CB180" s="25">
        <f>IF(AD180=1,0,BV180-(1-(1-(1/(1+EXP(-(BT180-BJ180)))*Parameters!$B$3))^12)*100)</f>
        <v/>
      </c>
      <c r="CC180" s="25">
        <f>IF(AD180=1,0,BV180-(1-(1-(1/(1+EXP(-(BT180-BK180)))*Parameters!$B$3))^12)*100)</f>
        <v/>
      </c>
      <c r="CD180" s="25">
        <f>IF(AD180=1,0,BV180-(1-(1-(1/(1+EXP(-(BT180-BL180)))*Parameters!$B$3))^12)*100)</f>
        <v/>
      </c>
      <c r="CE180" s="25">
        <f>IF(AD180=1,0,BV180-(1-(1-(1/(1+EXP(-(BT180-BM180)))*Parameters!$B$3))^12)*100)</f>
        <v/>
      </c>
      <c r="CF180" s="25">
        <f>IF(AD180=1,0,BV180-(1-(1-(1/(1+EXP(-(BT180-BN180)))*Parameters!$B$3))^12)*100)</f>
        <v/>
      </c>
      <c r="CG180" s="25">
        <f>IF(AD180=1,0,BV180-(1-(1-(1/(1+EXP(-(BT180-BO180)))*Parameters!$B$3))^12)*100)</f>
        <v/>
      </c>
      <c r="CH180" s="25">
        <f>IF(AD180=1,0,BV180-(1-(1-(1/(1+EXP(-(BT180-BP180)))*Parameters!$B$3))^12)*100)</f>
        <v/>
      </c>
      <c r="CI180" s="25">
        <f>IF(AD180=1,0,BV180-(1-(1-(1/(1+EXP(-(BT180-BQ180)))*Parameters!$B$3))^12)*100)</f>
        <v/>
      </c>
      <c r="CJ180" s="25">
        <f>IF(AD180=1,0,BV180-(1-(1-(1/(1+EXP(-(BT180-BR180)))*Parameters!$B$3))^12)*100)</f>
        <v/>
      </c>
    </row>
    <row r="181">
      <c r="A181" s="17" t="inlineStr">
        <is>
          <t>GNR_AFF_2018</t>
        </is>
      </c>
      <c r="B181" s="17" t="inlineStr">
        <is>
          <t>3617UYYY0</t>
        </is>
      </c>
      <c r="C181" s="17" t="inlineStr">
        <is>
          <t>PN</t>
        </is>
      </c>
      <c r="D181" s="17" t="inlineStr">
        <is>
          <t>WELLS FARGO BANK, N.A.</t>
        </is>
      </c>
      <c r="E181" s="17" t="inlineStr">
        <is>
          <t>3617UYYY0_000000012611202</t>
        </is>
      </c>
      <c r="F181" s="17" t="n">
        <v>202603</v>
      </c>
      <c r="G181" s="18" t="n">
        <v>2.15</v>
      </c>
      <c r="H181" s="19" t="n">
        <v>2851561.81</v>
      </c>
      <c r="I181" s="17" t="n">
        <v>420</v>
      </c>
      <c r="J181" s="17" t="n">
        <v>20210401</v>
      </c>
      <c r="K181" s="17" t="n">
        <v>20560501</v>
      </c>
      <c r="L181" s="17" t="n"/>
      <c r="M181" s="17" t="n">
        <v>20310601</v>
      </c>
      <c r="N181" s="17" t="n">
        <v>10</v>
      </c>
      <c r="O181" s="17" t="inlineStr">
        <is>
          <t>207/223(F)</t>
        </is>
      </c>
      <c r="P181" s="17" t="inlineStr">
        <is>
          <t>BAF</t>
        </is>
      </c>
      <c r="Q181" s="17" t="n"/>
      <c r="R181" s="17" t="n"/>
      <c r="S181" s="17" t="n"/>
      <c r="T181" s="17" t="inlineStr">
        <is>
          <t>OR</t>
        </is>
      </c>
      <c r="U181" s="17" t="n">
        <v>37</v>
      </c>
      <c r="V181" s="17" t="n">
        <v>490.5</v>
      </c>
      <c r="W181" s="17" t="n">
        <v>59</v>
      </c>
      <c r="X181" s="17" t="n">
        <v>2021</v>
      </c>
      <c r="Y181" s="17" t="n">
        <v>-43</v>
      </c>
      <c r="Z181" s="17" t="n">
        <v>6</v>
      </c>
      <c r="AA181" s="20">
        <f>IF(ISNUMBER(W181),W181,IFERROR(MAX(0,(VALUE(LEFT(F181,4))-VALUE(LEFT(TEXT(J181,"00000000"),4)))*12+(VALUE(MID(F181,5,2))-VALUE(MID(TEXT(J181,"00000000"),5,2)))),""))</f>
        <v/>
      </c>
      <c r="AB181" s="20">
        <f>IFERROR((VALUE(LEFT(TEXT(K181,"00000000"),4))-VALUE(LEFT(F181,4)))*12+(VALUE(MID(TEXT(K181,"00000000"),5,2))-VALUE(MID(F181,5,2))),"")</f>
        <v/>
      </c>
      <c r="AC181" s="20">
        <f>IF(OR(L181="",NOT(ISNUMBER(L181))),0,MAX(0,MIN(60,(VALUE(LEFT(F181,4))-VALUE(LEFT(TEXT(L181,"00000000"),4)))*12+(VALUE(MID(F181,5,2))-VALUE(MID(TEXT(L181,"00000000"),5,2))))))</f>
        <v/>
      </c>
      <c r="AD181" s="20">
        <f>IF(OR(L181="",NOT(ISNUMBER(L181))),0,IF(VALUE(F181)&lt;VALUE(LEFT(TEXT(L181,"00000000"),6)),1,0))</f>
        <v/>
      </c>
      <c r="AE181" s="20">
        <f>IF(OR(M181="",NOT(ISNUMBER(M181))),0,IF(VALUE(F181)&lt;VALUE(LEFT(TEXT(M181,"00000000"),6)),1,0))</f>
        <v/>
      </c>
      <c r="AF181" s="20">
        <f>IF(AND(AD181=0,AE181=0),1,0)</f>
        <v/>
      </c>
      <c r="AG181" s="20">
        <f>IF(ISNUMBER(X181),X181,IFERROR(VALUE(LEFT(TEXT(J181,"00000000"),4)),""))</f>
        <v/>
      </c>
      <c r="AH181" s="20">
        <f>IFERROR(XLOOKUP(AG181,Vintage_Rates!$A$2:$A$1000,Vintage_Rates!$B$2:$B$1000,""),"")</f>
        <v/>
      </c>
      <c r="AI181" s="20">
        <f>IF(ISNUMBER(Y181),Y181,IFERROR((G181-AH181)*100,""))</f>
        <v/>
      </c>
      <c r="AJ181" s="20">
        <f>IF(ISNUMBER(V181),V181,IFERROR(XLOOKUP(VALUE(F181),PLC_Rates!$A$2:$A$1000,PLC_Rates!$B$2:$B$1000,""),""))</f>
        <v/>
      </c>
      <c r="AK181" s="20">
        <f>IF(ISNUMBER(Z181),Z181,IF(AE181=0,0,MAX(0,MIN(10,((VALUE(LEFT(TEXT(M181,"00000000"),4))-VALUE(LEFT(F181,4)))*12+(VALUE(MID(TEXT(M181,"00000000"),5,2))-VALUE(MID(F181,5,2))))/12))))</f>
        <v/>
      </c>
      <c r="AL181" s="20">
        <f>IFERROR(G181*100-AJ181,"")</f>
        <v/>
      </c>
      <c r="AM181" s="20">
        <f>IFERROR(G181*100-(AJ181+(1+AK181)*12.5),"")</f>
        <v/>
      </c>
      <c r="AN181" s="21">
        <f>IFERROR(MIN(H181/1000000,100),"")</f>
        <v/>
      </c>
      <c r="AO181" s="20">
        <f>IFERROR(INDEX(FHA_Lookup!$B$2:$B$11,MATCH(TRUE,ISNUMBER(SEARCH(FHA_Lookup!$A$2:$A$11,UPPER(SUBSTITUTE(O181," ","")))),0)),"OTHER")</f>
        <v/>
      </c>
      <c r="AP181" s="20">
        <f>IFERROR(INDEX(FHA_Lookup!$C$2:$C$11,MATCH(TRUE,ISNUMBER(SEARCH(FHA_Lookup!$A$2:$A$11,UPPER(SUBSTITUTE(O181," ","")))),0)),"OTHER")</f>
        <v/>
      </c>
      <c r="AQ181" s="20">
        <f>IF(AP181="NC",1,0)</f>
        <v/>
      </c>
      <c r="AR181" s="20">
        <f>IF(UPPER(TRIM(P181))="AFF",1,0)</f>
        <v/>
      </c>
      <c r="AS181" s="20">
        <f>IF(UPPER(TRIM(P181))="BAF",1,0)</f>
        <v/>
      </c>
      <c r="AT181" s="20">
        <f>IF(UPPER(TRIM(P181))="MKT",1,0)</f>
        <v/>
      </c>
      <c r="AU181" s="20">
        <f>IF(AO181="221d4",1,0)</f>
        <v/>
      </c>
      <c r="AV181" s="20">
        <f>IF(AO181="223a7",1,0)</f>
        <v/>
      </c>
      <c r="AW181" s="20">
        <f>IF(AO181="232",1,0)</f>
        <v/>
      </c>
      <c r="AX181" s="20">
        <f>IF(AO181="538",1,0)</f>
        <v/>
      </c>
      <c r="AY181" s="20">
        <f>IF(AO181="241",1,0)</f>
        <v/>
      </c>
      <c r="AZ181" s="20">
        <f>IF(AO181="220",1,0)</f>
        <v/>
      </c>
      <c r="BA181" s="20">
        <f>IF(AO181="OTHER",1,0)</f>
        <v/>
      </c>
      <c r="BB181" s="20">
        <f>IF(UPPER(TRIM(C181))="LM",1,0)</f>
        <v/>
      </c>
      <c r="BC181" s="20">
        <f>IF(UPPER(TRIM(C181))="PN",1,0)</f>
        <v/>
      </c>
      <c r="BD181" s="20">
        <f>IF(UPPER(TRIM(C181))="LS",1,0)</f>
        <v/>
      </c>
      <c r="BE181" s="20">
        <f>IF(UPPER(TRIM(C181))="RX",1,0)</f>
        <v/>
      </c>
      <c r="BF181" s="22">
        <f>IFERROR((Parameters!$C$6*AM181+Parameters!$C$7*MAX(AM181-(-150),0)+Parameters!$C$8*MAX(AM181-(-50),0)+Parameters!$C$9*MAX(AM181-(0),0)+Parameters!$C$10*MAX(AM181-(50),0)+Parameters!$C$11*MAX(AM181-(100),0)+Parameters!$C$12*MAX(AM181-(150),0)+Parameters!$C$13*MAX(AM181-(250),0)),0)</f>
        <v/>
      </c>
      <c r="BG181" s="22">
        <f>IFERROR((Parameters!$C$14*AA181+Parameters!$C$15*MAX(AA181-(12),0)+Parameters!$C$16*MAX(AA181-(36),0)+Parameters!$C$17*MAX(AA181-(60),0)+Parameters!$C$18*MAX(AA181-(84),0)+Parameters!$C$19*MAX(AA181-(120),0)+Parameters!$C$20*MAX(AA181-(180),0)),0)</f>
        <v/>
      </c>
      <c r="BH181" s="22">
        <f>IFERROR((Parameters!$C$21*AK181+Parameters!$C$22*MAX(AK181-(0),0)+Parameters!$C$23*MAX(AK181-(2),0)+Parameters!$C$24*MAX(AK181-(5),0)+Parameters!$C$25*MAX(AK181-(8),0)),0)</f>
        <v/>
      </c>
      <c r="BI181" s="22">
        <f>IFERROR((Parameters!$C$26*AI181+Parameters!$C$27*MAX(AI181-(-100),0)+Parameters!$C$28*MAX(AI181-(-25),0)+Parameters!$C$29*MAX(AI181-(25),0)+Parameters!$C$30*MAX(AI181-(100),0)),0)</f>
        <v/>
      </c>
      <c r="BJ181" s="22">
        <f>IFERROR((Parameters!$C$31*AN181+Parameters!$C$32*MAX(AN181-(2),0)+Parameters!$C$33*MAX(AN181-(10),0)+Parameters!$C$34*MAX(AN181-(25),0)),0)</f>
        <v/>
      </c>
      <c r="BK181" s="22">
        <f>IFERROR((Parameters!$C$35*AB181+Parameters!$C$36*MAX(AB181-(12),0)+Parameters!$C$37*MAX(AB181-(24),0)+Parameters!$C$38*MAX(AB181-(60),0)),0)</f>
        <v/>
      </c>
      <c r="BL181" s="22">
        <f>IFERROR((Parameters!$C$39*AC181+Parameters!$C$40*MAX(AC181-(6),0)+Parameters!$C$41*MAX(AC181-(12),0)+Parameters!$C$42*MAX(AC181-(24),0)),0)</f>
        <v/>
      </c>
      <c r="BM181" s="22">
        <f>IFERROR(Parameters!$C$43*(MAX(AM181,0)*MIN(MAX(AK181,0),10))/100,0)</f>
        <v/>
      </c>
      <c r="BN181" s="22">
        <f>Parameters!$C$44*AE181</f>
        <v/>
      </c>
      <c r="BO181" s="22">
        <f>Parameters!$C$45*AU181 + Parameters!$C$46*AV181 + Parameters!$C$47*AW181 + Parameters!$C$48*AX181 + Parameters!$C$49*AY181 + Parameters!$C$50*AZ181 + Parameters!$C$51*BA181</f>
        <v/>
      </c>
      <c r="BP181" s="22">
        <f>Parameters!$C$52*AQ181</f>
        <v/>
      </c>
      <c r="BQ181" s="22">
        <f>Parameters!$C$53*AR181+Parameters!$C$54*AS181+Parameters!$C$55*AT181</f>
        <v/>
      </c>
      <c r="BR181" s="22">
        <f>Parameters!$C$56*BB181+Parameters!$C$57*BC181+Parameters!$C$58*BD181+Parameters!$C$59*BE181</f>
        <v/>
      </c>
      <c r="BS181" s="23">
        <f>Parameters!$B$2</f>
        <v/>
      </c>
      <c r="BT181" s="23">
        <f>BS181+BF181 + BG181 + BH181 + BI181 + BJ181 + BK181 + BL181 + BM181 + BN181 + BO181 + BP181 + BQ181 + BR181</f>
        <v/>
      </c>
      <c r="BU181" s="24">
        <f>IF(AD181=1,0,1/(1+EXP(-BT181))*Parameters!$B$3)</f>
        <v/>
      </c>
      <c r="BV181" s="25">
        <f>(1-(1-BU181)^12)*100</f>
        <v/>
      </c>
      <c r="BW181" s="25">
        <f>IF(AD181=1,0,(1-(1-1/(1+EXP(-Parameters!$B$2)))^12)*100)</f>
        <v/>
      </c>
      <c r="BX181" s="25">
        <f>IF(AD181=1,0,BV181-(1-(1-(1/(1+EXP(-(BT181-BF181)))*Parameters!$B$3))^12)*100)</f>
        <v/>
      </c>
      <c r="BY181" s="25">
        <f>IF(AD181=1,0,BV181-(1-(1-(1/(1+EXP(-(BT181-BG181)))*Parameters!$B$3))^12)*100)</f>
        <v/>
      </c>
      <c r="BZ181" s="25">
        <f>IF(AD181=1,0,BV181-(1-(1-(1/(1+EXP(-(BT181-BH181)))*Parameters!$B$3))^12)*100)</f>
        <v/>
      </c>
      <c r="CA181" s="25">
        <f>IF(AD181=1,0,BV181-(1-(1-(1/(1+EXP(-(BT181-BI181)))*Parameters!$B$3))^12)*100)</f>
        <v/>
      </c>
      <c r="CB181" s="25">
        <f>IF(AD181=1,0,BV181-(1-(1-(1/(1+EXP(-(BT181-BJ181)))*Parameters!$B$3))^12)*100)</f>
        <v/>
      </c>
      <c r="CC181" s="25">
        <f>IF(AD181=1,0,BV181-(1-(1-(1/(1+EXP(-(BT181-BK181)))*Parameters!$B$3))^12)*100)</f>
        <v/>
      </c>
      <c r="CD181" s="25">
        <f>IF(AD181=1,0,BV181-(1-(1-(1/(1+EXP(-(BT181-BL181)))*Parameters!$B$3))^12)*100)</f>
        <v/>
      </c>
      <c r="CE181" s="25">
        <f>IF(AD181=1,0,BV181-(1-(1-(1/(1+EXP(-(BT181-BM181)))*Parameters!$B$3))^12)*100)</f>
        <v/>
      </c>
      <c r="CF181" s="25">
        <f>IF(AD181=1,0,BV181-(1-(1-(1/(1+EXP(-(BT181-BN181)))*Parameters!$B$3))^12)*100)</f>
        <v/>
      </c>
      <c r="CG181" s="25">
        <f>IF(AD181=1,0,BV181-(1-(1-(1/(1+EXP(-(BT181-BO181)))*Parameters!$B$3))^12)*100)</f>
        <v/>
      </c>
      <c r="CH181" s="25">
        <f>IF(AD181=1,0,BV181-(1-(1-(1/(1+EXP(-(BT181-BP181)))*Parameters!$B$3))^12)*100)</f>
        <v/>
      </c>
      <c r="CI181" s="25">
        <f>IF(AD181=1,0,BV181-(1-(1-(1/(1+EXP(-(BT181-BQ181)))*Parameters!$B$3))^12)*100)</f>
        <v/>
      </c>
      <c r="CJ181" s="25">
        <f>IF(AD181=1,0,BV181-(1-(1-(1/(1+EXP(-(BT181-BR181)))*Parameters!$B$3))^12)*100)</f>
        <v/>
      </c>
    </row>
    <row r="182">
      <c r="A182" s="17" t="inlineStr">
        <is>
          <t>GNR_AFF_2018</t>
        </is>
      </c>
      <c r="B182" s="17" t="inlineStr">
        <is>
          <t>3617BYH46</t>
        </is>
      </c>
      <c r="C182" s="17" t="inlineStr">
        <is>
          <t>PN</t>
        </is>
      </c>
      <c r="D182" s="17" t="inlineStr">
        <is>
          <t>LUMENT REAL ESTATE CAPITAL,LLC</t>
        </is>
      </c>
      <c r="E182" s="17" t="inlineStr">
        <is>
          <t>3617BYH46_000000007111428</t>
        </is>
      </c>
      <c r="F182" s="17" t="n">
        <v>202603</v>
      </c>
      <c r="G182" s="18" t="n">
        <v>3.49</v>
      </c>
      <c r="H182" s="19" t="n">
        <v>3232610.2</v>
      </c>
      <c r="I182" s="17" t="n">
        <v>420</v>
      </c>
      <c r="J182" s="17" t="n">
        <v>20171207</v>
      </c>
      <c r="K182" s="17" t="n">
        <v>20530101</v>
      </c>
      <c r="L182" s="17" t="n"/>
      <c r="M182" s="17" t="n">
        <v>20280201</v>
      </c>
      <c r="N182" s="17" t="n">
        <v>10</v>
      </c>
      <c r="O182" s="17" t="inlineStr">
        <is>
          <t>207/223(F)</t>
        </is>
      </c>
      <c r="P182" s="17" t="inlineStr">
        <is>
          <t>BAF</t>
        </is>
      </c>
      <c r="Q182" s="17" t="n"/>
      <c r="R182" s="17" t="n"/>
      <c r="S182" s="17" t="n"/>
      <c r="T182" s="17" t="inlineStr">
        <is>
          <t>IL</t>
        </is>
      </c>
      <c r="U182" s="17" t="n">
        <v>99</v>
      </c>
      <c r="V182" s="17" t="n">
        <v>490.5</v>
      </c>
      <c r="W182" s="17" t="n">
        <v>99</v>
      </c>
      <c r="X182" s="17" t="n">
        <v>2017</v>
      </c>
      <c r="Y182" s="17" t="n">
        <v>2</v>
      </c>
      <c r="Z182" s="17" t="n">
        <v>3</v>
      </c>
      <c r="AA182" s="20">
        <f>IF(ISNUMBER(W182),W182,IFERROR(MAX(0,(VALUE(LEFT(F182,4))-VALUE(LEFT(TEXT(J182,"00000000"),4)))*12+(VALUE(MID(F182,5,2))-VALUE(MID(TEXT(J182,"00000000"),5,2)))),""))</f>
        <v/>
      </c>
      <c r="AB182" s="20">
        <f>IFERROR((VALUE(LEFT(TEXT(K182,"00000000"),4))-VALUE(LEFT(F182,4)))*12+(VALUE(MID(TEXT(K182,"00000000"),5,2))-VALUE(MID(F182,5,2))),"")</f>
        <v/>
      </c>
      <c r="AC182" s="20">
        <f>IF(OR(L182="",NOT(ISNUMBER(L182))),0,MAX(0,MIN(60,(VALUE(LEFT(F182,4))-VALUE(LEFT(TEXT(L182,"00000000"),4)))*12+(VALUE(MID(F182,5,2))-VALUE(MID(TEXT(L182,"00000000"),5,2))))))</f>
        <v/>
      </c>
      <c r="AD182" s="20">
        <f>IF(OR(L182="",NOT(ISNUMBER(L182))),0,IF(VALUE(F182)&lt;VALUE(LEFT(TEXT(L182,"00000000"),6)),1,0))</f>
        <v/>
      </c>
      <c r="AE182" s="20">
        <f>IF(OR(M182="",NOT(ISNUMBER(M182))),0,IF(VALUE(F182)&lt;VALUE(LEFT(TEXT(M182,"00000000"),6)),1,0))</f>
        <v/>
      </c>
      <c r="AF182" s="20">
        <f>IF(AND(AD182=0,AE182=0),1,0)</f>
        <v/>
      </c>
      <c r="AG182" s="20">
        <f>IF(ISNUMBER(X182),X182,IFERROR(VALUE(LEFT(TEXT(J182,"00000000"),4)),""))</f>
        <v/>
      </c>
      <c r="AH182" s="20">
        <f>IFERROR(XLOOKUP(AG182,Vintage_Rates!$A$2:$A$1000,Vintage_Rates!$B$2:$B$1000,""),"")</f>
        <v/>
      </c>
      <c r="AI182" s="20">
        <f>IF(ISNUMBER(Y182),Y182,IFERROR((G182-AH182)*100,""))</f>
        <v/>
      </c>
      <c r="AJ182" s="20">
        <f>IF(ISNUMBER(V182),V182,IFERROR(XLOOKUP(VALUE(F182),PLC_Rates!$A$2:$A$1000,PLC_Rates!$B$2:$B$1000,""),""))</f>
        <v/>
      </c>
      <c r="AK182" s="20">
        <f>IF(ISNUMBER(Z182),Z182,IF(AE182=0,0,MAX(0,MIN(10,((VALUE(LEFT(TEXT(M182,"00000000"),4))-VALUE(LEFT(F182,4)))*12+(VALUE(MID(TEXT(M182,"00000000"),5,2))-VALUE(MID(F182,5,2))))/12))))</f>
        <v/>
      </c>
      <c r="AL182" s="20">
        <f>IFERROR(G182*100-AJ182,"")</f>
        <v/>
      </c>
      <c r="AM182" s="20">
        <f>IFERROR(G182*100-(AJ182+(1+AK182)*12.5),"")</f>
        <v/>
      </c>
      <c r="AN182" s="21">
        <f>IFERROR(MIN(H182/1000000,100),"")</f>
        <v/>
      </c>
      <c r="AO182" s="20">
        <f>IFERROR(INDEX(FHA_Lookup!$B$2:$B$11,MATCH(TRUE,ISNUMBER(SEARCH(FHA_Lookup!$A$2:$A$11,UPPER(SUBSTITUTE(O182," ","")))),0)),"OTHER")</f>
        <v/>
      </c>
      <c r="AP182" s="20">
        <f>IFERROR(INDEX(FHA_Lookup!$C$2:$C$11,MATCH(TRUE,ISNUMBER(SEARCH(FHA_Lookup!$A$2:$A$11,UPPER(SUBSTITUTE(O182," ","")))),0)),"OTHER")</f>
        <v/>
      </c>
      <c r="AQ182" s="20">
        <f>IF(AP182="NC",1,0)</f>
        <v/>
      </c>
      <c r="AR182" s="20">
        <f>IF(UPPER(TRIM(P182))="AFF",1,0)</f>
        <v/>
      </c>
      <c r="AS182" s="20">
        <f>IF(UPPER(TRIM(P182))="BAF",1,0)</f>
        <v/>
      </c>
      <c r="AT182" s="20">
        <f>IF(UPPER(TRIM(P182))="MKT",1,0)</f>
        <v/>
      </c>
      <c r="AU182" s="20">
        <f>IF(AO182="221d4",1,0)</f>
        <v/>
      </c>
      <c r="AV182" s="20">
        <f>IF(AO182="223a7",1,0)</f>
        <v/>
      </c>
      <c r="AW182" s="20">
        <f>IF(AO182="232",1,0)</f>
        <v/>
      </c>
      <c r="AX182" s="20">
        <f>IF(AO182="538",1,0)</f>
        <v/>
      </c>
      <c r="AY182" s="20">
        <f>IF(AO182="241",1,0)</f>
        <v/>
      </c>
      <c r="AZ182" s="20">
        <f>IF(AO182="220",1,0)</f>
        <v/>
      </c>
      <c r="BA182" s="20">
        <f>IF(AO182="OTHER",1,0)</f>
        <v/>
      </c>
      <c r="BB182" s="20">
        <f>IF(UPPER(TRIM(C182))="LM",1,0)</f>
        <v/>
      </c>
      <c r="BC182" s="20">
        <f>IF(UPPER(TRIM(C182))="PN",1,0)</f>
        <v/>
      </c>
      <c r="BD182" s="20">
        <f>IF(UPPER(TRIM(C182))="LS",1,0)</f>
        <v/>
      </c>
      <c r="BE182" s="20">
        <f>IF(UPPER(TRIM(C182))="RX",1,0)</f>
        <v/>
      </c>
      <c r="BF182" s="22">
        <f>IFERROR((Parameters!$C$6*AM182+Parameters!$C$7*MAX(AM182-(-150),0)+Parameters!$C$8*MAX(AM182-(-50),0)+Parameters!$C$9*MAX(AM182-(0),0)+Parameters!$C$10*MAX(AM182-(50),0)+Parameters!$C$11*MAX(AM182-(100),0)+Parameters!$C$12*MAX(AM182-(150),0)+Parameters!$C$13*MAX(AM182-(250),0)),0)</f>
        <v/>
      </c>
      <c r="BG182" s="22">
        <f>IFERROR((Parameters!$C$14*AA182+Parameters!$C$15*MAX(AA182-(12),0)+Parameters!$C$16*MAX(AA182-(36),0)+Parameters!$C$17*MAX(AA182-(60),0)+Parameters!$C$18*MAX(AA182-(84),0)+Parameters!$C$19*MAX(AA182-(120),0)+Parameters!$C$20*MAX(AA182-(180),0)),0)</f>
        <v/>
      </c>
      <c r="BH182" s="22">
        <f>IFERROR((Parameters!$C$21*AK182+Parameters!$C$22*MAX(AK182-(0),0)+Parameters!$C$23*MAX(AK182-(2),0)+Parameters!$C$24*MAX(AK182-(5),0)+Parameters!$C$25*MAX(AK182-(8),0)),0)</f>
        <v/>
      </c>
      <c r="BI182" s="22">
        <f>IFERROR((Parameters!$C$26*AI182+Parameters!$C$27*MAX(AI182-(-100),0)+Parameters!$C$28*MAX(AI182-(-25),0)+Parameters!$C$29*MAX(AI182-(25),0)+Parameters!$C$30*MAX(AI182-(100),0)),0)</f>
        <v/>
      </c>
      <c r="BJ182" s="22">
        <f>IFERROR((Parameters!$C$31*AN182+Parameters!$C$32*MAX(AN182-(2),0)+Parameters!$C$33*MAX(AN182-(10),0)+Parameters!$C$34*MAX(AN182-(25),0)),0)</f>
        <v/>
      </c>
      <c r="BK182" s="22">
        <f>IFERROR((Parameters!$C$35*AB182+Parameters!$C$36*MAX(AB182-(12),0)+Parameters!$C$37*MAX(AB182-(24),0)+Parameters!$C$38*MAX(AB182-(60),0)),0)</f>
        <v/>
      </c>
      <c r="BL182" s="22">
        <f>IFERROR((Parameters!$C$39*AC182+Parameters!$C$40*MAX(AC182-(6),0)+Parameters!$C$41*MAX(AC182-(12),0)+Parameters!$C$42*MAX(AC182-(24),0)),0)</f>
        <v/>
      </c>
      <c r="BM182" s="22">
        <f>IFERROR(Parameters!$C$43*(MAX(AM182,0)*MIN(MAX(AK182,0),10))/100,0)</f>
        <v/>
      </c>
      <c r="BN182" s="22">
        <f>Parameters!$C$44*AE182</f>
        <v/>
      </c>
      <c r="BO182" s="22">
        <f>Parameters!$C$45*AU182 + Parameters!$C$46*AV182 + Parameters!$C$47*AW182 + Parameters!$C$48*AX182 + Parameters!$C$49*AY182 + Parameters!$C$50*AZ182 + Parameters!$C$51*BA182</f>
        <v/>
      </c>
      <c r="BP182" s="22">
        <f>Parameters!$C$52*AQ182</f>
        <v/>
      </c>
      <c r="BQ182" s="22">
        <f>Parameters!$C$53*AR182+Parameters!$C$54*AS182+Parameters!$C$55*AT182</f>
        <v/>
      </c>
      <c r="BR182" s="22">
        <f>Parameters!$C$56*BB182+Parameters!$C$57*BC182+Parameters!$C$58*BD182+Parameters!$C$59*BE182</f>
        <v/>
      </c>
      <c r="BS182" s="23">
        <f>Parameters!$B$2</f>
        <v/>
      </c>
      <c r="BT182" s="23">
        <f>BS182+BF182 + BG182 + BH182 + BI182 + BJ182 + BK182 + BL182 + BM182 + BN182 + BO182 + BP182 + BQ182 + BR182</f>
        <v/>
      </c>
      <c r="BU182" s="24">
        <f>IF(AD182=1,0,1/(1+EXP(-BT182))*Parameters!$B$3)</f>
        <v/>
      </c>
      <c r="BV182" s="25">
        <f>(1-(1-BU182)^12)*100</f>
        <v/>
      </c>
      <c r="BW182" s="25">
        <f>IF(AD182=1,0,(1-(1-1/(1+EXP(-Parameters!$B$2)))^12)*100)</f>
        <v/>
      </c>
      <c r="BX182" s="25">
        <f>IF(AD182=1,0,BV182-(1-(1-(1/(1+EXP(-(BT182-BF182)))*Parameters!$B$3))^12)*100)</f>
        <v/>
      </c>
      <c r="BY182" s="25">
        <f>IF(AD182=1,0,BV182-(1-(1-(1/(1+EXP(-(BT182-BG182)))*Parameters!$B$3))^12)*100)</f>
        <v/>
      </c>
      <c r="BZ182" s="25">
        <f>IF(AD182=1,0,BV182-(1-(1-(1/(1+EXP(-(BT182-BH182)))*Parameters!$B$3))^12)*100)</f>
        <v/>
      </c>
      <c r="CA182" s="25">
        <f>IF(AD182=1,0,BV182-(1-(1-(1/(1+EXP(-(BT182-BI182)))*Parameters!$B$3))^12)*100)</f>
        <v/>
      </c>
      <c r="CB182" s="25">
        <f>IF(AD182=1,0,BV182-(1-(1-(1/(1+EXP(-(BT182-BJ182)))*Parameters!$B$3))^12)*100)</f>
        <v/>
      </c>
      <c r="CC182" s="25">
        <f>IF(AD182=1,0,BV182-(1-(1-(1/(1+EXP(-(BT182-BK182)))*Parameters!$B$3))^12)*100)</f>
        <v/>
      </c>
      <c r="CD182" s="25">
        <f>IF(AD182=1,0,BV182-(1-(1-(1/(1+EXP(-(BT182-BL182)))*Parameters!$B$3))^12)*100)</f>
        <v/>
      </c>
      <c r="CE182" s="25">
        <f>IF(AD182=1,0,BV182-(1-(1-(1/(1+EXP(-(BT182-BM182)))*Parameters!$B$3))^12)*100)</f>
        <v/>
      </c>
      <c r="CF182" s="25">
        <f>IF(AD182=1,0,BV182-(1-(1-(1/(1+EXP(-(BT182-BN182)))*Parameters!$B$3))^12)*100)</f>
        <v/>
      </c>
      <c r="CG182" s="25">
        <f>IF(AD182=1,0,BV182-(1-(1-(1/(1+EXP(-(BT182-BO182)))*Parameters!$B$3))^12)*100)</f>
        <v/>
      </c>
      <c r="CH182" s="25">
        <f>IF(AD182=1,0,BV182-(1-(1-(1/(1+EXP(-(BT182-BP182)))*Parameters!$B$3))^12)*100)</f>
        <v/>
      </c>
      <c r="CI182" s="25">
        <f>IF(AD182=1,0,BV182-(1-(1-(1/(1+EXP(-(BT182-BQ182)))*Parameters!$B$3))^12)*100)</f>
        <v/>
      </c>
      <c r="CJ182" s="25">
        <f>IF(AD182=1,0,BV182-(1-(1-(1/(1+EXP(-(BT182-BR182)))*Parameters!$B$3))^12)*100)</f>
        <v/>
      </c>
    </row>
    <row r="183">
      <c r="A183" s="17" t="inlineStr">
        <is>
          <t>GNR_DIVERSE</t>
        </is>
      </c>
      <c r="B183" s="17" t="inlineStr">
        <is>
          <t>3617VHTJ5</t>
        </is>
      </c>
      <c r="C183" s="17" t="inlineStr">
        <is>
          <t>PN</t>
        </is>
      </c>
      <c r="D183" s="17" t="inlineStr">
        <is>
          <t>PGIM REAL ESTATE AGENCY FINANCING, LLC.</t>
        </is>
      </c>
      <c r="E183" s="17" t="inlineStr">
        <is>
          <t>3617VHTJ5_000000005122187</t>
        </is>
      </c>
      <c r="F183" s="17" t="n">
        <v>202603</v>
      </c>
      <c r="G183" s="18" t="n">
        <v>2.82</v>
      </c>
      <c r="H183" s="19" t="n">
        <v>14592726.63</v>
      </c>
      <c r="I183" s="17" t="n">
        <v>420</v>
      </c>
      <c r="J183" s="17" t="n">
        <v>20210601</v>
      </c>
      <c r="K183" s="17" t="n">
        <v>20560701</v>
      </c>
      <c r="L183" s="17" t="n"/>
      <c r="M183" s="17" t="n">
        <v>20310731</v>
      </c>
      <c r="N183" s="17" t="n">
        <v>10</v>
      </c>
      <c r="O183" s="17" t="inlineStr">
        <is>
          <t>232/223(F)</t>
        </is>
      </c>
      <c r="P183" s="17" t="inlineStr">
        <is>
          <t>MKT</t>
        </is>
      </c>
      <c r="Q183" s="17" t="n"/>
      <c r="R183" s="17" t="n"/>
      <c r="S183" s="17" t="n"/>
      <c r="T183" s="17" t="inlineStr">
        <is>
          <t>VA</t>
        </is>
      </c>
      <c r="U183" s="17" t="n">
        <v>64</v>
      </c>
      <c r="V183" s="17" t="n">
        <v>490.5</v>
      </c>
      <c r="W183" s="17" t="n">
        <v>57</v>
      </c>
      <c r="X183" s="17" t="n">
        <v>2021</v>
      </c>
      <c r="Y183" s="17" t="n">
        <v>24</v>
      </c>
      <c r="Z183" s="17" t="n">
        <v>7</v>
      </c>
      <c r="AA183" s="20">
        <f>IF(ISNUMBER(W183),W183,IFERROR(MAX(0,(VALUE(LEFT(F183,4))-VALUE(LEFT(TEXT(J183,"00000000"),4)))*12+(VALUE(MID(F183,5,2))-VALUE(MID(TEXT(J183,"00000000"),5,2)))),""))</f>
        <v/>
      </c>
      <c r="AB183" s="20">
        <f>IFERROR((VALUE(LEFT(TEXT(K183,"00000000"),4))-VALUE(LEFT(F183,4)))*12+(VALUE(MID(TEXT(K183,"00000000"),5,2))-VALUE(MID(F183,5,2))),"")</f>
        <v/>
      </c>
      <c r="AC183" s="20">
        <f>IF(OR(L183="",NOT(ISNUMBER(L183))),0,MAX(0,MIN(60,(VALUE(LEFT(F183,4))-VALUE(LEFT(TEXT(L183,"00000000"),4)))*12+(VALUE(MID(F183,5,2))-VALUE(MID(TEXT(L183,"00000000"),5,2))))))</f>
        <v/>
      </c>
      <c r="AD183" s="20">
        <f>IF(OR(L183="",NOT(ISNUMBER(L183))),0,IF(VALUE(F183)&lt;VALUE(LEFT(TEXT(L183,"00000000"),6)),1,0))</f>
        <v/>
      </c>
      <c r="AE183" s="20">
        <f>IF(OR(M183="",NOT(ISNUMBER(M183))),0,IF(VALUE(F183)&lt;VALUE(LEFT(TEXT(M183,"00000000"),6)),1,0))</f>
        <v/>
      </c>
      <c r="AF183" s="20">
        <f>IF(AND(AD183=0,AE183=0),1,0)</f>
        <v/>
      </c>
      <c r="AG183" s="20">
        <f>IF(ISNUMBER(X183),X183,IFERROR(VALUE(LEFT(TEXT(J183,"00000000"),4)),""))</f>
        <v/>
      </c>
      <c r="AH183" s="20">
        <f>IFERROR(XLOOKUP(AG183,Vintage_Rates!$A$2:$A$1000,Vintage_Rates!$B$2:$B$1000,""),"")</f>
        <v/>
      </c>
      <c r="AI183" s="20">
        <f>IF(ISNUMBER(Y183),Y183,IFERROR((G183-AH183)*100,""))</f>
        <v/>
      </c>
      <c r="AJ183" s="20">
        <f>IF(ISNUMBER(V183),V183,IFERROR(XLOOKUP(VALUE(F183),PLC_Rates!$A$2:$A$1000,PLC_Rates!$B$2:$B$1000,""),""))</f>
        <v/>
      </c>
      <c r="AK183" s="20">
        <f>IF(ISNUMBER(Z183),Z183,IF(AE183=0,0,MAX(0,MIN(10,((VALUE(LEFT(TEXT(M183,"00000000"),4))-VALUE(LEFT(F183,4)))*12+(VALUE(MID(TEXT(M183,"00000000"),5,2))-VALUE(MID(F183,5,2))))/12))))</f>
        <v/>
      </c>
      <c r="AL183" s="20">
        <f>IFERROR(G183*100-AJ183,"")</f>
        <v/>
      </c>
      <c r="AM183" s="20">
        <f>IFERROR(G183*100-(AJ183+(1+AK183)*12.5),"")</f>
        <v/>
      </c>
      <c r="AN183" s="21">
        <f>IFERROR(MIN(H183/1000000,100),"")</f>
        <v/>
      </c>
      <c r="AO183" s="20">
        <f>IFERROR(INDEX(FHA_Lookup!$B$2:$B$11,MATCH(TRUE,ISNUMBER(SEARCH(FHA_Lookup!$A$2:$A$11,UPPER(SUBSTITUTE(O183," ","")))),0)),"OTHER")</f>
        <v/>
      </c>
      <c r="AP183" s="20">
        <f>IFERROR(INDEX(FHA_Lookup!$C$2:$C$11,MATCH(TRUE,ISNUMBER(SEARCH(FHA_Lookup!$A$2:$A$11,UPPER(SUBSTITUTE(O183," ","")))),0)),"OTHER")</f>
        <v/>
      </c>
      <c r="AQ183" s="20">
        <f>IF(AP183="NC",1,0)</f>
        <v/>
      </c>
      <c r="AR183" s="20">
        <f>IF(UPPER(TRIM(P183))="AFF",1,0)</f>
        <v/>
      </c>
      <c r="AS183" s="20">
        <f>IF(UPPER(TRIM(P183))="BAF",1,0)</f>
        <v/>
      </c>
      <c r="AT183" s="20">
        <f>IF(UPPER(TRIM(P183))="MKT",1,0)</f>
        <v/>
      </c>
      <c r="AU183" s="20">
        <f>IF(AO183="221d4",1,0)</f>
        <v/>
      </c>
      <c r="AV183" s="20">
        <f>IF(AO183="223a7",1,0)</f>
        <v/>
      </c>
      <c r="AW183" s="20">
        <f>IF(AO183="232",1,0)</f>
        <v/>
      </c>
      <c r="AX183" s="20">
        <f>IF(AO183="538",1,0)</f>
        <v/>
      </c>
      <c r="AY183" s="20">
        <f>IF(AO183="241",1,0)</f>
        <v/>
      </c>
      <c r="AZ183" s="20">
        <f>IF(AO183="220",1,0)</f>
        <v/>
      </c>
      <c r="BA183" s="20">
        <f>IF(AO183="OTHER",1,0)</f>
        <v/>
      </c>
      <c r="BB183" s="20">
        <f>IF(UPPER(TRIM(C183))="LM",1,0)</f>
        <v/>
      </c>
      <c r="BC183" s="20">
        <f>IF(UPPER(TRIM(C183))="PN",1,0)</f>
        <v/>
      </c>
      <c r="BD183" s="20">
        <f>IF(UPPER(TRIM(C183))="LS",1,0)</f>
        <v/>
      </c>
      <c r="BE183" s="20">
        <f>IF(UPPER(TRIM(C183))="RX",1,0)</f>
        <v/>
      </c>
      <c r="BF183" s="22">
        <f>IFERROR((Parameters!$C$6*AM183+Parameters!$C$7*MAX(AM183-(-150),0)+Parameters!$C$8*MAX(AM183-(-50),0)+Parameters!$C$9*MAX(AM183-(0),0)+Parameters!$C$10*MAX(AM183-(50),0)+Parameters!$C$11*MAX(AM183-(100),0)+Parameters!$C$12*MAX(AM183-(150),0)+Parameters!$C$13*MAX(AM183-(250),0)),0)</f>
        <v/>
      </c>
      <c r="BG183" s="22">
        <f>IFERROR((Parameters!$C$14*AA183+Parameters!$C$15*MAX(AA183-(12),0)+Parameters!$C$16*MAX(AA183-(36),0)+Parameters!$C$17*MAX(AA183-(60),0)+Parameters!$C$18*MAX(AA183-(84),0)+Parameters!$C$19*MAX(AA183-(120),0)+Parameters!$C$20*MAX(AA183-(180),0)),0)</f>
        <v/>
      </c>
      <c r="BH183" s="22">
        <f>IFERROR((Parameters!$C$21*AK183+Parameters!$C$22*MAX(AK183-(0),0)+Parameters!$C$23*MAX(AK183-(2),0)+Parameters!$C$24*MAX(AK183-(5),0)+Parameters!$C$25*MAX(AK183-(8),0)),0)</f>
        <v/>
      </c>
      <c r="BI183" s="22">
        <f>IFERROR((Parameters!$C$26*AI183+Parameters!$C$27*MAX(AI183-(-100),0)+Parameters!$C$28*MAX(AI183-(-25),0)+Parameters!$C$29*MAX(AI183-(25),0)+Parameters!$C$30*MAX(AI183-(100),0)),0)</f>
        <v/>
      </c>
      <c r="BJ183" s="22">
        <f>IFERROR((Parameters!$C$31*AN183+Parameters!$C$32*MAX(AN183-(2),0)+Parameters!$C$33*MAX(AN183-(10),0)+Parameters!$C$34*MAX(AN183-(25),0)),0)</f>
        <v/>
      </c>
      <c r="BK183" s="22">
        <f>IFERROR((Parameters!$C$35*AB183+Parameters!$C$36*MAX(AB183-(12),0)+Parameters!$C$37*MAX(AB183-(24),0)+Parameters!$C$38*MAX(AB183-(60),0)),0)</f>
        <v/>
      </c>
      <c r="BL183" s="22">
        <f>IFERROR((Parameters!$C$39*AC183+Parameters!$C$40*MAX(AC183-(6),0)+Parameters!$C$41*MAX(AC183-(12),0)+Parameters!$C$42*MAX(AC183-(24),0)),0)</f>
        <v/>
      </c>
      <c r="BM183" s="22">
        <f>IFERROR(Parameters!$C$43*(MAX(AM183,0)*MIN(MAX(AK183,0),10))/100,0)</f>
        <v/>
      </c>
      <c r="BN183" s="22">
        <f>Parameters!$C$44*AE183</f>
        <v/>
      </c>
      <c r="BO183" s="22">
        <f>Parameters!$C$45*AU183 + Parameters!$C$46*AV183 + Parameters!$C$47*AW183 + Parameters!$C$48*AX183 + Parameters!$C$49*AY183 + Parameters!$C$50*AZ183 + Parameters!$C$51*BA183</f>
        <v/>
      </c>
      <c r="BP183" s="22">
        <f>Parameters!$C$52*AQ183</f>
        <v/>
      </c>
      <c r="BQ183" s="22">
        <f>Parameters!$C$53*AR183+Parameters!$C$54*AS183+Parameters!$C$55*AT183</f>
        <v/>
      </c>
      <c r="BR183" s="22">
        <f>Parameters!$C$56*BB183+Parameters!$C$57*BC183+Parameters!$C$58*BD183+Parameters!$C$59*BE183</f>
        <v/>
      </c>
      <c r="BS183" s="23">
        <f>Parameters!$B$2</f>
        <v/>
      </c>
      <c r="BT183" s="23">
        <f>BS183+BF183 + BG183 + BH183 + BI183 + BJ183 + BK183 + BL183 + BM183 + BN183 + BO183 + BP183 + BQ183 + BR183</f>
        <v/>
      </c>
      <c r="BU183" s="24">
        <f>IF(AD183=1,0,1/(1+EXP(-BT183))*Parameters!$B$3)</f>
        <v/>
      </c>
      <c r="BV183" s="25">
        <f>(1-(1-BU183)^12)*100</f>
        <v/>
      </c>
      <c r="BW183" s="25">
        <f>IF(AD183=1,0,(1-(1-1/(1+EXP(-Parameters!$B$2)))^12)*100)</f>
        <v/>
      </c>
      <c r="BX183" s="25">
        <f>IF(AD183=1,0,BV183-(1-(1-(1/(1+EXP(-(BT183-BF183)))*Parameters!$B$3))^12)*100)</f>
        <v/>
      </c>
      <c r="BY183" s="25">
        <f>IF(AD183=1,0,BV183-(1-(1-(1/(1+EXP(-(BT183-BG183)))*Parameters!$B$3))^12)*100)</f>
        <v/>
      </c>
      <c r="BZ183" s="25">
        <f>IF(AD183=1,0,BV183-(1-(1-(1/(1+EXP(-(BT183-BH183)))*Parameters!$B$3))^12)*100)</f>
        <v/>
      </c>
      <c r="CA183" s="25">
        <f>IF(AD183=1,0,BV183-(1-(1-(1/(1+EXP(-(BT183-BI183)))*Parameters!$B$3))^12)*100)</f>
        <v/>
      </c>
      <c r="CB183" s="25">
        <f>IF(AD183=1,0,BV183-(1-(1-(1/(1+EXP(-(BT183-BJ183)))*Parameters!$B$3))^12)*100)</f>
        <v/>
      </c>
      <c r="CC183" s="25">
        <f>IF(AD183=1,0,BV183-(1-(1-(1/(1+EXP(-(BT183-BK183)))*Parameters!$B$3))^12)*100)</f>
        <v/>
      </c>
      <c r="CD183" s="25">
        <f>IF(AD183=1,0,BV183-(1-(1-(1/(1+EXP(-(BT183-BL183)))*Parameters!$B$3))^12)*100)</f>
        <v/>
      </c>
      <c r="CE183" s="25">
        <f>IF(AD183=1,0,BV183-(1-(1-(1/(1+EXP(-(BT183-BM183)))*Parameters!$B$3))^12)*100)</f>
        <v/>
      </c>
      <c r="CF183" s="25">
        <f>IF(AD183=1,0,BV183-(1-(1-(1/(1+EXP(-(BT183-BN183)))*Parameters!$B$3))^12)*100)</f>
        <v/>
      </c>
      <c r="CG183" s="25">
        <f>IF(AD183=1,0,BV183-(1-(1-(1/(1+EXP(-(BT183-BO183)))*Parameters!$B$3))^12)*100)</f>
        <v/>
      </c>
      <c r="CH183" s="25">
        <f>IF(AD183=1,0,BV183-(1-(1-(1/(1+EXP(-(BT183-BP183)))*Parameters!$B$3))^12)*100)</f>
        <v/>
      </c>
      <c r="CI183" s="25">
        <f>IF(AD183=1,0,BV183-(1-(1-(1/(1+EXP(-(BT183-BQ183)))*Parameters!$B$3))^12)*100)</f>
        <v/>
      </c>
      <c r="CJ183" s="25">
        <f>IF(AD183=1,0,BV183-(1-(1-(1/(1+EXP(-(BT183-BR183)))*Parameters!$B$3))^12)*100)</f>
        <v/>
      </c>
    </row>
    <row r="184">
      <c r="A184" s="17" t="inlineStr">
        <is>
          <t>GNR_DIVERSE</t>
        </is>
      </c>
      <c r="B184" s="17" t="inlineStr">
        <is>
          <t>3617HVY54</t>
        </is>
      </c>
      <c r="C184" s="17" t="inlineStr">
        <is>
          <t>PN</t>
        </is>
      </c>
      <c r="D184" s="17" t="inlineStr">
        <is>
          <t>MERCHANTS CAPITAL CORP.</t>
        </is>
      </c>
      <c r="E184" s="17" t="inlineStr">
        <is>
          <t>3617HVY54_000000007311942</t>
        </is>
      </c>
      <c r="F184" s="17" t="n">
        <v>202603</v>
      </c>
      <c r="G184" s="18" t="n">
        <v>4.15</v>
      </c>
      <c r="H184" s="19" t="n">
        <v>1121124.42</v>
      </c>
      <c r="I184" s="17" t="n">
        <v>420</v>
      </c>
      <c r="J184" s="17" t="n">
        <v>20190201</v>
      </c>
      <c r="K184" s="17" t="n">
        <v>20540301</v>
      </c>
      <c r="L184" s="17" t="n"/>
      <c r="M184" s="17" t="n">
        <v>20290331</v>
      </c>
      <c r="N184" s="17" t="n">
        <v>10</v>
      </c>
      <c r="O184" s="17" t="inlineStr">
        <is>
          <t>207/223(f)</t>
        </is>
      </c>
      <c r="P184" s="17" t="inlineStr">
        <is>
          <t>BAF</t>
        </is>
      </c>
      <c r="Q184" s="17" t="n"/>
      <c r="R184" s="17" t="n"/>
      <c r="S184" s="17" t="n"/>
      <c r="T184" s="17" t="inlineStr">
        <is>
          <t>IN</t>
        </is>
      </c>
      <c r="U184" s="17" t="n">
        <v>64</v>
      </c>
      <c r="V184" s="17" t="n">
        <v>490.5</v>
      </c>
      <c r="W184" s="17" t="n">
        <v>85</v>
      </c>
      <c r="X184" s="17" t="n">
        <v>2019</v>
      </c>
      <c r="Y184" s="17" t="n">
        <v>48</v>
      </c>
      <c r="Z184" s="17" t="n">
        <v>3</v>
      </c>
      <c r="AA184" s="20">
        <f>IF(ISNUMBER(W184),W184,IFERROR(MAX(0,(VALUE(LEFT(F184,4))-VALUE(LEFT(TEXT(J184,"00000000"),4)))*12+(VALUE(MID(F184,5,2))-VALUE(MID(TEXT(J184,"00000000"),5,2)))),""))</f>
        <v/>
      </c>
      <c r="AB184" s="20">
        <f>IFERROR((VALUE(LEFT(TEXT(K184,"00000000"),4))-VALUE(LEFT(F184,4)))*12+(VALUE(MID(TEXT(K184,"00000000"),5,2))-VALUE(MID(F184,5,2))),"")</f>
        <v/>
      </c>
      <c r="AC184" s="20">
        <f>IF(OR(L184="",NOT(ISNUMBER(L184))),0,MAX(0,MIN(60,(VALUE(LEFT(F184,4))-VALUE(LEFT(TEXT(L184,"00000000"),4)))*12+(VALUE(MID(F184,5,2))-VALUE(MID(TEXT(L184,"00000000"),5,2))))))</f>
        <v/>
      </c>
      <c r="AD184" s="20">
        <f>IF(OR(L184="",NOT(ISNUMBER(L184))),0,IF(VALUE(F184)&lt;VALUE(LEFT(TEXT(L184,"00000000"),6)),1,0))</f>
        <v/>
      </c>
      <c r="AE184" s="20">
        <f>IF(OR(M184="",NOT(ISNUMBER(M184))),0,IF(VALUE(F184)&lt;VALUE(LEFT(TEXT(M184,"00000000"),6)),1,0))</f>
        <v/>
      </c>
      <c r="AF184" s="20">
        <f>IF(AND(AD184=0,AE184=0),1,0)</f>
        <v/>
      </c>
      <c r="AG184" s="20">
        <f>IF(ISNUMBER(X184),X184,IFERROR(VALUE(LEFT(TEXT(J184,"00000000"),4)),""))</f>
        <v/>
      </c>
      <c r="AH184" s="20">
        <f>IFERROR(XLOOKUP(AG184,Vintage_Rates!$A$2:$A$1000,Vintage_Rates!$B$2:$B$1000,""),"")</f>
        <v/>
      </c>
      <c r="AI184" s="20">
        <f>IF(ISNUMBER(Y184),Y184,IFERROR((G184-AH184)*100,""))</f>
        <v/>
      </c>
      <c r="AJ184" s="20">
        <f>IF(ISNUMBER(V184),V184,IFERROR(XLOOKUP(VALUE(F184),PLC_Rates!$A$2:$A$1000,PLC_Rates!$B$2:$B$1000,""),""))</f>
        <v/>
      </c>
      <c r="AK184" s="20">
        <f>IF(ISNUMBER(Z184),Z184,IF(AE184=0,0,MAX(0,MIN(10,((VALUE(LEFT(TEXT(M184,"00000000"),4))-VALUE(LEFT(F184,4)))*12+(VALUE(MID(TEXT(M184,"00000000"),5,2))-VALUE(MID(F184,5,2))))/12))))</f>
        <v/>
      </c>
      <c r="AL184" s="20">
        <f>IFERROR(G184*100-AJ184,"")</f>
        <v/>
      </c>
      <c r="AM184" s="20">
        <f>IFERROR(G184*100-(AJ184+(1+AK184)*12.5),"")</f>
        <v/>
      </c>
      <c r="AN184" s="21">
        <f>IFERROR(MIN(H184/1000000,100),"")</f>
        <v/>
      </c>
      <c r="AO184" s="20">
        <f>IFERROR(INDEX(FHA_Lookup!$B$2:$B$11,MATCH(TRUE,ISNUMBER(SEARCH(FHA_Lookup!$A$2:$A$11,UPPER(SUBSTITUTE(O184," ","")))),0)),"OTHER")</f>
        <v/>
      </c>
      <c r="AP184" s="20">
        <f>IFERROR(INDEX(FHA_Lookup!$C$2:$C$11,MATCH(TRUE,ISNUMBER(SEARCH(FHA_Lookup!$A$2:$A$11,UPPER(SUBSTITUTE(O184," ","")))),0)),"OTHER")</f>
        <v/>
      </c>
      <c r="AQ184" s="20">
        <f>IF(AP184="NC",1,0)</f>
        <v/>
      </c>
      <c r="AR184" s="20">
        <f>IF(UPPER(TRIM(P184))="AFF",1,0)</f>
        <v/>
      </c>
      <c r="AS184" s="20">
        <f>IF(UPPER(TRIM(P184))="BAF",1,0)</f>
        <v/>
      </c>
      <c r="AT184" s="20">
        <f>IF(UPPER(TRIM(P184))="MKT",1,0)</f>
        <v/>
      </c>
      <c r="AU184" s="20">
        <f>IF(AO184="221d4",1,0)</f>
        <v/>
      </c>
      <c r="AV184" s="20">
        <f>IF(AO184="223a7",1,0)</f>
        <v/>
      </c>
      <c r="AW184" s="20">
        <f>IF(AO184="232",1,0)</f>
        <v/>
      </c>
      <c r="AX184" s="20">
        <f>IF(AO184="538",1,0)</f>
        <v/>
      </c>
      <c r="AY184" s="20">
        <f>IF(AO184="241",1,0)</f>
        <v/>
      </c>
      <c r="AZ184" s="20">
        <f>IF(AO184="220",1,0)</f>
        <v/>
      </c>
      <c r="BA184" s="20">
        <f>IF(AO184="OTHER",1,0)</f>
        <v/>
      </c>
      <c r="BB184" s="20">
        <f>IF(UPPER(TRIM(C184))="LM",1,0)</f>
        <v/>
      </c>
      <c r="BC184" s="20">
        <f>IF(UPPER(TRIM(C184))="PN",1,0)</f>
        <v/>
      </c>
      <c r="BD184" s="20">
        <f>IF(UPPER(TRIM(C184))="LS",1,0)</f>
        <v/>
      </c>
      <c r="BE184" s="20">
        <f>IF(UPPER(TRIM(C184))="RX",1,0)</f>
        <v/>
      </c>
      <c r="BF184" s="22">
        <f>IFERROR((Parameters!$C$6*AM184+Parameters!$C$7*MAX(AM184-(-150),0)+Parameters!$C$8*MAX(AM184-(-50),0)+Parameters!$C$9*MAX(AM184-(0),0)+Parameters!$C$10*MAX(AM184-(50),0)+Parameters!$C$11*MAX(AM184-(100),0)+Parameters!$C$12*MAX(AM184-(150),0)+Parameters!$C$13*MAX(AM184-(250),0)),0)</f>
        <v/>
      </c>
      <c r="BG184" s="22">
        <f>IFERROR((Parameters!$C$14*AA184+Parameters!$C$15*MAX(AA184-(12),0)+Parameters!$C$16*MAX(AA184-(36),0)+Parameters!$C$17*MAX(AA184-(60),0)+Parameters!$C$18*MAX(AA184-(84),0)+Parameters!$C$19*MAX(AA184-(120),0)+Parameters!$C$20*MAX(AA184-(180),0)),0)</f>
        <v/>
      </c>
      <c r="BH184" s="22">
        <f>IFERROR((Parameters!$C$21*AK184+Parameters!$C$22*MAX(AK184-(0),0)+Parameters!$C$23*MAX(AK184-(2),0)+Parameters!$C$24*MAX(AK184-(5),0)+Parameters!$C$25*MAX(AK184-(8),0)),0)</f>
        <v/>
      </c>
      <c r="BI184" s="22">
        <f>IFERROR((Parameters!$C$26*AI184+Parameters!$C$27*MAX(AI184-(-100),0)+Parameters!$C$28*MAX(AI184-(-25),0)+Parameters!$C$29*MAX(AI184-(25),0)+Parameters!$C$30*MAX(AI184-(100),0)),0)</f>
        <v/>
      </c>
      <c r="BJ184" s="22">
        <f>IFERROR((Parameters!$C$31*AN184+Parameters!$C$32*MAX(AN184-(2),0)+Parameters!$C$33*MAX(AN184-(10),0)+Parameters!$C$34*MAX(AN184-(25),0)),0)</f>
        <v/>
      </c>
      <c r="BK184" s="22">
        <f>IFERROR((Parameters!$C$35*AB184+Parameters!$C$36*MAX(AB184-(12),0)+Parameters!$C$37*MAX(AB184-(24),0)+Parameters!$C$38*MAX(AB184-(60),0)),0)</f>
        <v/>
      </c>
      <c r="BL184" s="22">
        <f>IFERROR((Parameters!$C$39*AC184+Parameters!$C$40*MAX(AC184-(6),0)+Parameters!$C$41*MAX(AC184-(12),0)+Parameters!$C$42*MAX(AC184-(24),0)),0)</f>
        <v/>
      </c>
      <c r="BM184" s="22">
        <f>IFERROR(Parameters!$C$43*(MAX(AM184,0)*MIN(MAX(AK184,0),10))/100,0)</f>
        <v/>
      </c>
      <c r="BN184" s="22">
        <f>Parameters!$C$44*AE184</f>
        <v/>
      </c>
      <c r="BO184" s="22">
        <f>Parameters!$C$45*AU184 + Parameters!$C$46*AV184 + Parameters!$C$47*AW184 + Parameters!$C$48*AX184 + Parameters!$C$49*AY184 + Parameters!$C$50*AZ184 + Parameters!$C$51*BA184</f>
        <v/>
      </c>
      <c r="BP184" s="22">
        <f>Parameters!$C$52*AQ184</f>
        <v/>
      </c>
      <c r="BQ184" s="22">
        <f>Parameters!$C$53*AR184+Parameters!$C$54*AS184+Parameters!$C$55*AT184</f>
        <v/>
      </c>
      <c r="BR184" s="22">
        <f>Parameters!$C$56*BB184+Parameters!$C$57*BC184+Parameters!$C$58*BD184+Parameters!$C$59*BE184</f>
        <v/>
      </c>
      <c r="BS184" s="23">
        <f>Parameters!$B$2</f>
        <v/>
      </c>
      <c r="BT184" s="23">
        <f>BS184+BF184 + BG184 + BH184 + BI184 + BJ184 + BK184 + BL184 + BM184 + BN184 + BO184 + BP184 + BQ184 + BR184</f>
        <v/>
      </c>
      <c r="BU184" s="24">
        <f>IF(AD184=1,0,1/(1+EXP(-BT184))*Parameters!$B$3)</f>
        <v/>
      </c>
      <c r="BV184" s="25">
        <f>(1-(1-BU184)^12)*100</f>
        <v/>
      </c>
      <c r="BW184" s="25">
        <f>IF(AD184=1,0,(1-(1-1/(1+EXP(-Parameters!$B$2)))^12)*100)</f>
        <v/>
      </c>
      <c r="BX184" s="25">
        <f>IF(AD184=1,0,BV184-(1-(1-(1/(1+EXP(-(BT184-BF184)))*Parameters!$B$3))^12)*100)</f>
        <v/>
      </c>
      <c r="BY184" s="25">
        <f>IF(AD184=1,0,BV184-(1-(1-(1/(1+EXP(-(BT184-BG184)))*Parameters!$B$3))^12)*100)</f>
        <v/>
      </c>
      <c r="BZ184" s="25">
        <f>IF(AD184=1,0,BV184-(1-(1-(1/(1+EXP(-(BT184-BH184)))*Parameters!$B$3))^12)*100)</f>
        <v/>
      </c>
      <c r="CA184" s="25">
        <f>IF(AD184=1,0,BV184-(1-(1-(1/(1+EXP(-(BT184-BI184)))*Parameters!$B$3))^12)*100)</f>
        <v/>
      </c>
      <c r="CB184" s="25">
        <f>IF(AD184=1,0,BV184-(1-(1-(1/(1+EXP(-(BT184-BJ184)))*Parameters!$B$3))^12)*100)</f>
        <v/>
      </c>
      <c r="CC184" s="25">
        <f>IF(AD184=1,0,BV184-(1-(1-(1/(1+EXP(-(BT184-BK184)))*Parameters!$B$3))^12)*100)</f>
        <v/>
      </c>
      <c r="CD184" s="25">
        <f>IF(AD184=1,0,BV184-(1-(1-(1/(1+EXP(-(BT184-BL184)))*Parameters!$B$3))^12)*100)</f>
        <v/>
      </c>
      <c r="CE184" s="25">
        <f>IF(AD184=1,0,BV184-(1-(1-(1/(1+EXP(-(BT184-BM184)))*Parameters!$B$3))^12)*100)</f>
        <v/>
      </c>
      <c r="CF184" s="25">
        <f>IF(AD184=1,0,BV184-(1-(1-(1/(1+EXP(-(BT184-BN184)))*Parameters!$B$3))^12)*100)</f>
        <v/>
      </c>
      <c r="CG184" s="25">
        <f>IF(AD184=1,0,BV184-(1-(1-(1/(1+EXP(-(BT184-BO184)))*Parameters!$B$3))^12)*100)</f>
        <v/>
      </c>
      <c r="CH184" s="25">
        <f>IF(AD184=1,0,BV184-(1-(1-(1/(1+EXP(-(BT184-BP184)))*Parameters!$B$3))^12)*100)</f>
        <v/>
      </c>
      <c r="CI184" s="25">
        <f>IF(AD184=1,0,BV184-(1-(1-(1/(1+EXP(-(BT184-BQ184)))*Parameters!$B$3))^12)*100)</f>
        <v/>
      </c>
      <c r="CJ184" s="25">
        <f>IF(AD184=1,0,BV184-(1-(1-(1/(1+EXP(-(BT184-BR184)))*Parameters!$B$3))^12)*100)</f>
        <v/>
      </c>
    </row>
    <row r="185">
      <c r="A185" s="17" t="inlineStr">
        <is>
          <t>GNR_DIVERSE</t>
        </is>
      </c>
      <c r="B185" s="17" t="inlineStr">
        <is>
          <t>3617KPSS0</t>
        </is>
      </c>
      <c r="C185" s="17" t="inlineStr">
        <is>
          <t>PN</t>
        </is>
      </c>
      <c r="D185" s="17" t="inlineStr">
        <is>
          <t>LUMENT REAL ESTATE CAPITAL,LLC</t>
        </is>
      </c>
      <c r="E185" s="17" t="inlineStr">
        <is>
          <t>3617KPSS0_000000002311531</t>
        </is>
      </c>
      <c r="F185" s="17" t="n">
        <v>202603</v>
      </c>
      <c r="G185" s="18" t="n">
        <v>3.22</v>
      </c>
      <c r="H185" s="19" t="n">
        <v>8388510.99</v>
      </c>
      <c r="I185" s="17" t="n">
        <v>420</v>
      </c>
      <c r="J185" s="17" t="n">
        <v>20200122</v>
      </c>
      <c r="K185" s="17" t="n">
        <v>20550201</v>
      </c>
      <c r="L185" s="17" t="n"/>
      <c r="M185" s="17" t="n">
        <v>20300301</v>
      </c>
      <c r="N185" s="17" t="n">
        <v>10</v>
      </c>
      <c r="O185" s="17" t="inlineStr">
        <is>
          <t>207/223(F)</t>
        </is>
      </c>
      <c r="P185" s="17" t="inlineStr">
        <is>
          <t>BAF</t>
        </is>
      </c>
      <c r="Q185" s="17" t="n"/>
      <c r="R185" s="17" t="n"/>
      <c r="S185" s="17" t="n"/>
      <c r="T185" s="17" t="inlineStr">
        <is>
          <t>MA</t>
        </is>
      </c>
      <c r="U185" s="17" t="n">
        <v>70</v>
      </c>
      <c r="V185" s="17" t="n">
        <v>490.5</v>
      </c>
      <c r="W185" s="17" t="n">
        <v>74</v>
      </c>
      <c r="X185" s="17" t="n">
        <v>2020</v>
      </c>
      <c r="Y185" s="17" t="n">
        <v>37</v>
      </c>
      <c r="Z185" s="17" t="n">
        <v>4</v>
      </c>
      <c r="AA185" s="20">
        <f>IF(ISNUMBER(W185),W185,IFERROR(MAX(0,(VALUE(LEFT(F185,4))-VALUE(LEFT(TEXT(J185,"00000000"),4)))*12+(VALUE(MID(F185,5,2))-VALUE(MID(TEXT(J185,"00000000"),5,2)))),""))</f>
        <v/>
      </c>
      <c r="AB185" s="20">
        <f>IFERROR((VALUE(LEFT(TEXT(K185,"00000000"),4))-VALUE(LEFT(F185,4)))*12+(VALUE(MID(TEXT(K185,"00000000"),5,2))-VALUE(MID(F185,5,2))),"")</f>
        <v/>
      </c>
      <c r="AC185" s="20">
        <f>IF(OR(L185="",NOT(ISNUMBER(L185))),0,MAX(0,MIN(60,(VALUE(LEFT(F185,4))-VALUE(LEFT(TEXT(L185,"00000000"),4)))*12+(VALUE(MID(F185,5,2))-VALUE(MID(TEXT(L185,"00000000"),5,2))))))</f>
        <v/>
      </c>
      <c r="AD185" s="20">
        <f>IF(OR(L185="",NOT(ISNUMBER(L185))),0,IF(VALUE(F185)&lt;VALUE(LEFT(TEXT(L185,"00000000"),6)),1,0))</f>
        <v/>
      </c>
      <c r="AE185" s="20">
        <f>IF(OR(M185="",NOT(ISNUMBER(M185))),0,IF(VALUE(F185)&lt;VALUE(LEFT(TEXT(M185,"00000000"),6)),1,0))</f>
        <v/>
      </c>
      <c r="AF185" s="20">
        <f>IF(AND(AD185=0,AE185=0),1,0)</f>
        <v/>
      </c>
      <c r="AG185" s="20">
        <f>IF(ISNUMBER(X185),X185,IFERROR(VALUE(LEFT(TEXT(J185,"00000000"),4)),""))</f>
        <v/>
      </c>
      <c r="AH185" s="20">
        <f>IFERROR(XLOOKUP(AG185,Vintage_Rates!$A$2:$A$1000,Vintage_Rates!$B$2:$B$1000,""),"")</f>
        <v/>
      </c>
      <c r="AI185" s="20">
        <f>IF(ISNUMBER(Y185),Y185,IFERROR((G185-AH185)*100,""))</f>
        <v/>
      </c>
      <c r="AJ185" s="20">
        <f>IF(ISNUMBER(V185),V185,IFERROR(XLOOKUP(VALUE(F185),PLC_Rates!$A$2:$A$1000,PLC_Rates!$B$2:$B$1000,""),""))</f>
        <v/>
      </c>
      <c r="AK185" s="20">
        <f>IF(ISNUMBER(Z185),Z185,IF(AE185=0,0,MAX(0,MIN(10,((VALUE(LEFT(TEXT(M185,"00000000"),4))-VALUE(LEFT(F185,4)))*12+(VALUE(MID(TEXT(M185,"00000000"),5,2))-VALUE(MID(F185,5,2))))/12))))</f>
        <v/>
      </c>
      <c r="AL185" s="20">
        <f>IFERROR(G185*100-AJ185,"")</f>
        <v/>
      </c>
      <c r="AM185" s="20">
        <f>IFERROR(G185*100-(AJ185+(1+AK185)*12.5),"")</f>
        <v/>
      </c>
      <c r="AN185" s="21">
        <f>IFERROR(MIN(H185/1000000,100),"")</f>
        <v/>
      </c>
      <c r="AO185" s="20">
        <f>IFERROR(INDEX(FHA_Lookup!$B$2:$B$11,MATCH(TRUE,ISNUMBER(SEARCH(FHA_Lookup!$A$2:$A$11,UPPER(SUBSTITUTE(O185," ","")))),0)),"OTHER")</f>
        <v/>
      </c>
      <c r="AP185" s="20">
        <f>IFERROR(INDEX(FHA_Lookup!$C$2:$C$11,MATCH(TRUE,ISNUMBER(SEARCH(FHA_Lookup!$A$2:$A$11,UPPER(SUBSTITUTE(O185," ","")))),0)),"OTHER")</f>
        <v/>
      </c>
      <c r="AQ185" s="20">
        <f>IF(AP185="NC",1,0)</f>
        <v/>
      </c>
      <c r="AR185" s="20">
        <f>IF(UPPER(TRIM(P185))="AFF",1,0)</f>
        <v/>
      </c>
      <c r="AS185" s="20">
        <f>IF(UPPER(TRIM(P185))="BAF",1,0)</f>
        <v/>
      </c>
      <c r="AT185" s="20">
        <f>IF(UPPER(TRIM(P185))="MKT",1,0)</f>
        <v/>
      </c>
      <c r="AU185" s="20">
        <f>IF(AO185="221d4",1,0)</f>
        <v/>
      </c>
      <c r="AV185" s="20">
        <f>IF(AO185="223a7",1,0)</f>
        <v/>
      </c>
      <c r="AW185" s="20">
        <f>IF(AO185="232",1,0)</f>
        <v/>
      </c>
      <c r="AX185" s="20">
        <f>IF(AO185="538",1,0)</f>
        <v/>
      </c>
      <c r="AY185" s="20">
        <f>IF(AO185="241",1,0)</f>
        <v/>
      </c>
      <c r="AZ185" s="20">
        <f>IF(AO185="220",1,0)</f>
        <v/>
      </c>
      <c r="BA185" s="20">
        <f>IF(AO185="OTHER",1,0)</f>
        <v/>
      </c>
      <c r="BB185" s="20">
        <f>IF(UPPER(TRIM(C185))="LM",1,0)</f>
        <v/>
      </c>
      <c r="BC185" s="20">
        <f>IF(UPPER(TRIM(C185))="PN",1,0)</f>
        <v/>
      </c>
      <c r="BD185" s="20">
        <f>IF(UPPER(TRIM(C185))="LS",1,0)</f>
        <v/>
      </c>
      <c r="BE185" s="20">
        <f>IF(UPPER(TRIM(C185))="RX",1,0)</f>
        <v/>
      </c>
      <c r="BF185" s="22">
        <f>IFERROR((Parameters!$C$6*AM185+Parameters!$C$7*MAX(AM185-(-150),0)+Parameters!$C$8*MAX(AM185-(-50),0)+Parameters!$C$9*MAX(AM185-(0),0)+Parameters!$C$10*MAX(AM185-(50),0)+Parameters!$C$11*MAX(AM185-(100),0)+Parameters!$C$12*MAX(AM185-(150),0)+Parameters!$C$13*MAX(AM185-(250),0)),0)</f>
        <v/>
      </c>
      <c r="BG185" s="22">
        <f>IFERROR((Parameters!$C$14*AA185+Parameters!$C$15*MAX(AA185-(12),0)+Parameters!$C$16*MAX(AA185-(36),0)+Parameters!$C$17*MAX(AA185-(60),0)+Parameters!$C$18*MAX(AA185-(84),0)+Parameters!$C$19*MAX(AA185-(120),0)+Parameters!$C$20*MAX(AA185-(180),0)),0)</f>
        <v/>
      </c>
      <c r="BH185" s="22">
        <f>IFERROR((Parameters!$C$21*AK185+Parameters!$C$22*MAX(AK185-(0),0)+Parameters!$C$23*MAX(AK185-(2),0)+Parameters!$C$24*MAX(AK185-(5),0)+Parameters!$C$25*MAX(AK185-(8),0)),0)</f>
        <v/>
      </c>
      <c r="BI185" s="22">
        <f>IFERROR((Parameters!$C$26*AI185+Parameters!$C$27*MAX(AI185-(-100),0)+Parameters!$C$28*MAX(AI185-(-25),0)+Parameters!$C$29*MAX(AI185-(25),0)+Parameters!$C$30*MAX(AI185-(100),0)),0)</f>
        <v/>
      </c>
      <c r="BJ185" s="22">
        <f>IFERROR((Parameters!$C$31*AN185+Parameters!$C$32*MAX(AN185-(2),0)+Parameters!$C$33*MAX(AN185-(10),0)+Parameters!$C$34*MAX(AN185-(25),0)),0)</f>
        <v/>
      </c>
      <c r="BK185" s="22">
        <f>IFERROR((Parameters!$C$35*AB185+Parameters!$C$36*MAX(AB185-(12),0)+Parameters!$C$37*MAX(AB185-(24),0)+Parameters!$C$38*MAX(AB185-(60),0)),0)</f>
        <v/>
      </c>
      <c r="BL185" s="22">
        <f>IFERROR((Parameters!$C$39*AC185+Parameters!$C$40*MAX(AC185-(6),0)+Parameters!$C$41*MAX(AC185-(12),0)+Parameters!$C$42*MAX(AC185-(24),0)),0)</f>
        <v/>
      </c>
      <c r="BM185" s="22">
        <f>IFERROR(Parameters!$C$43*(MAX(AM185,0)*MIN(MAX(AK185,0),10))/100,0)</f>
        <v/>
      </c>
      <c r="BN185" s="22">
        <f>Parameters!$C$44*AE185</f>
        <v/>
      </c>
      <c r="BO185" s="22">
        <f>Parameters!$C$45*AU185 + Parameters!$C$46*AV185 + Parameters!$C$47*AW185 + Parameters!$C$48*AX185 + Parameters!$C$49*AY185 + Parameters!$C$50*AZ185 + Parameters!$C$51*BA185</f>
        <v/>
      </c>
      <c r="BP185" s="22">
        <f>Parameters!$C$52*AQ185</f>
        <v/>
      </c>
      <c r="BQ185" s="22">
        <f>Parameters!$C$53*AR185+Parameters!$C$54*AS185+Parameters!$C$55*AT185</f>
        <v/>
      </c>
      <c r="BR185" s="22">
        <f>Parameters!$C$56*BB185+Parameters!$C$57*BC185+Parameters!$C$58*BD185+Parameters!$C$59*BE185</f>
        <v/>
      </c>
      <c r="BS185" s="23">
        <f>Parameters!$B$2</f>
        <v/>
      </c>
      <c r="BT185" s="23">
        <f>BS185+BF185 + BG185 + BH185 + BI185 + BJ185 + BK185 + BL185 + BM185 + BN185 + BO185 + BP185 + BQ185 + BR185</f>
        <v/>
      </c>
      <c r="BU185" s="24">
        <f>IF(AD185=1,0,1/(1+EXP(-BT185))*Parameters!$B$3)</f>
        <v/>
      </c>
      <c r="BV185" s="25">
        <f>(1-(1-BU185)^12)*100</f>
        <v/>
      </c>
      <c r="BW185" s="25">
        <f>IF(AD185=1,0,(1-(1-1/(1+EXP(-Parameters!$B$2)))^12)*100)</f>
        <v/>
      </c>
      <c r="BX185" s="25">
        <f>IF(AD185=1,0,BV185-(1-(1-(1/(1+EXP(-(BT185-BF185)))*Parameters!$B$3))^12)*100)</f>
        <v/>
      </c>
      <c r="BY185" s="25">
        <f>IF(AD185=1,0,BV185-(1-(1-(1/(1+EXP(-(BT185-BG185)))*Parameters!$B$3))^12)*100)</f>
        <v/>
      </c>
      <c r="BZ185" s="25">
        <f>IF(AD185=1,0,BV185-(1-(1-(1/(1+EXP(-(BT185-BH185)))*Parameters!$B$3))^12)*100)</f>
        <v/>
      </c>
      <c r="CA185" s="25">
        <f>IF(AD185=1,0,BV185-(1-(1-(1/(1+EXP(-(BT185-BI185)))*Parameters!$B$3))^12)*100)</f>
        <v/>
      </c>
      <c r="CB185" s="25">
        <f>IF(AD185=1,0,BV185-(1-(1-(1/(1+EXP(-(BT185-BJ185)))*Parameters!$B$3))^12)*100)</f>
        <v/>
      </c>
      <c r="CC185" s="25">
        <f>IF(AD185=1,0,BV185-(1-(1-(1/(1+EXP(-(BT185-BK185)))*Parameters!$B$3))^12)*100)</f>
        <v/>
      </c>
      <c r="CD185" s="25">
        <f>IF(AD185=1,0,BV185-(1-(1-(1/(1+EXP(-(BT185-BL185)))*Parameters!$B$3))^12)*100)</f>
        <v/>
      </c>
      <c r="CE185" s="25">
        <f>IF(AD185=1,0,BV185-(1-(1-(1/(1+EXP(-(BT185-BM185)))*Parameters!$B$3))^12)*100)</f>
        <v/>
      </c>
      <c r="CF185" s="25">
        <f>IF(AD185=1,0,BV185-(1-(1-(1/(1+EXP(-(BT185-BN185)))*Parameters!$B$3))^12)*100)</f>
        <v/>
      </c>
      <c r="CG185" s="25">
        <f>IF(AD185=1,0,BV185-(1-(1-(1/(1+EXP(-(BT185-BO185)))*Parameters!$B$3))^12)*100)</f>
        <v/>
      </c>
      <c r="CH185" s="25">
        <f>IF(AD185=1,0,BV185-(1-(1-(1/(1+EXP(-(BT185-BP185)))*Parameters!$B$3))^12)*100)</f>
        <v/>
      </c>
      <c r="CI185" s="25">
        <f>IF(AD185=1,0,BV185-(1-(1-(1/(1+EXP(-(BT185-BQ185)))*Parameters!$B$3))^12)*100)</f>
        <v/>
      </c>
      <c r="CJ185" s="25">
        <f>IF(AD185=1,0,BV185-(1-(1-(1/(1+EXP(-(BT185-BR185)))*Parameters!$B$3))^12)*100)</f>
        <v/>
      </c>
    </row>
    <row r="186">
      <c r="A186" s="17" t="inlineStr">
        <is>
          <t>GNR_DIVERSE</t>
        </is>
      </c>
      <c r="B186" s="17" t="inlineStr">
        <is>
          <t>3617B7MN7</t>
        </is>
      </c>
      <c r="C186" s="17" t="inlineStr">
        <is>
          <t>PN</t>
        </is>
      </c>
      <c r="D186" s="17" t="inlineStr">
        <is>
          <t>MERCHANTS CAPITAL CORP.</t>
        </is>
      </c>
      <c r="E186" s="17" t="inlineStr">
        <is>
          <t>3617B7MN7_000000004211312</t>
        </is>
      </c>
      <c r="F186" s="17" t="n">
        <v>202603</v>
      </c>
      <c r="G186" s="18" t="n">
        <v>3.25</v>
      </c>
      <c r="H186" s="19" t="n">
        <v>1561168.71</v>
      </c>
      <c r="I186" s="17" t="n">
        <v>420</v>
      </c>
      <c r="J186" s="17" t="n">
        <v>20171001</v>
      </c>
      <c r="K186" s="17" t="n">
        <v>20521101</v>
      </c>
      <c r="L186" s="17" t="n"/>
      <c r="M186" s="17" t="n">
        <v>20271201</v>
      </c>
      <c r="N186" s="17" t="n">
        <v>10</v>
      </c>
      <c r="O186" s="17" t="inlineStr">
        <is>
          <t>207/223(f)</t>
        </is>
      </c>
      <c r="P186" s="17" t="inlineStr">
        <is>
          <t>BAF</t>
        </is>
      </c>
      <c r="Q186" s="17" t="n"/>
      <c r="R186" s="17" t="n"/>
      <c r="S186" s="17" t="n"/>
      <c r="T186" s="17" t="inlineStr">
        <is>
          <t>OH</t>
        </is>
      </c>
      <c r="U186" s="17" t="n">
        <v>76</v>
      </c>
      <c r="V186" s="17" t="n">
        <v>490.5</v>
      </c>
      <c r="W186" s="17" t="n">
        <v>101</v>
      </c>
      <c r="X186" s="17" t="n">
        <v>2017</v>
      </c>
      <c r="Y186" s="17" t="n">
        <v>-22</v>
      </c>
      <c r="Z186" s="17" t="n">
        <v>1</v>
      </c>
      <c r="AA186" s="20">
        <f>IF(ISNUMBER(W186),W186,IFERROR(MAX(0,(VALUE(LEFT(F186,4))-VALUE(LEFT(TEXT(J186,"00000000"),4)))*12+(VALUE(MID(F186,5,2))-VALUE(MID(TEXT(J186,"00000000"),5,2)))),""))</f>
        <v/>
      </c>
      <c r="AB186" s="20">
        <f>IFERROR((VALUE(LEFT(TEXT(K186,"00000000"),4))-VALUE(LEFT(F186,4)))*12+(VALUE(MID(TEXT(K186,"00000000"),5,2))-VALUE(MID(F186,5,2))),"")</f>
        <v/>
      </c>
      <c r="AC186" s="20">
        <f>IF(OR(L186="",NOT(ISNUMBER(L186))),0,MAX(0,MIN(60,(VALUE(LEFT(F186,4))-VALUE(LEFT(TEXT(L186,"00000000"),4)))*12+(VALUE(MID(F186,5,2))-VALUE(MID(TEXT(L186,"00000000"),5,2))))))</f>
        <v/>
      </c>
      <c r="AD186" s="20">
        <f>IF(OR(L186="",NOT(ISNUMBER(L186))),0,IF(VALUE(F186)&lt;VALUE(LEFT(TEXT(L186,"00000000"),6)),1,0))</f>
        <v/>
      </c>
      <c r="AE186" s="20">
        <f>IF(OR(M186="",NOT(ISNUMBER(M186))),0,IF(VALUE(F186)&lt;VALUE(LEFT(TEXT(M186,"00000000"),6)),1,0))</f>
        <v/>
      </c>
      <c r="AF186" s="20">
        <f>IF(AND(AD186=0,AE186=0),1,0)</f>
        <v/>
      </c>
      <c r="AG186" s="20">
        <f>IF(ISNUMBER(X186),X186,IFERROR(VALUE(LEFT(TEXT(J186,"00000000"),4)),""))</f>
        <v/>
      </c>
      <c r="AH186" s="20">
        <f>IFERROR(XLOOKUP(AG186,Vintage_Rates!$A$2:$A$1000,Vintage_Rates!$B$2:$B$1000,""),"")</f>
        <v/>
      </c>
      <c r="AI186" s="20">
        <f>IF(ISNUMBER(Y186),Y186,IFERROR((G186-AH186)*100,""))</f>
        <v/>
      </c>
      <c r="AJ186" s="20">
        <f>IF(ISNUMBER(V186),V186,IFERROR(XLOOKUP(VALUE(F186),PLC_Rates!$A$2:$A$1000,PLC_Rates!$B$2:$B$1000,""),""))</f>
        <v/>
      </c>
      <c r="AK186" s="20">
        <f>IF(ISNUMBER(Z186),Z186,IF(AE186=0,0,MAX(0,MIN(10,((VALUE(LEFT(TEXT(M186,"00000000"),4))-VALUE(LEFT(F186,4)))*12+(VALUE(MID(TEXT(M186,"00000000"),5,2))-VALUE(MID(F186,5,2))))/12))))</f>
        <v/>
      </c>
      <c r="AL186" s="20">
        <f>IFERROR(G186*100-AJ186,"")</f>
        <v/>
      </c>
      <c r="AM186" s="20">
        <f>IFERROR(G186*100-(AJ186+(1+AK186)*12.5),"")</f>
        <v/>
      </c>
      <c r="AN186" s="21">
        <f>IFERROR(MIN(H186/1000000,100),"")</f>
        <v/>
      </c>
      <c r="AO186" s="20">
        <f>IFERROR(INDEX(FHA_Lookup!$B$2:$B$11,MATCH(TRUE,ISNUMBER(SEARCH(FHA_Lookup!$A$2:$A$11,UPPER(SUBSTITUTE(O186," ","")))),0)),"OTHER")</f>
        <v/>
      </c>
      <c r="AP186" s="20">
        <f>IFERROR(INDEX(FHA_Lookup!$C$2:$C$11,MATCH(TRUE,ISNUMBER(SEARCH(FHA_Lookup!$A$2:$A$11,UPPER(SUBSTITUTE(O186," ","")))),0)),"OTHER")</f>
        <v/>
      </c>
      <c r="AQ186" s="20">
        <f>IF(AP186="NC",1,0)</f>
        <v/>
      </c>
      <c r="AR186" s="20">
        <f>IF(UPPER(TRIM(P186))="AFF",1,0)</f>
        <v/>
      </c>
      <c r="AS186" s="20">
        <f>IF(UPPER(TRIM(P186))="BAF",1,0)</f>
        <v/>
      </c>
      <c r="AT186" s="20">
        <f>IF(UPPER(TRIM(P186))="MKT",1,0)</f>
        <v/>
      </c>
      <c r="AU186" s="20">
        <f>IF(AO186="221d4",1,0)</f>
        <v/>
      </c>
      <c r="AV186" s="20">
        <f>IF(AO186="223a7",1,0)</f>
        <v/>
      </c>
      <c r="AW186" s="20">
        <f>IF(AO186="232",1,0)</f>
        <v/>
      </c>
      <c r="AX186" s="20">
        <f>IF(AO186="538",1,0)</f>
        <v/>
      </c>
      <c r="AY186" s="20">
        <f>IF(AO186="241",1,0)</f>
        <v/>
      </c>
      <c r="AZ186" s="20">
        <f>IF(AO186="220",1,0)</f>
        <v/>
      </c>
      <c r="BA186" s="20">
        <f>IF(AO186="OTHER",1,0)</f>
        <v/>
      </c>
      <c r="BB186" s="20">
        <f>IF(UPPER(TRIM(C186))="LM",1,0)</f>
        <v/>
      </c>
      <c r="BC186" s="20">
        <f>IF(UPPER(TRIM(C186))="PN",1,0)</f>
        <v/>
      </c>
      <c r="BD186" s="20">
        <f>IF(UPPER(TRIM(C186))="LS",1,0)</f>
        <v/>
      </c>
      <c r="BE186" s="20">
        <f>IF(UPPER(TRIM(C186))="RX",1,0)</f>
        <v/>
      </c>
      <c r="BF186" s="22">
        <f>IFERROR((Parameters!$C$6*AM186+Parameters!$C$7*MAX(AM186-(-150),0)+Parameters!$C$8*MAX(AM186-(-50),0)+Parameters!$C$9*MAX(AM186-(0),0)+Parameters!$C$10*MAX(AM186-(50),0)+Parameters!$C$11*MAX(AM186-(100),0)+Parameters!$C$12*MAX(AM186-(150),0)+Parameters!$C$13*MAX(AM186-(250),0)),0)</f>
        <v/>
      </c>
      <c r="BG186" s="22">
        <f>IFERROR((Parameters!$C$14*AA186+Parameters!$C$15*MAX(AA186-(12),0)+Parameters!$C$16*MAX(AA186-(36),0)+Parameters!$C$17*MAX(AA186-(60),0)+Parameters!$C$18*MAX(AA186-(84),0)+Parameters!$C$19*MAX(AA186-(120),0)+Parameters!$C$20*MAX(AA186-(180),0)),0)</f>
        <v/>
      </c>
      <c r="BH186" s="22">
        <f>IFERROR((Parameters!$C$21*AK186+Parameters!$C$22*MAX(AK186-(0),0)+Parameters!$C$23*MAX(AK186-(2),0)+Parameters!$C$24*MAX(AK186-(5),0)+Parameters!$C$25*MAX(AK186-(8),0)),0)</f>
        <v/>
      </c>
      <c r="BI186" s="22">
        <f>IFERROR((Parameters!$C$26*AI186+Parameters!$C$27*MAX(AI186-(-100),0)+Parameters!$C$28*MAX(AI186-(-25),0)+Parameters!$C$29*MAX(AI186-(25),0)+Parameters!$C$30*MAX(AI186-(100),0)),0)</f>
        <v/>
      </c>
      <c r="BJ186" s="22">
        <f>IFERROR((Parameters!$C$31*AN186+Parameters!$C$32*MAX(AN186-(2),0)+Parameters!$C$33*MAX(AN186-(10),0)+Parameters!$C$34*MAX(AN186-(25),0)),0)</f>
        <v/>
      </c>
      <c r="BK186" s="22">
        <f>IFERROR((Parameters!$C$35*AB186+Parameters!$C$36*MAX(AB186-(12),0)+Parameters!$C$37*MAX(AB186-(24),0)+Parameters!$C$38*MAX(AB186-(60),0)),0)</f>
        <v/>
      </c>
      <c r="BL186" s="22">
        <f>IFERROR((Parameters!$C$39*AC186+Parameters!$C$40*MAX(AC186-(6),0)+Parameters!$C$41*MAX(AC186-(12),0)+Parameters!$C$42*MAX(AC186-(24),0)),0)</f>
        <v/>
      </c>
      <c r="BM186" s="22">
        <f>IFERROR(Parameters!$C$43*(MAX(AM186,0)*MIN(MAX(AK186,0),10))/100,0)</f>
        <v/>
      </c>
      <c r="BN186" s="22">
        <f>Parameters!$C$44*AE186</f>
        <v/>
      </c>
      <c r="BO186" s="22">
        <f>Parameters!$C$45*AU186 + Parameters!$C$46*AV186 + Parameters!$C$47*AW186 + Parameters!$C$48*AX186 + Parameters!$C$49*AY186 + Parameters!$C$50*AZ186 + Parameters!$C$51*BA186</f>
        <v/>
      </c>
      <c r="BP186" s="22">
        <f>Parameters!$C$52*AQ186</f>
        <v/>
      </c>
      <c r="BQ186" s="22">
        <f>Parameters!$C$53*AR186+Parameters!$C$54*AS186+Parameters!$C$55*AT186</f>
        <v/>
      </c>
      <c r="BR186" s="22">
        <f>Parameters!$C$56*BB186+Parameters!$C$57*BC186+Parameters!$C$58*BD186+Parameters!$C$59*BE186</f>
        <v/>
      </c>
      <c r="BS186" s="23">
        <f>Parameters!$B$2</f>
        <v/>
      </c>
      <c r="BT186" s="23">
        <f>BS186+BF186 + BG186 + BH186 + BI186 + BJ186 + BK186 + BL186 + BM186 + BN186 + BO186 + BP186 + BQ186 + BR186</f>
        <v/>
      </c>
      <c r="BU186" s="24">
        <f>IF(AD186=1,0,1/(1+EXP(-BT186))*Parameters!$B$3)</f>
        <v/>
      </c>
      <c r="BV186" s="25">
        <f>(1-(1-BU186)^12)*100</f>
        <v/>
      </c>
      <c r="BW186" s="25">
        <f>IF(AD186=1,0,(1-(1-1/(1+EXP(-Parameters!$B$2)))^12)*100)</f>
        <v/>
      </c>
      <c r="BX186" s="25">
        <f>IF(AD186=1,0,BV186-(1-(1-(1/(1+EXP(-(BT186-BF186)))*Parameters!$B$3))^12)*100)</f>
        <v/>
      </c>
      <c r="BY186" s="25">
        <f>IF(AD186=1,0,BV186-(1-(1-(1/(1+EXP(-(BT186-BG186)))*Parameters!$B$3))^12)*100)</f>
        <v/>
      </c>
      <c r="BZ186" s="25">
        <f>IF(AD186=1,0,BV186-(1-(1-(1/(1+EXP(-(BT186-BH186)))*Parameters!$B$3))^12)*100)</f>
        <v/>
      </c>
      <c r="CA186" s="25">
        <f>IF(AD186=1,0,BV186-(1-(1-(1/(1+EXP(-(BT186-BI186)))*Parameters!$B$3))^12)*100)</f>
        <v/>
      </c>
      <c r="CB186" s="25">
        <f>IF(AD186=1,0,BV186-(1-(1-(1/(1+EXP(-(BT186-BJ186)))*Parameters!$B$3))^12)*100)</f>
        <v/>
      </c>
      <c r="CC186" s="25">
        <f>IF(AD186=1,0,BV186-(1-(1-(1/(1+EXP(-(BT186-BK186)))*Parameters!$B$3))^12)*100)</f>
        <v/>
      </c>
      <c r="CD186" s="25">
        <f>IF(AD186=1,0,BV186-(1-(1-(1/(1+EXP(-(BT186-BL186)))*Parameters!$B$3))^12)*100)</f>
        <v/>
      </c>
      <c r="CE186" s="25">
        <f>IF(AD186=1,0,BV186-(1-(1-(1/(1+EXP(-(BT186-BM186)))*Parameters!$B$3))^12)*100)</f>
        <v/>
      </c>
      <c r="CF186" s="25">
        <f>IF(AD186=1,0,BV186-(1-(1-(1/(1+EXP(-(BT186-BN186)))*Parameters!$B$3))^12)*100)</f>
        <v/>
      </c>
      <c r="CG186" s="25">
        <f>IF(AD186=1,0,BV186-(1-(1-(1/(1+EXP(-(BT186-BO186)))*Parameters!$B$3))^12)*100)</f>
        <v/>
      </c>
      <c r="CH186" s="25">
        <f>IF(AD186=1,0,BV186-(1-(1-(1/(1+EXP(-(BT186-BP186)))*Parameters!$B$3))^12)*100)</f>
        <v/>
      </c>
      <c r="CI186" s="25">
        <f>IF(AD186=1,0,BV186-(1-(1-(1/(1+EXP(-(BT186-BQ186)))*Parameters!$B$3))^12)*100)</f>
        <v/>
      </c>
      <c r="CJ186" s="25">
        <f>IF(AD186=1,0,BV186-(1-(1-(1/(1+EXP(-(BT186-BR186)))*Parameters!$B$3))^12)*100)</f>
        <v/>
      </c>
    </row>
    <row r="187">
      <c r="A187" s="17" t="inlineStr">
        <is>
          <t>GNR_DIVERSE</t>
        </is>
      </c>
      <c r="B187" s="17" t="inlineStr">
        <is>
          <t>3617XJYY0</t>
        </is>
      </c>
      <c r="C187" s="17" t="inlineStr">
        <is>
          <t>PN</t>
        </is>
      </c>
      <c r="D187" s="17" t="inlineStr">
        <is>
          <t>BERKADIA COMMERCIAL MORTGAGE, LLC</t>
        </is>
      </c>
      <c r="E187" s="17" t="inlineStr">
        <is>
          <t>3617XJYY0_000000004311286</t>
        </is>
      </c>
      <c r="F187" s="17" t="n">
        <v>202603</v>
      </c>
      <c r="G187" s="18" t="n">
        <v>2.29</v>
      </c>
      <c r="H187" s="19" t="n">
        <v>1982269.33</v>
      </c>
      <c r="I187" s="17" t="n">
        <v>420</v>
      </c>
      <c r="J187" s="17" t="n">
        <v>20210824</v>
      </c>
      <c r="K187" s="17" t="n">
        <v>20561201</v>
      </c>
      <c r="L187" s="17" t="n"/>
      <c r="M187" s="17" t="n">
        <v>20320101</v>
      </c>
      <c r="N187" s="17" t="n">
        <v>10</v>
      </c>
      <c r="O187" s="17" t="inlineStr">
        <is>
          <t>207/223(F)</t>
        </is>
      </c>
      <c r="P187" s="17" t="inlineStr">
        <is>
          <t>BAF</t>
        </is>
      </c>
      <c r="Q187" s="17" t="n"/>
      <c r="R187" s="17" t="inlineStr">
        <is>
          <t>P</t>
        </is>
      </c>
      <c r="S187" s="17" t="n"/>
      <c r="T187" s="17" t="inlineStr">
        <is>
          <t>OH</t>
        </is>
      </c>
      <c r="U187" s="17" t="n">
        <v>44</v>
      </c>
      <c r="V187" s="17" t="n">
        <v>490.5</v>
      </c>
      <c r="W187" s="17" t="n">
        <v>55</v>
      </c>
      <c r="X187" s="17" t="n">
        <v>2021</v>
      </c>
      <c r="Y187" s="17" t="n">
        <v>-29</v>
      </c>
      <c r="Z187" s="17" t="n">
        <v>7</v>
      </c>
      <c r="AA187" s="20">
        <f>IF(ISNUMBER(W187),W187,IFERROR(MAX(0,(VALUE(LEFT(F187,4))-VALUE(LEFT(TEXT(J187,"00000000"),4)))*12+(VALUE(MID(F187,5,2))-VALUE(MID(TEXT(J187,"00000000"),5,2)))),""))</f>
        <v/>
      </c>
      <c r="AB187" s="20">
        <f>IFERROR((VALUE(LEFT(TEXT(K187,"00000000"),4))-VALUE(LEFT(F187,4)))*12+(VALUE(MID(TEXT(K187,"00000000"),5,2))-VALUE(MID(F187,5,2))),"")</f>
        <v/>
      </c>
      <c r="AC187" s="20">
        <f>IF(OR(L187="",NOT(ISNUMBER(L187))),0,MAX(0,MIN(60,(VALUE(LEFT(F187,4))-VALUE(LEFT(TEXT(L187,"00000000"),4)))*12+(VALUE(MID(F187,5,2))-VALUE(MID(TEXT(L187,"00000000"),5,2))))))</f>
        <v/>
      </c>
      <c r="AD187" s="20">
        <f>IF(OR(L187="",NOT(ISNUMBER(L187))),0,IF(VALUE(F187)&lt;VALUE(LEFT(TEXT(L187,"00000000"),6)),1,0))</f>
        <v/>
      </c>
      <c r="AE187" s="20">
        <f>IF(OR(M187="",NOT(ISNUMBER(M187))),0,IF(VALUE(F187)&lt;VALUE(LEFT(TEXT(M187,"00000000"),6)),1,0))</f>
        <v/>
      </c>
      <c r="AF187" s="20">
        <f>IF(AND(AD187=0,AE187=0),1,0)</f>
        <v/>
      </c>
      <c r="AG187" s="20">
        <f>IF(ISNUMBER(X187),X187,IFERROR(VALUE(LEFT(TEXT(J187,"00000000"),4)),""))</f>
        <v/>
      </c>
      <c r="AH187" s="20">
        <f>IFERROR(XLOOKUP(AG187,Vintage_Rates!$A$2:$A$1000,Vintage_Rates!$B$2:$B$1000,""),"")</f>
        <v/>
      </c>
      <c r="AI187" s="20">
        <f>IF(ISNUMBER(Y187),Y187,IFERROR((G187-AH187)*100,""))</f>
        <v/>
      </c>
      <c r="AJ187" s="20">
        <f>IF(ISNUMBER(V187),V187,IFERROR(XLOOKUP(VALUE(F187),PLC_Rates!$A$2:$A$1000,PLC_Rates!$B$2:$B$1000,""),""))</f>
        <v/>
      </c>
      <c r="AK187" s="20">
        <f>IF(ISNUMBER(Z187),Z187,IF(AE187=0,0,MAX(0,MIN(10,((VALUE(LEFT(TEXT(M187,"00000000"),4))-VALUE(LEFT(F187,4)))*12+(VALUE(MID(TEXT(M187,"00000000"),5,2))-VALUE(MID(F187,5,2))))/12))))</f>
        <v/>
      </c>
      <c r="AL187" s="20">
        <f>IFERROR(G187*100-AJ187,"")</f>
        <v/>
      </c>
      <c r="AM187" s="20">
        <f>IFERROR(G187*100-(AJ187+(1+AK187)*12.5),"")</f>
        <v/>
      </c>
      <c r="AN187" s="21">
        <f>IFERROR(MIN(H187/1000000,100),"")</f>
        <v/>
      </c>
      <c r="AO187" s="20">
        <f>IFERROR(INDEX(FHA_Lookup!$B$2:$B$11,MATCH(TRUE,ISNUMBER(SEARCH(FHA_Lookup!$A$2:$A$11,UPPER(SUBSTITUTE(O187," ","")))),0)),"OTHER")</f>
        <v/>
      </c>
      <c r="AP187" s="20">
        <f>IFERROR(INDEX(FHA_Lookup!$C$2:$C$11,MATCH(TRUE,ISNUMBER(SEARCH(FHA_Lookup!$A$2:$A$11,UPPER(SUBSTITUTE(O187," ","")))),0)),"OTHER")</f>
        <v/>
      </c>
      <c r="AQ187" s="20">
        <f>IF(AP187="NC",1,0)</f>
        <v/>
      </c>
      <c r="AR187" s="20">
        <f>IF(UPPER(TRIM(P187))="AFF",1,0)</f>
        <v/>
      </c>
      <c r="AS187" s="20">
        <f>IF(UPPER(TRIM(P187))="BAF",1,0)</f>
        <v/>
      </c>
      <c r="AT187" s="20">
        <f>IF(UPPER(TRIM(P187))="MKT",1,0)</f>
        <v/>
      </c>
      <c r="AU187" s="20">
        <f>IF(AO187="221d4",1,0)</f>
        <v/>
      </c>
      <c r="AV187" s="20">
        <f>IF(AO187="223a7",1,0)</f>
        <v/>
      </c>
      <c r="AW187" s="20">
        <f>IF(AO187="232",1,0)</f>
        <v/>
      </c>
      <c r="AX187" s="20">
        <f>IF(AO187="538",1,0)</f>
        <v/>
      </c>
      <c r="AY187" s="20">
        <f>IF(AO187="241",1,0)</f>
        <v/>
      </c>
      <c r="AZ187" s="20">
        <f>IF(AO187="220",1,0)</f>
        <v/>
      </c>
      <c r="BA187" s="20">
        <f>IF(AO187="OTHER",1,0)</f>
        <v/>
      </c>
      <c r="BB187" s="20">
        <f>IF(UPPER(TRIM(C187))="LM",1,0)</f>
        <v/>
      </c>
      <c r="BC187" s="20">
        <f>IF(UPPER(TRIM(C187))="PN",1,0)</f>
        <v/>
      </c>
      <c r="BD187" s="20">
        <f>IF(UPPER(TRIM(C187))="LS",1,0)</f>
        <v/>
      </c>
      <c r="BE187" s="20">
        <f>IF(UPPER(TRIM(C187))="RX",1,0)</f>
        <v/>
      </c>
      <c r="BF187" s="22">
        <f>IFERROR((Parameters!$C$6*AM187+Parameters!$C$7*MAX(AM187-(-150),0)+Parameters!$C$8*MAX(AM187-(-50),0)+Parameters!$C$9*MAX(AM187-(0),0)+Parameters!$C$10*MAX(AM187-(50),0)+Parameters!$C$11*MAX(AM187-(100),0)+Parameters!$C$12*MAX(AM187-(150),0)+Parameters!$C$13*MAX(AM187-(250),0)),0)</f>
        <v/>
      </c>
      <c r="BG187" s="22">
        <f>IFERROR((Parameters!$C$14*AA187+Parameters!$C$15*MAX(AA187-(12),0)+Parameters!$C$16*MAX(AA187-(36),0)+Parameters!$C$17*MAX(AA187-(60),0)+Parameters!$C$18*MAX(AA187-(84),0)+Parameters!$C$19*MAX(AA187-(120),0)+Parameters!$C$20*MAX(AA187-(180),0)),0)</f>
        <v/>
      </c>
      <c r="BH187" s="22">
        <f>IFERROR((Parameters!$C$21*AK187+Parameters!$C$22*MAX(AK187-(0),0)+Parameters!$C$23*MAX(AK187-(2),0)+Parameters!$C$24*MAX(AK187-(5),0)+Parameters!$C$25*MAX(AK187-(8),0)),0)</f>
        <v/>
      </c>
      <c r="BI187" s="22">
        <f>IFERROR((Parameters!$C$26*AI187+Parameters!$C$27*MAX(AI187-(-100),0)+Parameters!$C$28*MAX(AI187-(-25),0)+Parameters!$C$29*MAX(AI187-(25),0)+Parameters!$C$30*MAX(AI187-(100),0)),0)</f>
        <v/>
      </c>
      <c r="BJ187" s="22">
        <f>IFERROR((Parameters!$C$31*AN187+Parameters!$C$32*MAX(AN187-(2),0)+Parameters!$C$33*MAX(AN187-(10),0)+Parameters!$C$34*MAX(AN187-(25),0)),0)</f>
        <v/>
      </c>
      <c r="BK187" s="22">
        <f>IFERROR((Parameters!$C$35*AB187+Parameters!$C$36*MAX(AB187-(12),0)+Parameters!$C$37*MAX(AB187-(24),0)+Parameters!$C$38*MAX(AB187-(60),0)),0)</f>
        <v/>
      </c>
      <c r="BL187" s="22">
        <f>IFERROR((Parameters!$C$39*AC187+Parameters!$C$40*MAX(AC187-(6),0)+Parameters!$C$41*MAX(AC187-(12),0)+Parameters!$C$42*MAX(AC187-(24),0)),0)</f>
        <v/>
      </c>
      <c r="BM187" s="22">
        <f>IFERROR(Parameters!$C$43*(MAX(AM187,0)*MIN(MAX(AK187,0),10))/100,0)</f>
        <v/>
      </c>
      <c r="BN187" s="22">
        <f>Parameters!$C$44*AE187</f>
        <v/>
      </c>
      <c r="BO187" s="22">
        <f>Parameters!$C$45*AU187 + Parameters!$C$46*AV187 + Parameters!$C$47*AW187 + Parameters!$C$48*AX187 + Parameters!$C$49*AY187 + Parameters!$C$50*AZ187 + Parameters!$C$51*BA187</f>
        <v/>
      </c>
      <c r="BP187" s="22">
        <f>Parameters!$C$52*AQ187</f>
        <v/>
      </c>
      <c r="BQ187" s="22">
        <f>Parameters!$C$53*AR187+Parameters!$C$54*AS187+Parameters!$C$55*AT187</f>
        <v/>
      </c>
      <c r="BR187" s="22">
        <f>Parameters!$C$56*BB187+Parameters!$C$57*BC187+Parameters!$C$58*BD187+Parameters!$C$59*BE187</f>
        <v/>
      </c>
      <c r="BS187" s="23">
        <f>Parameters!$B$2</f>
        <v/>
      </c>
      <c r="BT187" s="23">
        <f>BS187+BF187 + BG187 + BH187 + BI187 + BJ187 + BK187 + BL187 + BM187 + BN187 + BO187 + BP187 + BQ187 + BR187</f>
        <v/>
      </c>
      <c r="BU187" s="24">
        <f>IF(AD187=1,0,1/(1+EXP(-BT187))*Parameters!$B$3)</f>
        <v/>
      </c>
      <c r="BV187" s="25">
        <f>(1-(1-BU187)^12)*100</f>
        <v/>
      </c>
      <c r="BW187" s="25">
        <f>IF(AD187=1,0,(1-(1-1/(1+EXP(-Parameters!$B$2)))^12)*100)</f>
        <v/>
      </c>
      <c r="BX187" s="25">
        <f>IF(AD187=1,0,BV187-(1-(1-(1/(1+EXP(-(BT187-BF187)))*Parameters!$B$3))^12)*100)</f>
        <v/>
      </c>
      <c r="BY187" s="25">
        <f>IF(AD187=1,0,BV187-(1-(1-(1/(1+EXP(-(BT187-BG187)))*Parameters!$B$3))^12)*100)</f>
        <v/>
      </c>
      <c r="BZ187" s="25">
        <f>IF(AD187=1,0,BV187-(1-(1-(1/(1+EXP(-(BT187-BH187)))*Parameters!$B$3))^12)*100)</f>
        <v/>
      </c>
      <c r="CA187" s="25">
        <f>IF(AD187=1,0,BV187-(1-(1-(1/(1+EXP(-(BT187-BI187)))*Parameters!$B$3))^12)*100)</f>
        <v/>
      </c>
      <c r="CB187" s="25">
        <f>IF(AD187=1,0,BV187-(1-(1-(1/(1+EXP(-(BT187-BJ187)))*Parameters!$B$3))^12)*100)</f>
        <v/>
      </c>
      <c r="CC187" s="25">
        <f>IF(AD187=1,0,BV187-(1-(1-(1/(1+EXP(-(BT187-BK187)))*Parameters!$B$3))^12)*100)</f>
        <v/>
      </c>
      <c r="CD187" s="25">
        <f>IF(AD187=1,0,BV187-(1-(1-(1/(1+EXP(-(BT187-BL187)))*Parameters!$B$3))^12)*100)</f>
        <v/>
      </c>
      <c r="CE187" s="25">
        <f>IF(AD187=1,0,BV187-(1-(1-(1/(1+EXP(-(BT187-BM187)))*Parameters!$B$3))^12)*100)</f>
        <v/>
      </c>
      <c r="CF187" s="25">
        <f>IF(AD187=1,0,BV187-(1-(1-(1/(1+EXP(-(BT187-BN187)))*Parameters!$B$3))^12)*100)</f>
        <v/>
      </c>
      <c r="CG187" s="25">
        <f>IF(AD187=1,0,BV187-(1-(1-(1/(1+EXP(-(BT187-BO187)))*Parameters!$B$3))^12)*100)</f>
        <v/>
      </c>
      <c r="CH187" s="25">
        <f>IF(AD187=1,0,BV187-(1-(1-(1/(1+EXP(-(BT187-BP187)))*Parameters!$B$3))^12)*100)</f>
        <v/>
      </c>
      <c r="CI187" s="25">
        <f>IF(AD187=1,0,BV187-(1-(1-(1/(1+EXP(-(BT187-BQ187)))*Parameters!$B$3))^12)*100)</f>
        <v/>
      </c>
      <c r="CJ187" s="25">
        <f>IF(AD187=1,0,BV187-(1-(1-(1/(1+EXP(-(BT187-BR187)))*Parameters!$B$3))^12)*100)</f>
        <v/>
      </c>
    </row>
    <row r="188">
      <c r="A188" s="17" t="inlineStr">
        <is>
          <t>GNR_DIVERSE</t>
        </is>
      </c>
      <c r="B188" s="17" t="inlineStr">
        <is>
          <t>3617W0CA8</t>
        </is>
      </c>
      <c r="C188" s="17" t="inlineStr">
        <is>
          <t>PN</t>
        </is>
      </c>
      <c r="D188" s="17" t="inlineStr">
        <is>
          <t>BERKADIA COMMERCIAL MORTGAGE, LLC</t>
        </is>
      </c>
      <c r="E188" s="17" t="inlineStr">
        <is>
          <t>3617W0CA8_000000005111455</t>
        </is>
      </c>
      <c r="F188" s="17" t="n">
        <v>202603</v>
      </c>
      <c r="G188" s="18" t="n">
        <v>2.33</v>
      </c>
      <c r="H188" s="19" t="n">
        <v>14579902.93</v>
      </c>
      <c r="I188" s="17" t="n">
        <v>420</v>
      </c>
      <c r="J188" s="17" t="n">
        <v>20210603</v>
      </c>
      <c r="K188" s="17" t="n">
        <v>20560901</v>
      </c>
      <c r="L188" s="17" t="n"/>
      <c r="M188" s="17" t="n">
        <v>20311001</v>
      </c>
      <c r="N188" s="17" t="n">
        <v>10</v>
      </c>
      <c r="O188" s="17" t="inlineStr">
        <is>
          <t>223(A)(7)/207/223(F)</t>
        </is>
      </c>
      <c r="P188" s="17" t="inlineStr">
        <is>
          <t>MKT</t>
        </is>
      </c>
      <c r="Q188" s="17" t="n"/>
      <c r="R188" s="17" t="n"/>
      <c r="S188" s="17" t="n"/>
      <c r="T188" s="17" t="inlineStr">
        <is>
          <t>VA</t>
        </is>
      </c>
      <c r="U188" s="17" t="n">
        <v>180</v>
      </c>
      <c r="V188" s="17" t="n">
        <v>490.5</v>
      </c>
      <c r="W188" s="17" t="n">
        <v>57</v>
      </c>
      <c r="X188" s="17" t="n">
        <v>2021</v>
      </c>
      <c r="Y188" s="17" t="n">
        <v>-25</v>
      </c>
      <c r="Z188" s="17" t="n">
        <v>7</v>
      </c>
      <c r="AA188" s="20">
        <f>IF(ISNUMBER(W188),W188,IFERROR(MAX(0,(VALUE(LEFT(F188,4))-VALUE(LEFT(TEXT(J188,"00000000"),4)))*12+(VALUE(MID(F188,5,2))-VALUE(MID(TEXT(J188,"00000000"),5,2)))),""))</f>
        <v/>
      </c>
      <c r="AB188" s="20">
        <f>IFERROR((VALUE(LEFT(TEXT(K188,"00000000"),4))-VALUE(LEFT(F188,4)))*12+(VALUE(MID(TEXT(K188,"00000000"),5,2))-VALUE(MID(F188,5,2))),"")</f>
        <v/>
      </c>
      <c r="AC188" s="20">
        <f>IF(OR(L188="",NOT(ISNUMBER(L188))),0,MAX(0,MIN(60,(VALUE(LEFT(F188,4))-VALUE(LEFT(TEXT(L188,"00000000"),4)))*12+(VALUE(MID(F188,5,2))-VALUE(MID(TEXT(L188,"00000000"),5,2))))))</f>
        <v/>
      </c>
      <c r="AD188" s="20">
        <f>IF(OR(L188="",NOT(ISNUMBER(L188))),0,IF(VALUE(F188)&lt;VALUE(LEFT(TEXT(L188,"00000000"),6)),1,0))</f>
        <v/>
      </c>
      <c r="AE188" s="20">
        <f>IF(OR(M188="",NOT(ISNUMBER(M188))),0,IF(VALUE(F188)&lt;VALUE(LEFT(TEXT(M188,"00000000"),6)),1,0))</f>
        <v/>
      </c>
      <c r="AF188" s="20">
        <f>IF(AND(AD188=0,AE188=0),1,0)</f>
        <v/>
      </c>
      <c r="AG188" s="20">
        <f>IF(ISNUMBER(X188),X188,IFERROR(VALUE(LEFT(TEXT(J188,"00000000"),4)),""))</f>
        <v/>
      </c>
      <c r="AH188" s="20">
        <f>IFERROR(XLOOKUP(AG188,Vintage_Rates!$A$2:$A$1000,Vintage_Rates!$B$2:$B$1000,""),"")</f>
        <v/>
      </c>
      <c r="AI188" s="20">
        <f>IF(ISNUMBER(Y188),Y188,IFERROR((G188-AH188)*100,""))</f>
        <v/>
      </c>
      <c r="AJ188" s="20">
        <f>IF(ISNUMBER(V188),V188,IFERROR(XLOOKUP(VALUE(F188),PLC_Rates!$A$2:$A$1000,PLC_Rates!$B$2:$B$1000,""),""))</f>
        <v/>
      </c>
      <c r="AK188" s="20">
        <f>IF(ISNUMBER(Z188),Z188,IF(AE188=0,0,MAX(0,MIN(10,((VALUE(LEFT(TEXT(M188,"00000000"),4))-VALUE(LEFT(F188,4)))*12+(VALUE(MID(TEXT(M188,"00000000"),5,2))-VALUE(MID(F188,5,2))))/12))))</f>
        <v/>
      </c>
      <c r="AL188" s="20">
        <f>IFERROR(G188*100-AJ188,"")</f>
        <v/>
      </c>
      <c r="AM188" s="20">
        <f>IFERROR(G188*100-(AJ188+(1+AK188)*12.5),"")</f>
        <v/>
      </c>
      <c r="AN188" s="21">
        <f>IFERROR(MIN(H188/1000000,100),"")</f>
        <v/>
      </c>
      <c r="AO188" s="20">
        <f>IFERROR(INDEX(FHA_Lookup!$B$2:$B$11,MATCH(TRUE,ISNUMBER(SEARCH(FHA_Lookup!$A$2:$A$11,UPPER(SUBSTITUTE(O188," ","")))),0)),"OTHER")</f>
        <v/>
      </c>
      <c r="AP188" s="20">
        <f>IFERROR(INDEX(FHA_Lookup!$C$2:$C$11,MATCH(TRUE,ISNUMBER(SEARCH(FHA_Lookup!$A$2:$A$11,UPPER(SUBSTITUTE(O188," ","")))),0)),"OTHER")</f>
        <v/>
      </c>
      <c r="AQ188" s="20">
        <f>IF(AP188="NC",1,0)</f>
        <v/>
      </c>
      <c r="AR188" s="20">
        <f>IF(UPPER(TRIM(P188))="AFF",1,0)</f>
        <v/>
      </c>
      <c r="AS188" s="20">
        <f>IF(UPPER(TRIM(P188))="BAF",1,0)</f>
        <v/>
      </c>
      <c r="AT188" s="20">
        <f>IF(UPPER(TRIM(P188))="MKT",1,0)</f>
        <v/>
      </c>
      <c r="AU188" s="20">
        <f>IF(AO188="221d4",1,0)</f>
        <v/>
      </c>
      <c r="AV188" s="20">
        <f>IF(AO188="223a7",1,0)</f>
        <v/>
      </c>
      <c r="AW188" s="20">
        <f>IF(AO188="232",1,0)</f>
        <v/>
      </c>
      <c r="AX188" s="20">
        <f>IF(AO188="538",1,0)</f>
        <v/>
      </c>
      <c r="AY188" s="20">
        <f>IF(AO188="241",1,0)</f>
        <v/>
      </c>
      <c r="AZ188" s="20">
        <f>IF(AO188="220",1,0)</f>
        <v/>
      </c>
      <c r="BA188" s="20">
        <f>IF(AO188="OTHER",1,0)</f>
        <v/>
      </c>
      <c r="BB188" s="20">
        <f>IF(UPPER(TRIM(C188))="LM",1,0)</f>
        <v/>
      </c>
      <c r="BC188" s="20">
        <f>IF(UPPER(TRIM(C188))="PN",1,0)</f>
        <v/>
      </c>
      <c r="BD188" s="20">
        <f>IF(UPPER(TRIM(C188))="LS",1,0)</f>
        <v/>
      </c>
      <c r="BE188" s="20">
        <f>IF(UPPER(TRIM(C188))="RX",1,0)</f>
        <v/>
      </c>
      <c r="BF188" s="22">
        <f>IFERROR((Parameters!$C$6*AM188+Parameters!$C$7*MAX(AM188-(-150),0)+Parameters!$C$8*MAX(AM188-(-50),0)+Parameters!$C$9*MAX(AM188-(0),0)+Parameters!$C$10*MAX(AM188-(50),0)+Parameters!$C$11*MAX(AM188-(100),0)+Parameters!$C$12*MAX(AM188-(150),0)+Parameters!$C$13*MAX(AM188-(250),0)),0)</f>
        <v/>
      </c>
      <c r="BG188" s="22">
        <f>IFERROR((Parameters!$C$14*AA188+Parameters!$C$15*MAX(AA188-(12),0)+Parameters!$C$16*MAX(AA188-(36),0)+Parameters!$C$17*MAX(AA188-(60),0)+Parameters!$C$18*MAX(AA188-(84),0)+Parameters!$C$19*MAX(AA188-(120),0)+Parameters!$C$20*MAX(AA188-(180),0)),0)</f>
        <v/>
      </c>
      <c r="BH188" s="22">
        <f>IFERROR((Parameters!$C$21*AK188+Parameters!$C$22*MAX(AK188-(0),0)+Parameters!$C$23*MAX(AK188-(2),0)+Parameters!$C$24*MAX(AK188-(5),0)+Parameters!$C$25*MAX(AK188-(8),0)),0)</f>
        <v/>
      </c>
      <c r="BI188" s="22">
        <f>IFERROR((Parameters!$C$26*AI188+Parameters!$C$27*MAX(AI188-(-100),0)+Parameters!$C$28*MAX(AI188-(-25),0)+Parameters!$C$29*MAX(AI188-(25),0)+Parameters!$C$30*MAX(AI188-(100),0)),0)</f>
        <v/>
      </c>
      <c r="BJ188" s="22">
        <f>IFERROR((Parameters!$C$31*AN188+Parameters!$C$32*MAX(AN188-(2),0)+Parameters!$C$33*MAX(AN188-(10),0)+Parameters!$C$34*MAX(AN188-(25),0)),0)</f>
        <v/>
      </c>
      <c r="BK188" s="22">
        <f>IFERROR((Parameters!$C$35*AB188+Parameters!$C$36*MAX(AB188-(12),0)+Parameters!$C$37*MAX(AB188-(24),0)+Parameters!$C$38*MAX(AB188-(60),0)),0)</f>
        <v/>
      </c>
      <c r="BL188" s="22">
        <f>IFERROR((Parameters!$C$39*AC188+Parameters!$C$40*MAX(AC188-(6),0)+Parameters!$C$41*MAX(AC188-(12),0)+Parameters!$C$42*MAX(AC188-(24),0)),0)</f>
        <v/>
      </c>
      <c r="BM188" s="22">
        <f>IFERROR(Parameters!$C$43*(MAX(AM188,0)*MIN(MAX(AK188,0),10))/100,0)</f>
        <v/>
      </c>
      <c r="BN188" s="22">
        <f>Parameters!$C$44*AE188</f>
        <v/>
      </c>
      <c r="BO188" s="22">
        <f>Parameters!$C$45*AU188 + Parameters!$C$46*AV188 + Parameters!$C$47*AW188 + Parameters!$C$48*AX188 + Parameters!$C$49*AY188 + Parameters!$C$50*AZ188 + Parameters!$C$51*BA188</f>
        <v/>
      </c>
      <c r="BP188" s="22">
        <f>Parameters!$C$52*AQ188</f>
        <v/>
      </c>
      <c r="BQ188" s="22">
        <f>Parameters!$C$53*AR188+Parameters!$C$54*AS188+Parameters!$C$55*AT188</f>
        <v/>
      </c>
      <c r="BR188" s="22">
        <f>Parameters!$C$56*BB188+Parameters!$C$57*BC188+Parameters!$C$58*BD188+Parameters!$C$59*BE188</f>
        <v/>
      </c>
      <c r="BS188" s="23">
        <f>Parameters!$B$2</f>
        <v/>
      </c>
      <c r="BT188" s="23">
        <f>BS188+BF188 + BG188 + BH188 + BI188 + BJ188 + BK188 + BL188 + BM188 + BN188 + BO188 + BP188 + BQ188 + BR188</f>
        <v/>
      </c>
      <c r="BU188" s="24">
        <f>IF(AD188=1,0,1/(1+EXP(-BT188))*Parameters!$B$3)</f>
        <v/>
      </c>
      <c r="BV188" s="25">
        <f>(1-(1-BU188)^12)*100</f>
        <v/>
      </c>
      <c r="BW188" s="25">
        <f>IF(AD188=1,0,(1-(1-1/(1+EXP(-Parameters!$B$2)))^12)*100)</f>
        <v/>
      </c>
      <c r="BX188" s="25">
        <f>IF(AD188=1,0,BV188-(1-(1-(1/(1+EXP(-(BT188-BF188)))*Parameters!$B$3))^12)*100)</f>
        <v/>
      </c>
      <c r="BY188" s="25">
        <f>IF(AD188=1,0,BV188-(1-(1-(1/(1+EXP(-(BT188-BG188)))*Parameters!$B$3))^12)*100)</f>
        <v/>
      </c>
      <c r="BZ188" s="25">
        <f>IF(AD188=1,0,BV188-(1-(1-(1/(1+EXP(-(BT188-BH188)))*Parameters!$B$3))^12)*100)</f>
        <v/>
      </c>
      <c r="CA188" s="25">
        <f>IF(AD188=1,0,BV188-(1-(1-(1/(1+EXP(-(BT188-BI188)))*Parameters!$B$3))^12)*100)</f>
        <v/>
      </c>
      <c r="CB188" s="25">
        <f>IF(AD188=1,0,BV188-(1-(1-(1/(1+EXP(-(BT188-BJ188)))*Parameters!$B$3))^12)*100)</f>
        <v/>
      </c>
      <c r="CC188" s="25">
        <f>IF(AD188=1,0,BV188-(1-(1-(1/(1+EXP(-(BT188-BK188)))*Parameters!$B$3))^12)*100)</f>
        <v/>
      </c>
      <c r="CD188" s="25">
        <f>IF(AD188=1,0,BV188-(1-(1-(1/(1+EXP(-(BT188-BL188)))*Parameters!$B$3))^12)*100)</f>
        <v/>
      </c>
      <c r="CE188" s="25">
        <f>IF(AD188=1,0,BV188-(1-(1-(1/(1+EXP(-(BT188-BM188)))*Parameters!$B$3))^12)*100)</f>
        <v/>
      </c>
      <c r="CF188" s="25">
        <f>IF(AD188=1,0,BV188-(1-(1-(1/(1+EXP(-(BT188-BN188)))*Parameters!$B$3))^12)*100)</f>
        <v/>
      </c>
      <c r="CG188" s="25">
        <f>IF(AD188=1,0,BV188-(1-(1-(1/(1+EXP(-(BT188-BO188)))*Parameters!$B$3))^12)*100)</f>
        <v/>
      </c>
      <c r="CH188" s="25">
        <f>IF(AD188=1,0,BV188-(1-(1-(1/(1+EXP(-(BT188-BP188)))*Parameters!$B$3))^12)*100)</f>
        <v/>
      </c>
      <c r="CI188" s="25">
        <f>IF(AD188=1,0,BV188-(1-(1-(1/(1+EXP(-(BT188-BQ188)))*Parameters!$B$3))^12)*100)</f>
        <v/>
      </c>
      <c r="CJ188" s="25">
        <f>IF(AD188=1,0,BV188-(1-(1-(1/(1+EXP(-(BT188-BR188)))*Parameters!$B$3))^12)*100)</f>
        <v/>
      </c>
    </row>
    <row r="189">
      <c r="A189" s="17" t="inlineStr">
        <is>
          <t>GNR_DIVERSE</t>
        </is>
      </c>
      <c r="B189" s="17" t="inlineStr">
        <is>
          <t>3617V0SL8</t>
        </is>
      </c>
      <c r="C189" s="17" t="inlineStr">
        <is>
          <t>PN</t>
        </is>
      </c>
      <c r="D189" s="17" t="inlineStr">
        <is>
          <t>NEWPOINT REAL ESTATE CAPITAL LLC</t>
        </is>
      </c>
      <c r="E189" s="17" t="inlineStr">
        <is>
          <t>3617V0SL8_000000003222031</t>
        </is>
      </c>
      <c r="F189" s="17" t="n">
        <v>202603</v>
      </c>
      <c r="G189" s="18" t="n">
        <v>3</v>
      </c>
      <c r="H189" s="19" t="n">
        <v>5895200.5</v>
      </c>
      <c r="I189" s="17" t="n">
        <v>346</v>
      </c>
      <c r="J189" s="17" t="n">
        <v>20210326</v>
      </c>
      <c r="K189" s="17" t="n">
        <v>20510401</v>
      </c>
      <c r="L189" s="17" t="n"/>
      <c r="M189" s="17" t="n">
        <v>20310501</v>
      </c>
      <c r="N189" s="17" t="n">
        <v>10</v>
      </c>
      <c r="O189" s="17" t="inlineStr">
        <is>
          <t>223(A)(7)/232/223(F)</t>
        </is>
      </c>
      <c r="P189" s="17" t="inlineStr">
        <is>
          <t>MKT</t>
        </is>
      </c>
      <c r="Q189" s="17" t="n"/>
      <c r="R189" s="17" t="n"/>
      <c r="S189" s="17" t="n"/>
      <c r="T189" s="17" t="inlineStr">
        <is>
          <t>DE</t>
        </is>
      </c>
      <c r="U189" s="17" t="n">
        <v>49</v>
      </c>
      <c r="V189" s="17" t="n">
        <v>490.5</v>
      </c>
      <c r="W189" s="17" t="n">
        <v>60</v>
      </c>
      <c r="X189" s="17" t="n">
        <v>2021</v>
      </c>
      <c r="Y189" s="17" t="n">
        <v>42</v>
      </c>
      <c r="Z189" s="17" t="n">
        <v>6</v>
      </c>
      <c r="AA189" s="20">
        <f>IF(ISNUMBER(W189),W189,IFERROR(MAX(0,(VALUE(LEFT(F189,4))-VALUE(LEFT(TEXT(J189,"00000000"),4)))*12+(VALUE(MID(F189,5,2))-VALUE(MID(TEXT(J189,"00000000"),5,2)))),""))</f>
        <v/>
      </c>
      <c r="AB189" s="20">
        <f>IFERROR((VALUE(LEFT(TEXT(K189,"00000000"),4))-VALUE(LEFT(F189,4)))*12+(VALUE(MID(TEXT(K189,"00000000"),5,2))-VALUE(MID(F189,5,2))),"")</f>
        <v/>
      </c>
      <c r="AC189" s="20">
        <f>IF(OR(L189="",NOT(ISNUMBER(L189))),0,MAX(0,MIN(60,(VALUE(LEFT(F189,4))-VALUE(LEFT(TEXT(L189,"00000000"),4)))*12+(VALUE(MID(F189,5,2))-VALUE(MID(TEXT(L189,"00000000"),5,2))))))</f>
        <v/>
      </c>
      <c r="AD189" s="20">
        <f>IF(OR(L189="",NOT(ISNUMBER(L189))),0,IF(VALUE(F189)&lt;VALUE(LEFT(TEXT(L189,"00000000"),6)),1,0))</f>
        <v/>
      </c>
      <c r="AE189" s="20">
        <f>IF(OR(M189="",NOT(ISNUMBER(M189))),0,IF(VALUE(F189)&lt;VALUE(LEFT(TEXT(M189,"00000000"),6)),1,0))</f>
        <v/>
      </c>
      <c r="AF189" s="20">
        <f>IF(AND(AD189=0,AE189=0),1,0)</f>
        <v/>
      </c>
      <c r="AG189" s="20">
        <f>IF(ISNUMBER(X189),X189,IFERROR(VALUE(LEFT(TEXT(J189,"00000000"),4)),""))</f>
        <v/>
      </c>
      <c r="AH189" s="20">
        <f>IFERROR(XLOOKUP(AG189,Vintage_Rates!$A$2:$A$1000,Vintage_Rates!$B$2:$B$1000,""),"")</f>
        <v/>
      </c>
      <c r="AI189" s="20">
        <f>IF(ISNUMBER(Y189),Y189,IFERROR((G189-AH189)*100,""))</f>
        <v/>
      </c>
      <c r="AJ189" s="20">
        <f>IF(ISNUMBER(V189),V189,IFERROR(XLOOKUP(VALUE(F189),PLC_Rates!$A$2:$A$1000,PLC_Rates!$B$2:$B$1000,""),""))</f>
        <v/>
      </c>
      <c r="AK189" s="20">
        <f>IF(ISNUMBER(Z189),Z189,IF(AE189=0,0,MAX(0,MIN(10,((VALUE(LEFT(TEXT(M189,"00000000"),4))-VALUE(LEFT(F189,4)))*12+(VALUE(MID(TEXT(M189,"00000000"),5,2))-VALUE(MID(F189,5,2))))/12))))</f>
        <v/>
      </c>
      <c r="AL189" s="20">
        <f>IFERROR(G189*100-AJ189,"")</f>
        <v/>
      </c>
      <c r="AM189" s="20">
        <f>IFERROR(G189*100-(AJ189+(1+AK189)*12.5),"")</f>
        <v/>
      </c>
      <c r="AN189" s="21">
        <f>IFERROR(MIN(H189/1000000,100),"")</f>
        <v/>
      </c>
      <c r="AO189" s="20">
        <f>IFERROR(INDEX(FHA_Lookup!$B$2:$B$11,MATCH(TRUE,ISNUMBER(SEARCH(FHA_Lookup!$A$2:$A$11,UPPER(SUBSTITUTE(O189," ","")))),0)),"OTHER")</f>
        <v/>
      </c>
      <c r="AP189" s="20">
        <f>IFERROR(INDEX(FHA_Lookup!$C$2:$C$11,MATCH(TRUE,ISNUMBER(SEARCH(FHA_Lookup!$A$2:$A$11,UPPER(SUBSTITUTE(O189," ","")))),0)),"OTHER")</f>
        <v/>
      </c>
      <c r="AQ189" s="20">
        <f>IF(AP189="NC",1,0)</f>
        <v/>
      </c>
      <c r="AR189" s="20">
        <f>IF(UPPER(TRIM(P189))="AFF",1,0)</f>
        <v/>
      </c>
      <c r="AS189" s="20">
        <f>IF(UPPER(TRIM(P189))="BAF",1,0)</f>
        <v/>
      </c>
      <c r="AT189" s="20">
        <f>IF(UPPER(TRIM(P189))="MKT",1,0)</f>
        <v/>
      </c>
      <c r="AU189" s="20">
        <f>IF(AO189="221d4",1,0)</f>
        <v/>
      </c>
      <c r="AV189" s="20">
        <f>IF(AO189="223a7",1,0)</f>
        <v/>
      </c>
      <c r="AW189" s="20">
        <f>IF(AO189="232",1,0)</f>
        <v/>
      </c>
      <c r="AX189" s="20">
        <f>IF(AO189="538",1,0)</f>
        <v/>
      </c>
      <c r="AY189" s="20">
        <f>IF(AO189="241",1,0)</f>
        <v/>
      </c>
      <c r="AZ189" s="20">
        <f>IF(AO189="220",1,0)</f>
        <v/>
      </c>
      <c r="BA189" s="20">
        <f>IF(AO189="OTHER",1,0)</f>
        <v/>
      </c>
      <c r="BB189" s="20">
        <f>IF(UPPER(TRIM(C189))="LM",1,0)</f>
        <v/>
      </c>
      <c r="BC189" s="20">
        <f>IF(UPPER(TRIM(C189))="PN",1,0)</f>
        <v/>
      </c>
      <c r="BD189" s="20">
        <f>IF(UPPER(TRIM(C189))="LS",1,0)</f>
        <v/>
      </c>
      <c r="BE189" s="20">
        <f>IF(UPPER(TRIM(C189))="RX",1,0)</f>
        <v/>
      </c>
      <c r="BF189" s="22">
        <f>IFERROR((Parameters!$C$6*AM189+Parameters!$C$7*MAX(AM189-(-150),0)+Parameters!$C$8*MAX(AM189-(-50),0)+Parameters!$C$9*MAX(AM189-(0),0)+Parameters!$C$10*MAX(AM189-(50),0)+Parameters!$C$11*MAX(AM189-(100),0)+Parameters!$C$12*MAX(AM189-(150),0)+Parameters!$C$13*MAX(AM189-(250),0)),0)</f>
        <v/>
      </c>
      <c r="BG189" s="22">
        <f>IFERROR((Parameters!$C$14*AA189+Parameters!$C$15*MAX(AA189-(12),0)+Parameters!$C$16*MAX(AA189-(36),0)+Parameters!$C$17*MAX(AA189-(60),0)+Parameters!$C$18*MAX(AA189-(84),0)+Parameters!$C$19*MAX(AA189-(120),0)+Parameters!$C$20*MAX(AA189-(180),0)),0)</f>
        <v/>
      </c>
      <c r="BH189" s="22">
        <f>IFERROR((Parameters!$C$21*AK189+Parameters!$C$22*MAX(AK189-(0),0)+Parameters!$C$23*MAX(AK189-(2),0)+Parameters!$C$24*MAX(AK189-(5),0)+Parameters!$C$25*MAX(AK189-(8),0)),0)</f>
        <v/>
      </c>
      <c r="BI189" s="22">
        <f>IFERROR((Parameters!$C$26*AI189+Parameters!$C$27*MAX(AI189-(-100),0)+Parameters!$C$28*MAX(AI189-(-25),0)+Parameters!$C$29*MAX(AI189-(25),0)+Parameters!$C$30*MAX(AI189-(100),0)),0)</f>
        <v/>
      </c>
      <c r="BJ189" s="22">
        <f>IFERROR((Parameters!$C$31*AN189+Parameters!$C$32*MAX(AN189-(2),0)+Parameters!$C$33*MAX(AN189-(10),0)+Parameters!$C$34*MAX(AN189-(25),0)),0)</f>
        <v/>
      </c>
      <c r="BK189" s="22">
        <f>IFERROR((Parameters!$C$35*AB189+Parameters!$C$36*MAX(AB189-(12),0)+Parameters!$C$37*MAX(AB189-(24),0)+Parameters!$C$38*MAX(AB189-(60),0)),0)</f>
        <v/>
      </c>
      <c r="BL189" s="22">
        <f>IFERROR((Parameters!$C$39*AC189+Parameters!$C$40*MAX(AC189-(6),0)+Parameters!$C$41*MAX(AC189-(12),0)+Parameters!$C$42*MAX(AC189-(24),0)),0)</f>
        <v/>
      </c>
      <c r="BM189" s="22">
        <f>IFERROR(Parameters!$C$43*(MAX(AM189,0)*MIN(MAX(AK189,0),10))/100,0)</f>
        <v/>
      </c>
      <c r="BN189" s="22">
        <f>Parameters!$C$44*AE189</f>
        <v/>
      </c>
      <c r="BO189" s="22">
        <f>Parameters!$C$45*AU189 + Parameters!$C$46*AV189 + Parameters!$C$47*AW189 + Parameters!$C$48*AX189 + Parameters!$C$49*AY189 + Parameters!$C$50*AZ189 + Parameters!$C$51*BA189</f>
        <v/>
      </c>
      <c r="BP189" s="22">
        <f>Parameters!$C$52*AQ189</f>
        <v/>
      </c>
      <c r="BQ189" s="22">
        <f>Parameters!$C$53*AR189+Parameters!$C$54*AS189+Parameters!$C$55*AT189</f>
        <v/>
      </c>
      <c r="BR189" s="22">
        <f>Parameters!$C$56*BB189+Parameters!$C$57*BC189+Parameters!$C$58*BD189+Parameters!$C$59*BE189</f>
        <v/>
      </c>
      <c r="BS189" s="23">
        <f>Parameters!$B$2</f>
        <v/>
      </c>
      <c r="BT189" s="23">
        <f>BS189+BF189 + BG189 + BH189 + BI189 + BJ189 + BK189 + BL189 + BM189 + BN189 + BO189 + BP189 + BQ189 + BR189</f>
        <v/>
      </c>
      <c r="BU189" s="24">
        <f>IF(AD189=1,0,1/(1+EXP(-BT189))*Parameters!$B$3)</f>
        <v/>
      </c>
      <c r="BV189" s="25">
        <f>(1-(1-BU189)^12)*100</f>
        <v/>
      </c>
      <c r="BW189" s="25">
        <f>IF(AD189=1,0,(1-(1-1/(1+EXP(-Parameters!$B$2)))^12)*100)</f>
        <v/>
      </c>
      <c r="BX189" s="25">
        <f>IF(AD189=1,0,BV189-(1-(1-(1/(1+EXP(-(BT189-BF189)))*Parameters!$B$3))^12)*100)</f>
        <v/>
      </c>
      <c r="BY189" s="25">
        <f>IF(AD189=1,0,BV189-(1-(1-(1/(1+EXP(-(BT189-BG189)))*Parameters!$B$3))^12)*100)</f>
        <v/>
      </c>
      <c r="BZ189" s="25">
        <f>IF(AD189=1,0,BV189-(1-(1-(1/(1+EXP(-(BT189-BH189)))*Parameters!$B$3))^12)*100)</f>
        <v/>
      </c>
      <c r="CA189" s="25">
        <f>IF(AD189=1,0,BV189-(1-(1-(1/(1+EXP(-(BT189-BI189)))*Parameters!$B$3))^12)*100)</f>
        <v/>
      </c>
      <c r="CB189" s="25">
        <f>IF(AD189=1,0,BV189-(1-(1-(1/(1+EXP(-(BT189-BJ189)))*Parameters!$B$3))^12)*100)</f>
        <v/>
      </c>
      <c r="CC189" s="25">
        <f>IF(AD189=1,0,BV189-(1-(1-(1/(1+EXP(-(BT189-BK189)))*Parameters!$B$3))^12)*100)</f>
        <v/>
      </c>
      <c r="CD189" s="25">
        <f>IF(AD189=1,0,BV189-(1-(1-(1/(1+EXP(-(BT189-BL189)))*Parameters!$B$3))^12)*100)</f>
        <v/>
      </c>
      <c r="CE189" s="25">
        <f>IF(AD189=1,0,BV189-(1-(1-(1/(1+EXP(-(BT189-BM189)))*Parameters!$B$3))^12)*100)</f>
        <v/>
      </c>
      <c r="CF189" s="25">
        <f>IF(AD189=1,0,BV189-(1-(1-(1/(1+EXP(-(BT189-BN189)))*Parameters!$B$3))^12)*100)</f>
        <v/>
      </c>
      <c r="CG189" s="25">
        <f>IF(AD189=1,0,BV189-(1-(1-(1/(1+EXP(-(BT189-BO189)))*Parameters!$B$3))^12)*100)</f>
        <v/>
      </c>
      <c r="CH189" s="25">
        <f>IF(AD189=1,0,BV189-(1-(1-(1/(1+EXP(-(BT189-BP189)))*Parameters!$B$3))^12)*100)</f>
        <v/>
      </c>
      <c r="CI189" s="25">
        <f>IF(AD189=1,0,BV189-(1-(1-(1/(1+EXP(-(BT189-BQ189)))*Parameters!$B$3))^12)*100)</f>
        <v/>
      </c>
      <c r="CJ189" s="25">
        <f>IF(AD189=1,0,BV189-(1-(1-(1/(1+EXP(-(BT189-BR189)))*Parameters!$B$3))^12)*100)</f>
        <v/>
      </c>
    </row>
    <row r="190">
      <c r="A190" s="17" t="inlineStr">
        <is>
          <t>GNR_DIVERSE</t>
        </is>
      </c>
      <c r="B190" s="17" t="inlineStr">
        <is>
          <t>3617NUKC9</t>
        </is>
      </c>
      <c r="C190" s="17" t="inlineStr">
        <is>
          <t>LM</t>
        </is>
      </c>
      <c r="D190" s="17" t="inlineStr">
        <is>
          <t>DAVIS-PENN MORTGAGE CO.</t>
        </is>
      </c>
      <c r="E190" s="17" t="inlineStr">
        <is>
          <t>3617NUKC9_000000011335703</t>
        </is>
      </c>
      <c r="F190" s="17" t="n">
        <v>202603</v>
      </c>
      <c r="G190" s="18" t="n">
        <v>3.35</v>
      </c>
      <c r="H190" s="19" t="n">
        <v>15677170.82</v>
      </c>
      <c r="I190" s="17" t="n">
        <v>480</v>
      </c>
      <c r="J190" s="17" t="n">
        <v>20201201</v>
      </c>
      <c r="K190" s="17" t="n">
        <v>20590901</v>
      </c>
      <c r="L190" s="17" t="n">
        <v>20220101</v>
      </c>
      <c r="M190" s="17" t="n">
        <v>20310101</v>
      </c>
      <c r="N190" s="17" t="n">
        <v>9</v>
      </c>
      <c r="O190" s="17" t="inlineStr">
        <is>
          <t>221(d)(4)</t>
        </is>
      </c>
      <c r="P190" s="17" t="inlineStr">
        <is>
          <t>MKT</t>
        </is>
      </c>
      <c r="Q190" s="17" t="inlineStr">
        <is>
          <t>M</t>
        </is>
      </c>
      <c r="R190" s="17" t="n"/>
      <c r="S190" s="17" t="n">
        <v>1</v>
      </c>
      <c r="T190" s="17" t="inlineStr">
        <is>
          <t>TX</t>
        </is>
      </c>
      <c r="U190" s="17" t="n">
        <v>130</v>
      </c>
      <c r="V190" s="17" t="n">
        <v>490.5</v>
      </c>
      <c r="W190" s="17" t="n">
        <v>63</v>
      </c>
      <c r="X190" s="17" t="n">
        <v>2020</v>
      </c>
      <c r="Y190" s="17" t="n">
        <v>50</v>
      </c>
      <c r="Z190" s="17" t="n">
        <v>7</v>
      </c>
      <c r="AA190" s="20">
        <f>IF(ISNUMBER(W190),W190,IFERROR(MAX(0,(VALUE(LEFT(F190,4))-VALUE(LEFT(TEXT(J190,"00000000"),4)))*12+(VALUE(MID(F190,5,2))-VALUE(MID(TEXT(J190,"00000000"),5,2)))),""))</f>
        <v/>
      </c>
      <c r="AB190" s="20">
        <f>IFERROR((VALUE(LEFT(TEXT(K190,"00000000"),4))-VALUE(LEFT(F190,4)))*12+(VALUE(MID(TEXT(K190,"00000000"),5,2))-VALUE(MID(F190,5,2))),"")</f>
        <v/>
      </c>
      <c r="AC190" s="20">
        <f>IF(OR(L190="",NOT(ISNUMBER(L190))),0,MAX(0,MIN(60,(VALUE(LEFT(F190,4))-VALUE(LEFT(TEXT(L190,"00000000"),4)))*12+(VALUE(MID(F190,5,2))-VALUE(MID(TEXT(L190,"00000000"),5,2))))))</f>
        <v/>
      </c>
      <c r="AD190" s="20">
        <f>IF(OR(L190="",NOT(ISNUMBER(L190))),0,IF(VALUE(F190)&lt;VALUE(LEFT(TEXT(L190,"00000000"),6)),1,0))</f>
        <v/>
      </c>
      <c r="AE190" s="20">
        <f>IF(OR(M190="",NOT(ISNUMBER(M190))),0,IF(VALUE(F190)&lt;VALUE(LEFT(TEXT(M190,"00000000"),6)),1,0))</f>
        <v/>
      </c>
      <c r="AF190" s="20">
        <f>IF(AND(AD190=0,AE190=0),1,0)</f>
        <v/>
      </c>
      <c r="AG190" s="20">
        <f>IF(ISNUMBER(X190),X190,IFERROR(VALUE(LEFT(TEXT(J190,"00000000"),4)),""))</f>
        <v/>
      </c>
      <c r="AH190" s="20">
        <f>IFERROR(XLOOKUP(AG190,Vintage_Rates!$A$2:$A$1000,Vintage_Rates!$B$2:$B$1000,""),"")</f>
        <v/>
      </c>
      <c r="AI190" s="20">
        <f>IF(ISNUMBER(Y190),Y190,IFERROR((G190-AH190)*100,""))</f>
        <v/>
      </c>
      <c r="AJ190" s="20">
        <f>IF(ISNUMBER(V190),V190,IFERROR(XLOOKUP(VALUE(F190),PLC_Rates!$A$2:$A$1000,PLC_Rates!$B$2:$B$1000,""),""))</f>
        <v/>
      </c>
      <c r="AK190" s="20">
        <f>IF(ISNUMBER(Z190),Z190,IF(AE190=0,0,MAX(0,MIN(10,((VALUE(LEFT(TEXT(M190,"00000000"),4))-VALUE(LEFT(F190,4)))*12+(VALUE(MID(TEXT(M190,"00000000"),5,2))-VALUE(MID(F190,5,2))))/12))))</f>
        <v/>
      </c>
      <c r="AL190" s="20">
        <f>IFERROR(G190*100-AJ190,"")</f>
        <v/>
      </c>
      <c r="AM190" s="20">
        <f>IFERROR(G190*100-(AJ190+(1+AK190)*12.5),"")</f>
        <v/>
      </c>
      <c r="AN190" s="21">
        <f>IFERROR(MIN(H190/1000000,100),"")</f>
        <v/>
      </c>
      <c r="AO190" s="20">
        <f>IFERROR(INDEX(FHA_Lookup!$B$2:$B$11,MATCH(TRUE,ISNUMBER(SEARCH(FHA_Lookup!$A$2:$A$11,UPPER(SUBSTITUTE(O190," ","")))),0)),"OTHER")</f>
        <v/>
      </c>
      <c r="AP190" s="20">
        <f>IFERROR(INDEX(FHA_Lookup!$C$2:$C$11,MATCH(TRUE,ISNUMBER(SEARCH(FHA_Lookup!$A$2:$A$11,UPPER(SUBSTITUTE(O190," ","")))),0)),"OTHER")</f>
        <v/>
      </c>
      <c r="AQ190" s="20">
        <f>IF(AP190="NC",1,0)</f>
        <v/>
      </c>
      <c r="AR190" s="20">
        <f>IF(UPPER(TRIM(P190))="AFF",1,0)</f>
        <v/>
      </c>
      <c r="AS190" s="20">
        <f>IF(UPPER(TRIM(P190))="BAF",1,0)</f>
        <v/>
      </c>
      <c r="AT190" s="20">
        <f>IF(UPPER(TRIM(P190))="MKT",1,0)</f>
        <v/>
      </c>
      <c r="AU190" s="20">
        <f>IF(AO190="221d4",1,0)</f>
        <v/>
      </c>
      <c r="AV190" s="20">
        <f>IF(AO190="223a7",1,0)</f>
        <v/>
      </c>
      <c r="AW190" s="20">
        <f>IF(AO190="232",1,0)</f>
        <v/>
      </c>
      <c r="AX190" s="20">
        <f>IF(AO190="538",1,0)</f>
        <v/>
      </c>
      <c r="AY190" s="20">
        <f>IF(AO190="241",1,0)</f>
        <v/>
      </c>
      <c r="AZ190" s="20">
        <f>IF(AO190="220",1,0)</f>
        <v/>
      </c>
      <c r="BA190" s="20">
        <f>IF(AO190="OTHER",1,0)</f>
        <v/>
      </c>
      <c r="BB190" s="20">
        <f>IF(UPPER(TRIM(C190))="LM",1,0)</f>
        <v/>
      </c>
      <c r="BC190" s="20">
        <f>IF(UPPER(TRIM(C190))="PN",1,0)</f>
        <v/>
      </c>
      <c r="BD190" s="20">
        <f>IF(UPPER(TRIM(C190))="LS",1,0)</f>
        <v/>
      </c>
      <c r="BE190" s="20">
        <f>IF(UPPER(TRIM(C190))="RX",1,0)</f>
        <v/>
      </c>
      <c r="BF190" s="22">
        <f>IFERROR((Parameters!$C$6*AM190+Parameters!$C$7*MAX(AM190-(-150),0)+Parameters!$C$8*MAX(AM190-(-50),0)+Parameters!$C$9*MAX(AM190-(0),0)+Parameters!$C$10*MAX(AM190-(50),0)+Parameters!$C$11*MAX(AM190-(100),0)+Parameters!$C$12*MAX(AM190-(150),0)+Parameters!$C$13*MAX(AM190-(250),0)),0)</f>
        <v/>
      </c>
      <c r="BG190" s="22">
        <f>IFERROR((Parameters!$C$14*AA190+Parameters!$C$15*MAX(AA190-(12),0)+Parameters!$C$16*MAX(AA190-(36),0)+Parameters!$C$17*MAX(AA190-(60),0)+Parameters!$C$18*MAX(AA190-(84),0)+Parameters!$C$19*MAX(AA190-(120),0)+Parameters!$C$20*MAX(AA190-(180),0)),0)</f>
        <v/>
      </c>
      <c r="BH190" s="22">
        <f>IFERROR((Parameters!$C$21*AK190+Parameters!$C$22*MAX(AK190-(0),0)+Parameters!$C$23*MAX(AK190-(2),0)+Parameters!$C$24*MAX(AK190-(5),0)+Parameters!$C$25*MAX(AK190-(8),0)),0)</f>
        <v/>
      </c>
      <c r="BI190" s="22">
        <f>IFERROR((Parameters!$C$26*AI190+Parameters!$C$27*MAX(AI190-(-100),0)+Parameters!$C$28*MAX(AI190-(-25),0)+Parameters!$C$29*MAX(AI190-(25),0)+Parameters!$C$30*MAX(AI190-(100),0)),0)</f>
        <v/>
      </c>
      <c r="BJ190" s="22">
        <f>IFERROR((Parameters!$C$31*AN190+Parameters!$C$32*MAX(AN190-(2),0)+Parameters!$C$33*MAX(AN190-(10),0)+Parameters!$C$34*MAX(AN190-(25),0)),0)</f>
        <v/>
      </c>
      <c r="BK190" s="22">
        <f>IFERROR((Parameters!$C$35*AB190+Parameters!$C$36*MAX(AB190-(12),0)+Parameters!$C$37*MAX(AB190-(24),0)+Parameters!$C$38*MAX(AB190-(60),0)),0)</f>
        <v/>
      </c>
      <c r="BL190" s="22">
        <f>IFERROR((Parameters!$C$39*AC190+Parameters!$C$40*MAX(AC190-(6),0)+Parameters!$C$41*MAX(AC190-(12),0)+Parameters!$C$42*MAX(AC190-(24),0)),0)</f>
        <v/>
      </c>
      <c r="BM190" s="22">
        <f>IFERROR(Parameters!$C$43*(MAX(AM190,0)*MIN(MAX(AK190,0),10))/100,0)</f>
        <v/>
      </c>
      <c r="BN190" s="22">
        <f>Parameters!$C$44*AE190</f>
        <v/>
      </c>
      <c r="BO190" s="22">
        <f>Parameters!$C$45*AU190 + Parameters!$C$46*AV190 + Parameters!$C$47*AW190 + Parameters!$C$48*AX190 + Parameters!$C$49*AY190 + Parameters!$C$50*AZ190 + Parameters!$C$51*BA190</f>
        <v/>
      </c>
      <c r="BP190" s="22">
        <f>Parameters!$C$52*AQ190</f>
        <v/>
      </c>
      <c r="BQ190" s="22">
        <f>Parameters!$C$53*AR190+Parameters!$C$54*AS190+Parameters!$C$55*AT190</f>
        <v/>
      </c>
      <c r="BR190" s="22">
        <f>Parameters!$C$56*BB190+Parameters!$C$57*BC190+Parameters!$C$58*BD190+Parameters!$C$59*BE190</f>
        <v/>
      </c>
      <c r="BS190" s="23">
        <f>Parameters!$B$2</f>
        <v/>
      </c>
      <c r="BT190" s="23">
        <f>BS190+BF190 + BG190 + BH190 + BI190 + BJ190 + BK190 + BL190 + BM190 + BN190 + BO190 + BP190 + BQ190 + BR190</f>
        <v/>
      </c>
      <c r="BU190" s="24">
        <f>IF(AD190=1,0,1/(1+EXP(-BT190))*Parameters!$B$3)</f>
        <v/>
      </c>
      <c r="BV190" s="25">
        <f>(1-(1-BU190)^12)*100</f>
        <v/>
      </c>
      <c r="BW190" s="25">
        <f>IF(AD190=1,0,(1-(1-1/(1+EXP(-Parameters!$B$2)))^12)*100)</f>
        <v/>
      </c>
      <c r="BX190" s="25">
        <f>IF(AD190=1,0,BV190-(1-(1-(1/(1+EXP(-(BT190-BF190)))*Parameters!$B$3))^12)*100)</f>
        <v/>
      </c>
      <c r="BY190" s="25">
        <f>IF(AD190=1,0,BV190-(1-(1-(1/(1+EXP(-(BT190-BG190)))*Parameters!$B$3))^12)*100)</f>
        <v/>
      </c>
      <c r="BZ190" s="25">
        <f>IF(AD190=1,0,BV190-(1-(1-(1/(1+EXP(-(BT190-BH190)))*Parameters!$B$3))^12)*100)</f>
        <v/>
      </c>
      <c r="CA190" s="25">
        <f>IF(AD190=1,0,BV190-(1-(1-(1/(1+EXP(-(BT190-BI190)))*Parameters!$B$3))^12)*100)</f>
        <v/>
      </c>
      <c r="CB190" s="25">
        <f>IF(AD190=1,0,BV190-(1-(1-(1/(1+EXP(-(BT190-BJ190)))*Parameters!$B$3))^12)*100)</f>
        <v/>
      </c>
      <c r="CC190" s="25">
        <f>IF(AD190=1,0,BV190-(1-(1-(1/(1+EXP(-(BT190-BK190)))*Parameters!$B$3))^12)*100)</f>
        <v/>
      </c>
      <c r="CD190" s="25">
        <f>IF(AD190=1,0,BV190-(1-(1-(1/(1+EXP(-(BT190-BL190)))*Parameters!$B$3))^12)*100)</f>
        <v/>
      </c>
      <c r="CE190" s="25">
        <f>IF(AD190=1,0,BV190-(1-(1-(1/(1+EXP(-(BT190-BM190)))*Parameters!$B$3))^12)*100)</f>
        <v/>
      </c>
      <c r="CF190" s="25">
        <f>IF(AD190=1,0,BV190-(1-(1-(1/(1+EXP(-(BT190-BN190)))*Parameters!$B$3))^12)*100)</f>
        <v/>
      </c>
      <c r="CG190" s="25">
        <f>IF(AD190=1,0,BV190-(1-(1-(1/(1+EXP(-(BT190-BO190)))*Parameters!$B$3))^12)*100)</f>
        <v/>
      </c>
      <c r="CH190" s="25">
        <f>IF(AD190=1,0,BV190-(1-(1-(1/(1+EXP(-(BT190-BP190)))*Parameters!$B$3))^12)*100)</f>
        <v/>
      </c>
      <c r="CI190" s="25">
        <f>IF(AD190=1,0,BV190-(1-(1-(1/(1+EXP(-(BT190-BQ190)))*Parameters!$B$3))^12)*100)</f>
        <v/>
      </c>
      <c r="CJ190" s="25">
        <f>IF(AD190=1,0,BV190-(1-(1-(1/(1+EXP(-(BT190-BR190)))*Parameters!$B$3))^12)*100)</f>
        <v/>
      </c>
    </row>
    <row r="191">
      <c r="A191" s="17" t="inlineStr">
        <is>
          <t>GNR_DIVERSE</t>
        </is>
      </c>
      <c r="B191" s="17" t="inlineStr">
        <is>
          <t>3617NM5A8</t>
        </is>
      </c>
      <c r="C191" s="17" t="inlineStr">
        <is>
          <t>LM</t>
        </is>
      </c>
      <c r="D191" s="17" t="inlineStr">
        <is>
          <t>GERSHMAN INVESTMENT CORP.</t>
        </is>
      </c>
      <c r="E191" s="17" t="inlineStr">
        <is>
          <t>3617NM5A8_000000009211425</t>
        </is>
      </c>
      <c r="F191" s="17" t="n">
        <v>202603</v>
      </c>
      <c r="G191" s="18" t="n">
        <v>3.1</v>
      </c>
      <c r="H191" s="19" t="n">
        <v>903491.14</v>
      </c>
      <c r="I191" s="17" t="n">
        <v>375</v>
      </c>
      <c r="J191" s="17" t="n">
        <v>20200601</v>
      </c>
      <c r="K191" s="17" t="n">
        <v>20511001</v>
      </c>
      <c r="L191" s="17" t="n"/>
      <c r="M191" s="17" t="n">
        <v>20300801</v>
      </c>
      <c r="N191" s="17" t="n">
        <v>10</v>
      </c>
      <c r="O191" s="17" t="inlineStr">
        <is>
          <t>207/223(F) 223(A)(7)</t>
        </is>
      </c>
      <c r="P191" s="17" t="inlineStr">
        <is>
          <t>BAF</t>
        </is>
      </c>
      <c r="Q191" s="17" t="inlineStr">
        <is>
          <t>M</t>
        </is>
      </c>
      <c r="R191" s="17" t="n"/>
      <c r="S191" s="17" t="n">
        <v>1</v>
      </c>
      <c r="T191" s="17" t="inlineStr">
        <is>
          <t>MN</t>
        </is>
      </c>
      <c r="U191" s="17" t="n">
        <v>24</v>
      </c>
      <c r="V191" s="17" t="n">
        <v>490.5</v>
      </c>
      <c r="W191" s="17" t="n">
        <v>69</v>
      </c>
      <c r="X191" s="17" t="n">
        <v>2020</v>
      </c>
      <c r="Y191" s="17" t="n">
        <v>25</v>
      </c>
      <c r="Z191" s="17" t="n">
        <v>8</v>
      </c>
      <c r="AA191" s="20">
        <f>IF(ISNUMBER(W191),W191,IFERROR(MAX(0,(VALUE(LEFT(F191,4))-VALUE(LEFT(TEXT(J191,"00000000"),4)))*12+(VALUE(MID(F191,5,2))-VALUE(MID(TEXT(J191,"00000000"),5,2)))),""))</f>
        <v/>
      </c>
      <c r="AB191" s="20">
        <f>IFERROR((VALUE(LEFT(TEXT(K191,"00000000"),4))-VALUE(LEFT(F191,4)))*12+(VALUE(MID(TEXT(K191,"00000000"),5,2))-VALUE(MID(F191,5,2))),"")</f>
        <v/>
      </c>
      <c r="AC191" s="20">
        <f>IF(OR(L191="",NOT(ISNUMBER(L191))),0,MAX(0,MIN(60,(VALUE(LEFT(F191,4))-VALUE(LEFT(TEXT(L191,"00000000"),4)))*12+(VALUE(MID(F191,5,2))-VALUE(MID(TEXT(L191,"00000000"),5,2))))))</f>
        <v/>
      </c>
      <c r="AD191" s="20">
        <f>IF(OR(L191="",NOT(ISNUMBER(L191))),0,IF(VALUE(F191)&lt;VALUE(LEFT(TEXT(L191,"00000000"),6)),1,0))</f>
        <v/>
      </c>
      <c r="AE191" s="20">
        <f>IF(OR(M191="",NOT(ISNUMBER(M191))),0,IF(VALUE(F191)&lt;VALUE(LEFT(TEXT(M191,"00000000"),6)),1,0))</f>
        <v/>
      </c>
      <c r="AF191" s="20">
        <f>IF(AND(AD191=0,AE191=0),1,0)</f>
        <v/>
      </c>
      <c r="AG191" s="20">
        <f>IF(ISNUMBER(X191),X191,IFERROR(VALUE(LEFT(TEXT(J191,"00000000"),4)),""))</f>
        <v/>
      </c>
      <c r="AH191" s="20">
        <f>IFERROR(XLOOKUP(AG191,Vintage_Rates!$A$2:$A$1000,Vintage_Rates!$B$2:$B$1000,""),"")</f>
        <v/>
      </c>
      <c r="AI191" s="20">
        <f>IF(ISNUMBER(Y191),Y191,IFERROR((G191-AH191)*100,""))</f>
        <v/>
      </c>
      <c r="AJ191" s="20">
        <f>IF(ISNUMBER(V191),V191,IFERROR(XLOOKUP(VALUE(F191),PLC_Rates!$A$2:$A$1000,PLC_Rates!$B$2:$B$1000,""),""))</f>
        <v/>
      </c>
      <c r="AK191" s="20">
        <f>IF(ISNUMBER(Z191),Z191,IF(AE191=0,0,MAX(0,MIN(10,((VALUE(LEFT(TEXT(M191,"00000000"),4))-VALUE(LEFT(F191,4)))*12+(VALUE(MID(TEXT(M191,"00000000"),5,2))-VALUE(MID(F191,5,2))))/12))))</f>
        <v/>
      </c>
      <c r="AL191" s="20">
        <f>IFERROR(G191*100-AJ191,"")</f>
        <v/>
      </c>
      <c r="AM191" s="20">
        <f>IFERROR(G191*100-(AJ191+(1+AK191)*12.5),"")</f>
        <v/>
      </c>
      <c r="AN191" s="21">
        <f>IFERROR(MIN(H191/1000000,100),"")</f>
        <v/>
      </c>
      <c r="AO191" s="20">
        <f>IFERROR(INDEX(FHA_Lookup!$B$2:$B$11,MATCH(TRUE,ISNUMBER(SEARCH(FHA_Lookup!$A$2:$A$11,UPPER(SUBSTITUTE(O191," ","")))),0)),"OTHER")</f>
        <v/>
      </c>
      <c r="AP191" s="20">
        <f>IFERROR(INDEX(FHA_Lookup!$C$2:$C$11,MATCH(TRUE,ISNUMBER(SEARCH(FHA_Lookup!$A$2:$A$11,UPPER(SUBSTITUTE(O191," ","")))),0)),"OTHER")</f>
        <v/>
      </c>
      <c r="AQ191" s="20">
        <f>IF(AP191="NC",1,0)</f>
        <v/>
      </c>
      <c r="AR191" s="20">
        <f>IF(UPPER(TRIM(P191))="AFF",1,0)</f>
        <v/>
      </c>
      <c r="AS191" s="20">
        <f>IF(UPPER(TRIM(P191))="BAF",1,0)</f>
        <v/>
      </c>
      <c r="AT191" s="20">
        <f>IF(UPPER(TRIM(P191))="MKT",1,0)</f>
        <v/>
      </c>
      <c r="AU191" s="20">
        <f>IF(AO191="221d4",1,0)</f>
        <v/>
      </c>
      <c r="AV191" s="20">
        <f>IF(AO191="223a7",1,0)</f>
        <v/>
      </c>
      <c r="AW191" s="20">
        <f>IF(AO191="232",1,0)</f>
        <v/>
      </c>
      <c r="AX191" s="20">
        <f>IF(AO191="538",1,0)</f>
        <v/>
      </c>
      <c r="AY191" s="20">
        <f>IF(AO191="241",1,0)</f>
        <v/>
      </c>
      <c r="AZ191" s="20">
        <f>IF(AO191="220",1,0)</f>
        <v/>
      </c>
      <c r="BA191" s="20">
        <f>IF(AO191="OTHER",1,0)</f>
        <v/>
      </c>
      <c r="BB191" s="20">
        <f>IF(UPPER(TRIM(C191))="LM",1,0)</f>
        <v/>
      </c>
      <c r="BC191" s="20">
        <f>IF(UPPER(TRIM(C191))="PN",1,0)</f>
        <v/>
      </c>
      <c r="BD191" s="20">
        <f>IF(UPPER(TRIM(C191))="LS",1,0)</f>
        <v/>
      </c>
      <c r="BE191" s="20">
        <f>IF(UPPER(TRIM(C191))="RX",1,0)</f>
        <v/>
      </c>
      <c r="BF191" s="22">
        <f>IFERROR((Parameters!$C$6*AM191+Parameters!$C$7*MAX(AM191-(-150),0)+Parameters!$C$8*MAX(AM191-(-50),0)+Parameters!$C$9*MAX(AM191-(0),0)+Parameters!$C$10*MAX(AM191-(50),0)+Parameters!$C$11*MAX(AM191-(100),0)+Parameters!$C$12*MAX(AM191-(150),0)+Parameters!$C$13*MAX(AM191-(250),0)),0)</f>
        <v/>
      </c>
      <c r="BG191" s="22">
        <f>IFERROR((Parameters!$C$14*AA191+Parameters!$C$15*MAX(AA191-(12),0)+Parameters!$C$16*MAX(AA191-(36),0)+Parameters!$C$17*MAX(AA191-(60),0)+Parameters!$C$18*MAX(AA191-(84),0)+Parameters!$C$19*MAX(AA191-(120),0)+Parameters!$C$20*MAX(AA191-(180),0)),0)</f>
        <v/>
      </c>
      <c r="BH191" s="22">
        <f>IFERROR((Parameters!$C$21*AK191+Parameters!$C$22*MAX(AK191-(0),0)+Parameters!$C$23*MAX(AK191-(2),0)+Parameters!$C$24*MAX(AK191-(5),0)+Parameters!$C$25*MAX(AK191-(8),0)),0)</f>
        <v/>
      </c>
      <c r="BI191" s="22">
        <f>IFERROR((Parameters!$C$26*AI191+Parameters!$C$27*MAX(AI191-(-100),0)+Parameters!$C$28*MAX(AI191-(-25),0)+Parameters!$C$29*MAX(AI191-(25),0)+Parameters!$C$30*MAX(AI191-(100),0)),0)</f>
        <v/>
      </c>
      <c r="BJ191" s="22">
        <f>IFERROR((Parameters!$C$31*AN191+Parameters!$C$32*MAX(AN191-(2),0)+Parameters!$C$33*MAX(AN191-(10),0)+Parameters!$C$34*MAX(AN191-(25),0)),0)</f>
        <v/>
      </c>
      <c r="BK191" s="22">
        <f>IFERROR((Parameters!$C$35*AB191+Parameters!$C$36*MAX(AB191-(12),0)+Parameters!$C$37*MAX(AB191-(24),0)+Parameters!$C$38*MAX(AB191-(60),0)),0)</f>
        <v/>
      </c>
      <c r="BL191" s="22">
        <f>IFERROR((Parameters!$C$39*AC191+Parameters!$C$40*MAX(AC191-(6),0)+Parameters!$C$41*MAX(AC191-(12),0)+Parameters!$C$42*MAX(AC191-(24),0)),0)</f>
        <v/>
      </c>
      <c r="BM191" s="22">
        <f>IFERROR(Parameters!$C$43*(MAX(AM191,0)*MIN(MAX(AK191,0),10))/100,0)</f>
        <v/>
      </c>
      <c r="BN191" s="22">
        <f>Parameters!$C$44*AE191</f>
        <v/>
      </c>
      <c r="BO191" s="22">
        <f>Parameters!$C$45*AU191 + Parameters!$C$46*AV191 + Parameters!$C$47*AW191 + Parameters!$C$48*AX191 + Parameters!$C$49*AY191 + Parameters!$C$50*AZ191 + Parameters!$C$51*BA191</f>
        <v/>
      </c>
      <c r="BP191" s="22">
        <f>Parameters!$C$52*AQ191</f>
        <v/>
      </c>
      <c r="BQ191" s="22">
        <f>Parameters!$C$53*AR191+Parameters!$C$54*AS191+Parameters!$C$55*AT191</f>
        <v/>
      </c>
      <c r="BR191" s="22">
        <f>Parameters!$C$56*BB191+Parameters!$C$57*BC191+Parameters!$C$58*BD191+Parameters!$C$59*BE191</f>
        <v/>
      </c>
      <c r="BS191" s="23">
        <f>Parameters!$B$2</f>
        <v/>
      </c>
      <c r="BT191" s="23">
        <f>BS191+BF191 + BG191 + BH191 + BI191 + BJ191 + BK191 + BL191 + BM191 + BN191 + BO191 + BP191 + BQ191 + BR191</f>
        <v/>
      </c>
      <c r="BU191" s="24">
        <f>IF(AD191=1,0,1/(1+EXP(-BT191))*Parameters!$B$3)</f>
        <v/>
      </c>
      <c r="BV191" s="25">
        <f>(1-(1-BU191)^12)*100</f>
        <v/>
      </c>
      <c r="BW191" s="25">
        <f>IF(AD191=1,0,(1-(1-1/(1+EXP(-Parameters!$B$2)))^12)*100)</f>
        <v/>
      </c>
      <c r="BX191" s="25">
        <f>IF(AD191=1,0,BV191-(1-(1-(1/(1+EXP(-(BT191-BF191)))*Parameters!$B$3))^12)*100)</f>
        <v/>
      </c>
      <c r="BY191" s="25">
        <f>IF(AD191=1,0,BV191-(1-(1-(1/(1+EXP(-(BT191-BG191)))*Parameters!$B$3))^12)*100)</f>
        <v/>
      </c>
      <c r="BZ191" s="25">
        <f>IF(AD191=1,0,BV191-(1-(1-(1/(1+EXP(-(BT191-BH191)))*Parameters!$B$3))^12)*100)</f>
        <v/>
      </c>
      <c r="CA191" s="25">
        <f>IF(AD191=1,0,BV191-(1-(1-(1/(1+EXP(-(BT191-BI191)))*Parameters!$B$3))^12)*100)</f>
        <v/>
      </c>
      <c r="CB191" s="25">
        <f>IF(AD191=1,0,BV191-(1-(1-(1/(1+EXP(-(BT191-BJ191)))*Parameters!$B$3))^12)*100)</f>
        <v/>
      </c>
      <c r="CC191" s="25">
        <f>IF(AD191=1,0,BV191-(1-(1-(1/(1+EXP(-(BT191-BK191)))*Parameters!$B$3))^12)*100)</f>
        <v/>
      </c>
      <c r="CD191" s="25">
        <f>IF(AD191=1,0,BV191-(1-(1-(1/(1+EXP(-(BT191-BL191)))*Parameters!$B$3))^12)*100)</f>
        <v/>
      </c>
      <c r="CE191" s="25">
        <f>IF(AD191=1,0,BV191-(1-(1-(1/(1+EXP(-(BT191-BM191)))*Parameters!$B$3))^12)*100)</f>
        <v/>
      </c>
      <c r="CF191" s="25">
        <f>IF(AD191=1,0,BV191-(1-(1-(1/(1+EXP(-(BT191-BN191)))*Parameters!$B$3))^12)*100)</f>
        <v/>
      </c>
      <c r="CG191" s="25">
        <f>IF(AD191=1,0,BV191-(1-(1-(1/(1+EXP(-(BT191-BO191)))*Parameters!$B$3))^12)*100)</f>
        <v/>
      </c>
      <c r="CH191" s="25">
        <f>IF(AD191=1,0,BV191-(1-(1-(1/(1+EXP(-(BT191-BP191)))*Parameters!$B$3))^12)*100)</f>
        <v/>
      </c>
      <c r="CI191" s="25">
        <f>IF(AD191=1,0,BV191-(1-(1-(1/(1+EXP(-(BT191-BQ191)))*Parameters!$B$3))^12)*100)</f>
        <v/>
      </c>
      <c r="CJ191" s="25">
        <f>IF(AD191=1,0,BV191-(1-(1-(1/(1+EXP(-(BT191-BR191)))*Parameters!$B$3))^12)*100)</f>
        <v/>
      </c>
    </row>
    <row r="192">
      <c r="A192" s="17" t="inlineStr">
        <is>
          <t>GNR_DIVERSE</t>
        </is>
      </c>
      <c r="B192" s="17" t="inlineStr">
        <is>
          <t>3617X75K8</t>
        </is>
      </c>
      <c r="C192" s="17" t="inlineStr">
        <is>
          <t>PN</t>
        </is>
      </c>
      <c r="D192" s="17" t="inlineStr">
        <is>
          <t>LUMENT REAL ESTATE CAPITAL,LLC</t>
        </is>
      </c>
      <c r="E192" s="17" t="inlineStr">
        <is>
          <t>3617X75K8_000000011335916</t>
        </is>
      </c>
      <c r="F192" s="17" t="n">
        <v>202603</v>
      </c>
      <c r="G192" s="18" t="n">
        <v>2.88</v>
      </c>
      <c r="H192" s="19" t="n">
        <v>42464413.93</v>
      </c>
      <c r="I192" s="17" t="n">
        <v>505</v>
      </c>
      <c r="J192" s="17" t="n">
        <v>20220218</v>
      </c>
      <c r="K192" s="17" t="n">
        <v>20640401</v>
      </c>
      <c r="L192" s="17" t="n"/>
      <c r="M192" s="17" t="n">
        <v>20340501</v>
      </c>
      <c r="N192" s="17" t="n">
        <v>10</v>
      </c>
      <c r="O192" s="17" t="inlineStr">
        <is>
          <t>221(D)(4)</t>
        </is>
      </c>
      <c r="P192" s="17" t="inlineStr">
        <is>
          <t>MKT</t>
        </is>
      </c>
      <c r="Q192" s="17" t="n"/>
      <c r="R192" s="17" t="n"/>
      <c r="S192" s="17" t="n"/>
      <c r="T192" s="17" t="inlineStr">
        <is>
          <t>TX</t>
        </is>
      </c>
      <c r="U192" s="17" t="n">
        <v>265</v>
      </c>
      <c r="V192" s="17" t="n">
        <v>490.5</v>
      </c>
      <c r="W192" s="17" t="n">
        <v>49</v>
      </c>
      <c r="X192" s="17" t="n">
        <v>2022</v>
      </c>
      <c r="Y192" s="17" t="n">
        <v>-87</v>
      </c>
      <c r="Z192" s="17" t="n">
        <v>9</v>
      </c>
      <c r="AA192" s="20">
        <f>IF(ISNUMBER(W192),W192,IFERROR(MAX(0,(VALUE(LEFT(F192,4))-VALUE(LEFT(TEXT(J192,"00000000"),4)))*12+(VALUE(MID(F192,5,2))-VALUE(MID(TEXT(J192,"00000000"),5,2)))),""))</f>
        <v/>
      </c>
      <c r="AB192" s="20">
        <f>IFERROR((VALUE(LEFT(TEXT(K192,"00000000"),4))-VALUE(LEFT(F192,4)))*12+(VALUE(MID(TEXT(K192,"00000000"),5,2))-VALUE(MID(F192,5,2))),"")</f>
        <v/>
      </c>
      <c r="AC192" s="20">
        <f>IF(OR(L192="",NOT(ISNUMBER(L192))),0,MAX(0,MIN(60,(VALUE(LEFT(F192,4))-VALUE(LEFT(TEXT(L192,"00000000"),4)))*12+(VALUE(MID(F192,5,2))-VALUE(MID(TEXT(L192,"00000000"),5,2))))))</f>
        <v/>
      </c>
      <c r="AD192" s="20">
        <f>IF(OR(L192="",NOT(ISNUMBER(L192))),0,IF(VALUE(F192)&lt;VALUE(LEFT(TEXT(L192,"00000000"),6)),1,0))</f>
        <v/>
      </c>
      <c r="AE192" s="20">
        <f>IF(OR(M192="",NOT(ISNUMBER(M192))),0,IF(VALUE(F192)&lt;VALUE(LEFT(TEXT(M192,"00000000"),6)),1,0))</f>
        <v/>
      </c>
      <c r="AF192" s="20">
        <f>IF(AND(AD192=0,AE192=0),1,0)</f>
        <v/>
      </c>
      <c r="AG192" s="20">
        <f>IF(ISNUMBER(X192),X192,IFERROR(VALUE(LEFT(TEXT(J192,"00000000"),4)),""))</f>
        <v/>
      </c>
      <c r="AH192" s="20">
        <f>IFERROR(XLOOKUP(AG192,Vintage_Rates!$A$2:$A$1000,Vintage_Rates!$B$2:$B$1000,""),"")</f>
        <v/>
      </c>
      <c r="AI192" s="20">
        <f>IF(ISNUMBER(Y192),Y192,IFERROR((G192-AH192)*100,""))</f>
        <v/>
      </c>
      <c r="AJ192" s="20">
        <f>IF(ISNUMBER(V192),V192,IFERROR(XLOOKUP(VALUE(F192),PLC_Rates!$A$2:$A$1000,PLC_Rates!$B$2:$B$1000,""),""))</f>
        <v/>
      </c>
      <c r="AK192" s="20">
        <f>IF(ISNUMBER(Z192),Z192,IF(AE192=0,0,MAX(0,MIN(10,((VALUE(LEFT(TEXT(M192,"00000000"),4))-VALUE(LEFT(F192,4)))*12+(VALUE(MID(TEXT(M192,"00000000"),5,2))-VALUE(MID(F192,5,2))))/12))))</f>
        <v/>
      </c>
      <c r="AL192" s="20">
        <f>IFERROR(G192*100-AJ192,"")</f>
        <v/>
      </c>
      <c r="AM192" s="20">
        <f>IFERROR(G192*100-(AJ192+(1+AK192)*12.5),"")</f>
        <v/>
      </c>
      <c r="AN192" s="21">
        <f>IFERROR(MIN(H192/1000000,100),"")</f>
        <v/>
      </c>
      <c r="AO192" s="20">
        <f>IFERROR(INDEX(FHA_Lookup!$B$2:$B$11,MATCH(TRUE,ISNUMBER(SEARCH(FHA_Lookup!$A$2:$A$11,UPPER(SUBSTITUTE(O192," ","")))),0)),"OTHER")</f>
        <v/>
      </c>
      <c r="AP192" s="20">
        <f>IFERROR(INDEX(FHA_Lookup!$C$2:$C$11,MATCH(TRUE,ISNUMBER(SEARCH(FHA_Lookup!$A$2:$A$11,UPPER(SUBSTITUTE(O192," ","")))),0)),"OTHER")</f>
        <v/>
      </c>
      <c r="AQ192" s="20">
        <f>IF(AP192="NC",1,0)</f>
        <v/>
      </c>
      <c r="AR192" s="20">
        <f>IF(UPPER(TRIM(P192))="AFF",1,0)</f>
        <v/>
      </c>
      <c r="AS192" s="20">
        <f>IF(UPPER(TRIM(P192))="BAF",1,0)</f>
        <v/>
      </c>
      <c r="AT192" s="20">
        <f>IF(UPPER(TRIM(P192))="MKT",1,0)</f>
        <v/>
      </c>
      <c r="AU192" s="20">
        <f>IF(AO192="221d4",1,0)</f>
        <v/>
      </c>
      <c r="AV192" s="20">
        <f>IF(AO192="223a7",1,0)</f>
        <v/>
      </c>
      <c r="AW192" s="20">
        <f>IF(AO192="232",1,0)</f>
        <v/>
      </c>
      <c r="AX192" s="20">
        <f>IF(AO192="538",1,0)</f>
        <v/>
      </c>
      <c r="AY192" s="20">
        <f>IF(AO192="241",1,0)</f>
        <v/>
      </c>
      <c r="AZ192" s="20">
        <f>IF(AO192="220",1,0)</f>
        <v/>
      </c>
      <c r="BA192" s="20">
        <f>IF(AO192="OTHER",1,0)</f>
        <v/>
      </c>
      <c r="BB192" s="20">
        <f>IF(UPPER(TRIM(C192))="LM",1,0)</f>
        <v/>
      </c>
      <c r="BC192" s="20">
        <f>IF(UPPER(TRIM(C192))="PN",1,0)</f>
        <v/>
      </c>
      <c r="BD192" s="20">
        <f>IF(UPPER(TRIM(C192))="LS",1,0)</f>
        <v/>
      </c>
      <c r="BE192" s="20">
        <f>IF(UPPER(TRIM(C192))="RX",1,0)</f>
        <v/>
      </c>
      <c r="BF192" s="22">
        <f>IFERROR((Parameters!$C$6*AM192+Parameters!$C$7*MAX(AM192-(-150),0)+Parameters!$C$8*MAX(AM192-(-50),0)+Parameters!$C$9*MAX(AM192-(0),0)+Parameters!$C$10*MAX(AM192-(50),0)+Parameters!$C$11*MAX(AM192-(100),0)+Parameters!$C$12*MAX(AM192-(150),0)+Parameters!$C$13*MAX(AM192-(250),0)),0)</f>
        <v/>
      </c>
      <c r="BG192" s="22">
        <f>IFERROR((Parameters!$C$14*AA192+Parameters!$C$15*MAX(AA192-(12),0)+Parameters!$C$16*MAX(AA192-(36),0)+Parameters!$C$17*MAX(AA192-(60),0)+Parameters!$C$18*MAX(AA192-(84),0)+Parameters!$C$19*MAX(AA192-(120),0)+Parameters!$C$20*MAX(AA192-(180),0)),0)</f>
        <v/>
      </c>
      <c r="BH192" s="22">
        <f>IFERROR((Parameters!$C$21*AK192+Parameters!$C$22*MAX(AK192-(0),0)+Parameters!$C$23*MAX(AK192-(2),0)+Parameters!$C$24*MAX(AK192-(5),0)+Parameters!$C$25*MAX(AK192-(8),0)),0)</f>
        <v/>
      </c>
      <c r="BI192" s="22">
        <f>IFERROR((Parameters!$C$26*AI192+Parameters!$C$27*MAX(AI192-(-100),0)+Parameters!$C$28*MAX(AI192-(-25),0)+Parameters!$C$29*MAX(AI192-(25),0)+Parameters!$C$30*MAX(AI192-(100),0)),0)</f>
        <v/>
      </c>
      <c r="BJ192" s="22">
        <f>IFERROR((Parameters!$C$31*AN192+Parameters!$C$32*MAX(AN192-(2),0)+Parameters!$C$33*MAX(AN192-(10),0)+Parameters!$C$34*MAX(AN192-(25),0)),0)</f>
        <v/>
      </c>
      <c r="BK192" s="22">
        <f>IFERROR((Parameters!$C$35*AB192+Parameters!$C$36*MAX(AB192-(12),0)+Parameters!$C$37*MAX(AB192-(24),0)+Parameters!$C$38*MAX(AB192-(60),0)),0)</f>
        <v/>
      </c>
      <c r="BL192" s="22">
        <f>IFERROR((Parameters!$C$39*AC192+Parameters!$C$40*MAX(AC192-(6),0)+Parameters!$C$41*MAX(AC192-(12),0)+Parameters!$C$42*MAX(AC192-(24),0)),0)</f>
        <v/>
      </c>
      <c r="BM192" s="22">
        <f>IFERROR(Parameters!$C$43*(MAX(AM192,0)*MIN(MAX(AK192,0),10))/100,0)</f>
        <v/>
      </c>
      <c r="BN192" s="22">
        <f>Parameters!$C$44*AE192</f>
        <v/>
      </c>
      <c r="BO192" s="22">
        <f>Parameters!$C$45*AU192 + Parameters!$C$46*AV192 + Parameters!$C$47*AW192 + Parameters!$C$48*AX192 + Parameters!$C$49*AY192 + Parameters!$C$50*AZ192 + Parameters!$C$51*BA192</f>
        <v/>
      </c>
      <c r="BP192" s="22">
        <f>Parameters!$C$52*AQ192</f>
        <v/>
      </c>
      <c r="BQ192" s="22">
        <f>Parameters!$C$53*AR192+Parameters!$C$54*AS192+Parameters!$C$55*AT192</f>
        <v/>
      </c>
      <c r="BR192" s="22">
        <f>Parameters!$C$56*BB192+Parameters!$C$57*BC192+Parameters!$C$58*BD192+Parameters!$C$59*BE192</f>
        <v/>
      </c>
      <c r="BS192" s="23">
        <f>Parameters!$B$2</f>
        <v/>
      </c>
      <c r="BT192" s="23">
        <f>BS192+BF192 + BG192 + BH192 + BI192 + BJ192 + BK192 + BL192 + BM192 + BN192 + BO192 + BP192 + BQ192 + BR192</f>
        <v/>
      </c>
      <c r="BU192" s="24">
        <f>IF(AD192=1,0,1/(1+EXP(-BT192))*Parameters!$B$3)</f>
        <v/>
      </c>
      <c r="BV192" s="25">
        <f>(1-(1-BU192)^12)*100</f>
        <v/>
      </c>
      <c r="BW192" s="25">
        <f>IF(AD192=1,0,(1-(1-1/(1+EXP(-Parameters!$B$2)))^12)*100)</f>
        <v/>
      </c>
      <c r="BX192" s="25">
        <f>IF(AD192=1,0,BV192-(1-(1-(1/(1+EXP(-(BT192-BF192)))*Parameters!$B$3))^12)*100)</f>
        <v/>
      </c>
      <c r="BY192" s="25">
        <f>IF(AD192=1,0,BV192-(1-(1-(1/(1+EXP(-(BT192-BG192)))*Parameters!$B$3))^12)*100)</f>
        <v/>
      </c>
      <c r="BZ192" s="25">
        <f>IF(AD192=1,0,BV192-(1-(1-(1/(1+EXP(-(BT192-BH192)))*Parameters!$B$3))^12)*100)</f>
        <v/>
      </c>
      <c r="CA192" s="25">
        <f>IF(AD192=1,0,BV192-(1-(1-(1/(1+EXP(-(BT192-BI192)))*Parameters!$B$3))^12)*100)</f>
        <v/>
      </c>
      <c r="CB192" s="25">
        <f>IF(AD192=1,0,BV192-(1-(1-(1/(1+EXP(-(BT192-BJ192)))*Parameters!$B$3))^12)*100)</f>
        <v/>
      </c>
      <c r="CC192" s="25">
        <f>IF(AD192=1,0,BV192-(1-(1-(1/(1+EXP(-(BT192-BK192)))*Parameters!$B$3))^12)*100)</f>
        <v/>
      </c>
      <c r="CD192" s="25">
        <f>IF(AD192=1,0,BV192-(1-(1-(1/(1+EXP(-(BT192-BL192)))*Parameters!$B$3))^12)*100)</f>
        <v/>
      </c>
      <c r="CE192" s="25">
        <f>IF(AD192=1,0,BV192-(1-(1-(1/(1+EXP(-(BT192-BM192)))*Parameters!$B$3))^12)*100)</f>
        <v/>
      </c>
      <c r="CF192" s="25">
        <f>IF(AD192=1,0,BV192-(1-(1-(1/(1+EXP(-(BT192-BN192)))*Parameters!$B$3))^12)*100)</f>
        <v/>
      </c>
      <c r="CG192" s="25">
        <f>IF(AD192=1,0,BV192-(1-(1-(1/(1+EXP(-(BT192-BO192)))*Parameters!$B$3))^12)*100)</f>
        <v/>
      </c>
      <c r="CH192" s="25">
        <f>IF(AD192=1,0,BV192-(1-(1-(1/(1+EXP(-(BT192-BP192)))*Parameters!$B$3))^12)*100)</f>
        <v/>
      </c>
      <c r="CI192" s="25">
        <f>IF(AD192=1,0,BV192-(1-(1-(1/(1+EXP(-(BT192-BQ192)))*Parameters!$B$3))^12)*100)</f>
        <v/>
      </c>
      <c r="CJ192" s="25">
        <f>IF(AD192=1,0,BV192-(1-(1-(1/(1+EXP(-(BT192-BR192)))*Parameters!$B$3))^12)*100)</f>
        <v/>
      </c>
    </row>
    <row r="193">
      <c r="A193" s="17" t="inlineStr">
        <is>
          <t>GNR_DIVERSE</t>
        </is>
      </c>
      <c r="B193" s="17" t="inlineStr">
        <is>
          <t>3617X2WB9</t>
        </is>
      </c>
      <c r="C193" s="17" t="inlineStr">
        <is>
          <t>PN</t>
        </is>
      </c>
      <c r="D193" s="17" t="inlineStr">
        <is>
          <t>BELLWETHER ENTERPRISE REAL ESTATE CAPITA</t>
        </is>
      </c>
      <c r="E193" s="17" t="inlineStr">
        <is>
          <t>3617X2WB9_000000004235729</t>
        </is>
      </c>
      <c r="F193" s="17" t="n">
        <v>202603</v>
      </c>
      <c r="G193" s="18" t="n">
        <v>2.74</v>
      </c>
      <c r="H193" s="19" t="n">
        <v>3489315.1</v>
      </c>
      <c r="I193" s="17" t="n">
        <v>473</v>
      </c>
      <c r="J193" s="17" t="n">
        <v>20211215</v>
      </c>
      <c r="K193" s="17" t="n">
        <v>20630601</v>
      </c>
      <c r="L193" s="17" t="n"/>
      <c r="M193" s="17" t="n">
        <v>20330630</v>
      </c>
      <c r="N193" s="17" t="n">
        <v>10</v>
      </c>
      <c r="O193" s="17" t="inlineStr">
        <is>
          <t>221(D)(4)</t>
        </is>
      </c>
      <c r="P193" s="17" t="inlineStr">
        <is>
          <t>BAF</t>
        </is>
      </c>
      <c r="Q193" s="17" t="n"/>
      <c r="R193" s="17" t="n"/>
      <c r="S193" s="17" t="n"/>
      <c r="T193" s="17" t="inlineStr">
        <is>
          <t>OH</t>
        </is>
      </c>
      <c r="U193" s="17" t="n">
        <v>80</v>
      </c>
      <c r="V193" s="17" t="n">
        <v>490.5</v>
      </c>
      <c r="W193" s="17" t="n">
        <v>51</v>
      </c>
      <c r="X193" s="17" t="n">
        <v>2021</v>
      </c>
      <c r="Y193" s="17" t="n">
        <v>16</v>
      </c>
      <c r="Z193" s="17" t="n">
        <v>9</v>
      </c>
      <c r="AA193" s="20">
        <f>IF(ISNUMBER(W193),W193,IFERROR(MAX(0,(VALUE(LEFT(F193,4))-VALUE(LEFT(TEXT(J193,"00000000"),4)))*12+(VALUE(MID(F193,5,2))-VALUE(MID(TEXT(J193,"00000000"),5,2)))),""))</f>
        <v/>
      </c>
      <c r="AB193" s="20">
        <f>IFERROR((VALUE(LEFT(TEXT(K193,"00000000"),4))-VALUE(LEFT(F193,4)))*12+(VALUE(MID(TEXT(K193,"00000000"),5,2))-VALUE(MID(F193,5,2))),"")</f>
        <v/>
      </c>
      <c r="AC193" s="20">
        <f>IF(OR(L193="",NOT(ISNUMBER(L193))),0,MAX(0,MIN(60,(VALUE(LEFT(F193,4))-VALUE(LEFT(TEXT(L193,"00000000"),4)))*12+(VALUE(MID(F193,5,2))-VALUE(MID(TEXT(L193,"00000000"),5,2))))))</f>
        <v/>
      </c>
      <c r="AD193" s="20">
        <f>IF(OR(L193="",NOT(ISNUMBER(L193))),0,IF(VALUE(F193)&lt;VALUE(LEFT(TEXT(L193,"00000000"),6)),1,0))</f>
        <v/>
      </c>
      <c r="AE193" s="20">
        <f>IF(OR(M193="",NOT(ISNUMBER(M193))),0,IF(VALUE(F193)&lt;VALUE(LEFT(TEXT(M193,"00000000"),6)),1,0))</f>
        <v/>
      </c>
      <c r="AF193" s="20">
        <f>IF(AND(AD193=0,AE193=0),1,0)</f>
        <v/>
      </c>
      <c r="AG193" s="20">
        <f>IF(ISNUMBER(X193),X193,IFERROR(VALUE(LEFT(TEXT(J193,"00000000"),4)),""))</f>
        <v/>
      </c>
      <c r="AH193" s="20">
        <f>IFERROR(XLOOKUP(AG193,Vintage_Rates!$A$2:$A$1000,Vintage_Rates!$B$2:$B$1000,""),"")</f>
        <v/>
      </c>
      <c r="AI193" s="20">
        <f>IF(ISNUMBER(Y193),Y193,IFERROR((G193-AH193)*100,""))</f>
        <v/>
      </c>
      <c r="AJ193" s="20">
        <f>IF(ISNUMBER(V193),V193,IFERROR(XLOOKUP(VALUE(F193),PLC_Rates!$A$2:$A$1000,PLC_Rates!$B$2:$B$1000,""),""))</f>
        <v/>
      </c>
      <c r="AK193" s="20">
        <f>IF(ISNUMBER(Z193),Z193,IF(AE193=0,0,MAX(0,MIN(10,((VALUE(LEFT(TEXT(M193,"00000000"),4))-VALUE(LEFT(F193,4)))*12+(VALUE(MID(TEXT(M193,"00000000"),5,2))-VALUE(MID(F193,5,2))))/12))))</f>
        <v/>
      </c>
      <c r="AL193" s="20">
        <f>IFERROR(G193*100-AJ193,"")</f>
        <v/>
      </c>
      <c r="AM193" s="20">
        <f>IFERROR(G193*100-(AJ193+(1+AK193)*12.5),"")</f>
        <v/>
      </c>
      <c r="AN193" s="21">
        <f>IFERROR(MIN(H193/1000000,100),"")</f>
        <v/>
      </c>
      <c r="AO193" s="20">
        <f>IFERROR(INDEX(FHA_Lookup!$B$2:$B$11,MATCH(TRUE,ISNUMBER(SEARCH(FHA_Lookup!$A$2:$A$11,UPPER(SUBSTITUTE(O193," ","")))),0)),"OTHER")</f>
        <v/>
      </c>
      <c r="AP193" s="20">
        <f>IFERROR(INDEX(FHA_Lookup!$C$2:$C$11,MATCH(TRUE,ISNUMBER(SEARCH(FHA_Lookup!$A$2:$A$11,UPPER(SUBSTITUTE(O193," ","")))),0)),"OTHER")</f>
        <v/>
      </c>
      <c r="AQ193" s="20">
        <f>IF(AP193="NC",1,0)</f>
        <v/>
      </c>
      <c r="AR193" s="20">
        <f>IF(UPPER(TRIM(P193))="AFF",1,0)</f>
        <v/>
      </c>
      <c r="AS193" s="20">
        <f>IF(UPPER(TRIM(P193))="BAF",1,0)</f>
        <v/>
      </c>
      <c r="AT193" s="20">
        <f>IF(UPPER(TRIM(P193))="MKT",1,0)</f>
        <v/>
      </c>
      <c r="AU193" s="20">
        <f>IF(AO193="221d4",1,0)</f>
        <v/>
      </c>
      <c r="AV193" s="20">
        <f>IF(AO193="223a7",1,0)</f>
        <v/>
      </c>
      <c r="AW193" s="20">
        <f>IF(AO193="232",1,0)</f>
        <v/>
      </c>
      <c r="AX193" s="20">
        <f>IF(AO193="538",1,0)</f>
        <v/>
      </c>
      <c r="AY193" s="20">
        <f>IF(AO193="241",1,0)</f>
        <v/>
      </c>
      <c r="AZ193" s="20">
        <f>IF(AO193="220",1,0)</f>
        <v/>
      </c>
      <c r="BA193" s="20">
        <f>IF(AO193="OTHER",1,0)</f>
        <v/>
      </c>
      <c r="BB193" s="20">
        <f>IF(UPPER(TRIM(C193))="LM",1,0)</f>
        <v/>
      </c>
      <c r="BC193" s="20">
        <f>IF(UPPER(TRIM(C193))="PN",1,0)</f>
        <v/>
      </c>
      <c r="BD193" s="20">
        <f>IF(UPPER(TRIM(C193))="LS",1,0)</f>
        <v/>
      </c>
      <c r="BE193" s="20">
        <f>IF(UPPER(TRIM(C193))="RX",1,0)</f>
        <v/>
      </c>
      <c r="BF193" s="22">
        <f>IFERROR((Parameters!$C$6*AM193+Parameters!$C$7*MAX(AM193-(-150),0)+Parameters!$C$8*MAX(AM193-(-50),0)+Parameters!$C$9*MAX(AM193-(0),0)+Parameters!$C$10*MAX(AM193-(50),0)+Parameters!$C$11*MAX(AM193-(100),0)+Parameters!$C$12*MAX(AM193-(150),0)+Parameters!$C$13*MAX(AM193-(250),0)),0)</f>
        <v/>
      </c>
      <c r="BG193" s="22">
        <f>IFERROR((Parameters!$C$14*AA193+Parameters!$C$15*MAX(AA193-(12),0)+Parameters!$C$16*MAX(AA193-(36),0)+Parameters!$C$17*MAX(AA193-(60),0)+Parameters!$C$18*MAX(AA193-(84),0)+Parameters!$C$19*MAX(AA193-(120),0)+Parameters!$C$20*MAX(AA193-(180),0)),0)</f>
        <v/>
      </c>
      <c r="BH193" s="22">
        <f>IFERROR((Parameters!$C$21*AK193+Parameters!$C$22*MAX(AK193-(0),0)+Parameters!$C$23*MAX(AK193-(2),0)+Parameters!$C$24*MAX(AK193-(5),0)+Parameters!$C$25*MAX(AK193-(8),0)),0)</f>
        <v/>
      </c>
      <c r="BI193" s="22">
        <f>IFERROR((Parameters!$C$26*AI193+Parameters!$C$27*MAX(AI193-(-100),0)+Parameters!$C$28*MAX(AI193-(-25),0)+Parameters!$C$29*MAX(AI193-(25),0)+Parameters!$C$30*MAX(AI193-(100),0)),0)</f>
        <v/>
      </c>
      <c r="BJ193" s="22">
        <f>IFERROR((Parameters!$C$31*AN193+Parameters!$C$32*MAX(AN193-(2),0)+Parameters!$C$33*MAX(AN193-(10),0)+Parameters!$C$34*MAX(AN193-(25),0)),0)</f>
        <v/>
      </c>
      <c r="BK193" s="22">
        <f>IFERROR((Parameters!$C$35*AB193+Parameters!$C$36*MAX(AB193-(12),0)+Parameters!$C$37*MAX(AB193-(24),0)+Parameters!$C$38*MAX(AB193-(60),0)),0)</f>
        <v/>
      </c>
      <c r="BL193" s="22">
        <f>IFERROR((Parameters!$C$39*AC193+Parameters!$C$40*MAX(AC193-(6),0)+Parameters!$C$41*MAX(AC193-(12),0)+Parameters!$C$42*MAX(AC193-(24),0)),0)</f>
        <v/>
      </c>
      <c r="BM193" s="22">
        <f>IFERROR(Parameters!$C$43*(MAX(AM193,0)*MIN(MAX(AK193,0),10))/100,0)</f>
        <v/>
      </c>
      <c r="BN193" s="22">
        <f>Parameters!$C$44*AE193</f>
        <v/>
      </c>
      <c r="BO193" s="22">
        <f>Parameters!$C$45*AU193 + Parameters!$C$46*AV193 + Parameters!$C$47*AW193 + Parameters!$C$48*AX193 + Parameters!$C$49*AY193 + Parameters!$C$50*AZ193 + Parameters!$C$51*BA193</f>
        <v/>
      </c>
      <c r="BP193" s="22">
        <f>Parameters!$C$52*AQ193</f>
        <v/>
      </c>
      <c r="BQ193" s="22">
        <f>Parameters!$C$53*AR193+Parameters!$C$54*AS193+Parameters!$C$55*AT193</f>
        <v/>
      </c>
      <c r="BR193" s="22">
        <f>Parameters!$C$56*BB193+Parameters!$C$57*BC193+Parameters!$C$58*BD193+Parameters!$C$59*BE193</f>
        <v/>
      </c>
      <c r="BS193" s="23">
        <f>Parameters!$B$2</f>
        <v/>
      </c>
      <c r="BT193" s="23">
        <f>BS193+BF193 + BG193 + BH193 + BI193 + BJ193 + BK193 + BL193 + BM193 + BN193 + BO193 + BP193 + BQ193 + BR193</f>
        <v/>
      </c>
      <c r="BU193" s="24">
        <f>IF(AD193=1,0,1/(1+EXP(-BT193))*Parameters!$B$3)</f>
        <v/>
      </c>
      <c r="BV193" s="25">
        <f>(1-(1-BU193)^12)*100</f>
        <v/>
      </c>
      <c r="BW193" s="25">
        <f>IF(AD193=1,0,(1-(1-1/(1+EXP(-Parameters!$B$2)))^12)*100)</f>
        <v/>
      </c>
      <c r="BX193" s="25">
        <f>IF(AD193=1,0,BV193-(1-(1-(1/(1+EXP(-(BT193-BF193)))*Parameters!$B$3))^12)*100)</f>
        <v/>
      </c>
      <c r="BY193" s="25">
        <f>IF(AD193=1,0,BV193-(1-(1-(1/(1+EXP(-(BT193-BG193)))*Parameters!$B$3))^12)*100)</f>
        <v/>
      </c>
      <c r="BZ193" s="25">
        <f>IF(AD193=1,0,BV193-(1-(1-(1/(1+EXP(-(BT193-BH193)))*Parameters!$B$3))^12)*100)</f>
        <v/>
      </c>
      <c r="CA193" s="25">
        <f>IF(AD193=1,0,BV193-(1-(1-(1/(1+EXP(-(BT193-BI193)))*Parameters!$B$3))^12)*100)</f>
        <v/>
      </c>
      <c r="CB193" s="25">
        <f>IF(AD193=1,0,BV193-(1-(1-(1/(1+EXP(-(BT193-BJ193)))*Parameters!$B$3))^12)*100)</f>
        <v/>
      </c>
      <c r="CC193" s="25">
        <f>IF(AD193=1,0,BV193-(1-(1-(1/(1+EXP(-(BT193-BK193)))*Parameters!$B$3))^12)*100)</f>
        <v/>
      </c>
      <c r="CD193" s="25">
        <f>IF(AD193=1,0,BV193-(1-(1-(1/(1+EXP(-(BT193-BL193)))*Parameters!$B$3))^12)*100)</f>
        <v/>
      </c>
      <c r="CE193" s="25">
        <f>IF(AD193=1,0,BV193-(1-(1-(1/(1+EXP(-(BT193-BM193)))*Parameters!$B$3))^12)*100)</f>
        <v/>
      </c>
      <c r="CF193" s="25">
        <f>IF(AD193=1,0,BV193-(1-(1-(1/(1+EXP(-(BT193-BN193)))*Parameters!$B$3))^12)*100)</f>
        <v/>
      </c>
      <c r="CG193" s="25">
        <f>IF(AD193=1,0,BV193-(1-(1-(1/(1+EXP(-(BT193-BO193)))*Parameters!$B$3))^12)*100)</f>
        <v/>
      </c>
      <c r="CH193" s="25">
        <f>IF(AD193=1,0,BV193-(1-(1-(1/(1+EXP(-(BT193-BP193)))*Parameters!$B$3))^12)*100)</f>
        <v/>
      </c>
      <c r="CI193" s="25">
        <f>IF(AD193=1,0,BV193-(1-(1-(1/(1+EXP(-(BT193-BQ193)))*Parameters!$B$3))^12)*100)</f>
        <v/>
      </c>
      <c r="CJ193" s="25">
        <f>IF(AD193=1,0,BV193-(1-(1-(1/(1+EXP(-(BT193-BR193)))*Parameters!$B$3))^12)*100)</f>
        <v/>
      </c>
    </row>
    <row r="194">
      <c r="A194" s="17" t="inlineStr">
        <is>
          <t>GNR_DIVERSE</t>
        </is>
      </c>
      <c r="B194" s="17" t="inlineStr">
        <is>
          <t>3617VBYX1</t>
        </is>
      </c>
      <c r="C194" s="17" t="inlineStr">
        <is>
          <t>LM</t>
        </is>
      </c>
      <c r="D194" s="17" t="inlineStr">
        <is>
          <t>CAPITAL ONE, N.A.</t>
        </is>
      </c>
      <c r="E194" s="17" t="inlineStr">
        <is>
          <t>3617VBYX1_000000003435322</t>
        </is>
      </c>
      <c r="F194" s="17" t="n">
        <v>202603</v>
      </c>
      <c r="G194" s="18" t="n">
        <v>3.44</v>
      </c>
      <c r="H194" s="19" t="n">
        <v>40596293.68</v>
      </c>
      <c r="I194" s="17" t="n">
        <v>503</v>
      </c>
      <c r="J194" s="17" t="n">
        <v>20180531</v>
      </c>
      <c r="K194" s="17" t="n">
        <v>20600501</v>
      </c>
      <c r="L194" s="17" t="n">
        <v>20231101</v>
      </c>
      <c r="M194" s="17" t="n">
        <v>20311101</v>
      </c>
      <c r="N194" s="17" t="n">
        <v>8</v>
      </c>
      <c r="O194" s="17" t="inlineStr">
        <is>
          <t>221(d)(4)</t>
        </is>
      </c>
      <c r="P194" s="17" t="inlineStr">
        <is>
          <t>MKT</t>
        </is>
      </c>
      <c r="Q194" s="17" t="inlineStr">
        <is>
          <t>M</t>
        </is>
      </c>
      <c r="R194" s="17" t="n"/>
      <c r="S194" s="17" t="n">
        <v>1</v>
      </c>
      <c r="T194" s="17" t="inlineStr">
        <is>
          <t>PA</t>
        </is>
      </c>
      <c r="U194" s="17" t="n">
        <v>198</v>
      </c>
      <c r="V194" s="17" t="n">
        <v>490.5</v>
      </c>
      <c r="W194" s="17" t="n">
        <v>94</v>
      </c>
      <c r="X194" s="17" t="n">
        <v>2018</v>
      </c>
      <c r="Y194" s="17" t="n">
        <v>-58</v>
      </c>
      <c r="Z194" s="17" t="n">
        <v>6</v>
      </c>
      <c r="AA194" s="20">
        <f>IF(ISNUMBER(W194),W194,IFERROR(MAX(0,(VALUE(LEFT(F194,4))-VALUE(LEFT(TEXT(J194,"00000000"),4)))*12+(VALUE(MID(F194,5,2))-VALUE(MID(TEXT(J194,"00000000"),5,2)))),""))</f>
        <v/>
      </c>
      <c r="AB194" s="20">
        <f>IFERROR((VALUE(LEFT(TEXT(K194,"00000000"),4))-VALUE(LEFT(F194,4)))*12+(VALUE(MID(TEXT(K194,"00000000"),5,2))-VALUE(MID(F194,5,2))),"")</f>
        <v/>
      </c>
      <c r="AC194" s="20">
        <f>IF(OR(L194="",NOT(ISNUMBER(L194))),0,MAX(0,MIN(60,(VALUE(LEFT(F194,4))-VALUE(LEFT(TEXT(L194,"00000000"),4)))*12+(VALUE(MID(F194,5,2))-VALUE(MID(TEXT(L194,"00000000"),5,2))))))</f>
        <v/>
      </c>
      <c r="AD194" s="20">
        <f>IF(OR(L194="",NOT(ISNUMBER(L194))),0,IF(VALUE(F194)&lt;VALUE(LEFT(TEXT(L194,"00000000"),6)),1,0))</f>
        <v/>
      </c>
      <c r="AE194" s="20">
        <f>IF(OR(M194="",NOT(ISNUMBER(M194))),0,IF(VALUE(F194)&lt;VALUE(LEFT(TEXT(M194,"00000000"),6)),1,0))</f>
        <v/>
      </c>
      <c r="AF194" s="20">
        <f>IF(AND(AD194=0,AE194=0),1,0)</f>
        <v/>
      </c>
      <c r="AG194" s="20">
        <f>IF(ISNUMBER(X194),X194,IFERROR(VALUE(LEFT(TEXT(J194,"00000000"),4)),""))</f>
        <v/>
      </c>
      <c r="AH194" s="20">
        <f>IFERROR(XLOOKUP(AG194,Vintage_Rates!$A$2:$A$1000,Vintage_Rates!$B$2:$B$1000,""),"")</f>
        <v/>
      </c>
      <c r="AI194" s="20">
        <f>IF(ISNUMBER(Y194),Y194,IFERROR((G194-AH194)*100,""))</f>
        <v/>
      </c>
      <c r="AJ194" s="20">
        <f>IF(ISNUMBER(V194),V194,IFERROR(XLOOKUP(VALUE(F194),PLC_Rates!$A$2:$A$1000,PLC_Rates!$B$2:$B$1000,""),""))</f>
        <v/>
      </c>
      <c r="AK194" s="20">
        <f>IF(ISNUMBER(Z194),Z194,IF(AE194=0,0,MAX(0,MIN(10,((VALUE(LEFT(TEXT(M194,"00000000"),4))-VALUE(LEFT(F194,4)))*12+(VALUE(MID(TEXT(M194,"00000000"),5,2))-VALUE(MID(F194,5,2))))/12))))</f>
        <v/>
      </c>
      <c r="AL194" s="20">
        <f>IFERROR(G194*100-AJ194,"")</f>
        <v/>
      </c>
      <c r="AM194" s="20">
        <f>IFERROR(G194*100-(AJ194+(1+AK194)*12.5),"")</f>
        <v/>
      </c>
      <c r="AN194" s="21">
        <f>IFERROR(MIN(H194/1000000,100),"")</f>
        <v/>
      </c>
      <c r="AO194" s="20">
        <f>IFERROR(INDEX(FHA_Lookup!$B$2:$B$11,MATCH(TRUE,ISNUMBER(SEARCH(FHA_Lookup!$A$2:$A$11,UPPER(SUBSTITUTE(O194," ","")))),0)),"OTHER")</f>
        <v/>
      </c>
      <c r="AP194" s="20">
        <f>IFERROR(INDEX(FHA_Lookup!$C$2:$C$11,MATCH(TRUE,ISNUMBER(SEARCH(FHA_Lookup!$A$2:$A$11,UPPER(SUBSTITUTE(O194," ","")))),0)),"OTHER")</f>
        <v/>
      </c>
      <c r="AQ194" s="20">
        <f>IF(AP194="NC",1,0)</f>
        <v/>
      </c>
      <c r="AR194" s="20">
        <f>IF(UPPER(TRIM(P194))="AFF",1,0)</f>
        <v/>
      </c>
      <c r="AS194" s="20">
        <f>IF(UPPER(TRIM(P194))="BAF",1,0)</f>
        <v/>
      </c>
      <c r="AT194" s="20">
        <f>IF(UPPER(TRIM(P194))="MKT",1,0)</f>
        <v/>
      </c>
      <c r="AU194" s="20">
        <f>IF(AO194="221d4",1,0)</f>
        <v/>
      </c>
      <c r="AV194" s="20">
        <f>IF(AO194="223a7",1,0)</f>
        <v/>
      </c>
      <c r="AW194" s="20">
        <f>IF(AO194="232",1,0)</f>
        <v/>
      </c>
      <c r="AX194" s="20">
        <f>IF(AO194="538",1,0)</f>
        <v/>
      </c>
      <c r="AY194" s="20">
        <f>IF(AO194="241",1,0)</f>
        <v/>
      </c>
      <c r="AZ194" s="20">
        <f>IF(AO194="220",1,0)</f>
        <v/>
      </c>
      <c r="BA194" s="20">
        <f>IF(AO194="OTHER",1,0)</f>
        <v/>
      </c>
      <c r="BB194" s="20">
        <f>IF(UPPER(TRIM(C194))="LM",1,0)</f>
        <v/>
      </c>
      <c r="BC194" s="20">
        <f>IF(UPPER(TRIM(C194))="PN",1,0)</f>
        <v/>
      </c>
      <c r="BD194" s="20">
        <f>IF(UPPER(TRIM(C194))="LS",1,0)</f>
        <v/>
      </c>
      <c r="BE194" s="20">
        <f>IF(UPPER(TRIM(C194))="RX",1,0)</f>
        <v/>
      </c>
      <c r="BF194" s="22">
        <f>IFERROR((Parameters!$C$6*AM194+Parameters!$C$7*MAX(AM194-(-150),0)+Parameters!$C$8*MAX(AM194-(-50),0)+Parameters!$C$9*MAX(AM194-(0),0)+Parameters!$C$10*MAX(AM194-(50),0)+Parameters!$C$11*MAX(AM194-(100),0)+Parameters!$C$12*MAX(AM194-(150),0)+Parameters!$C$13*MAX(AM194-(250),0)),0)</f>
        <v/>
      </c>
      <c r="BG194" s="22">
        <f>IFERROR((Parameters!$C$14*AA194+Parameters!$C$15*MAX(AA194-(12),0)+Parameters!$C$16*MAX(AA194-(36),0)+Parameters!$C$17*MAX(AA194-(60),0)+Parameters!$C$18*MAX(AA194-(84),0)+Parameters!$C$19*MAX(AA194-(120),0)+Parameters!$C$20*MAX(AA194-(180),0)),0)</f>
        <v/>
      </c>
      <c r="BH194" s="22">
        <f>IFERROR((Parameters!$C$21*AK194+Parameters!$C$22*MAX(AK194-(0),0)+Parameters!$C$23*MAX(AK194-(2),0)+Parameters!$C$24*MAX(AK194-(5),0)+Parameters!$C$25*MAX(AK194-(8),0)),0)</f>
        <v/>
      </c>
      <c r="BI194" s="22">
        <f>IFERROR((Parameters!$C$26*AI194+Parameters!$C$27*MAX(AI194-(-100),0)+Parameters!$C$28*MAX(AI194-(-25),0)+Parameters!$C$29*MAX(AI194-(25),0)+Parameters!$C$30*MAX(AI194-(100),0)),0)</f>
        <v/>
      </c>
      <c r="BJ194" s="22">
        <f>IFERROR((Parameters!$C$31*AN194+Parameters!$C$32*MAX(AN194-(2),0)+Parameters!$C$33*MAX(AN194-(10),0)+Parameters!$C$34*MAX(AN194-(25),0)),0)</f>
        <v/>
      </c>
      <c r="BK194" s="22">
        <f>IFERROR((Parameters!$C$35*AB194+Parameters!$C$36*MAX(AB194-(12),0)+Parameters!$C$37*MAX(AB194-(24),0)+Parameters!$C$38*MAX(AB194-(60),0)),0)</f>
        <v/>
      </c>
      <c r="BL194" s="22">
        <f>IFERROR((Parameters!$C$39*AC194+Parameters!$C$40*MAX(AC194-(6),0)+Parameters!$C$41*MAX(AC194-(12),0)+Parameters!$C$42*MAX(AC194-(24),0)),0)</f>
        <v/>
      </c>
      <c r="BM194" s="22">
        <f>IFERROR(Parameters!$C$43*(MAX(AM194,0)*MIN(MAX(AK194,0),10))/100,0)</f>
        <v/>
      </c>
      <c r="BN194" s="22">
        <f>Parameters!$C$44*AE194</f>
        <v/>
      </c>
      <c r="BO194" s="22">
        <f>Parameters!$C$45*AU194 + Parameters!$C$46*AV194 + Parameters!$C$47*AW194 + Parameters!$C$48*AX194 + Parameters!$C$49*AY194 + Parameters!$C$50*AZ194 + Parameters!$C$51*BA194</f>
        <v/>
      </c>
      <c r="BP194" s="22">
        <f>Parameters!$C$52*AQ194</f>
        <v/>
      </c>
      <c r="BQ194" s="22">
        <f>Parameters!$C$53*AR194+Parameters!$C$54*AS194+Parameters!$C$55*AT194</f>
        <v/>
      </c>
      <c r="BR194" s="22">
        <f>Parameters!$C$56*BB194+Parameters!$C$57*BC194+Parameters!$C$58*BD194+Parameters!$C$59*BE194</f>
        <v/>
      </c>
      <c r="BS194" s="23">
        <f>Parameters!$B$2</f>
        <v/>
      </c>
      <c r="BT194" s="23">
        <f>BS194+BF194 + BG194 + BH194 + BI194 + BJ194 + BK194 + BL194 + BM194 + BN194 + BO194 + BP194 + BQ194 + BR194</f>
        <v/>
      </c>
      <c r="BU194" s="24">
        <f>IF(AD194=1,0,1/(1+EXP(-BT194))*Parameters!$B$3)</f>
        <v/>
      </c>
      <c r="BV194" s="25">
        <f>(1-(1-BU194)^12)*100</f>
        <v/>
      </c>
      <c r="BW194" s="25">
        <f>IF(AD194=1,0,(1-(1-1/(1+EXP(-Parameters!$B$2)))^12)*100)</f>
        <v/>
      </c>
      <c r="BX194" s="25">
        <f>IF(AD194=1,0,BV194-(1-(1-(1/(1+EXP(-(BT194-BF194)))*Parameters!$B$3))^12)*100)</f>
        <v/>
      </c>
      <c r="BY194" s="25">
        <f>IF(AD194=1,0,BV194-(1-(1-(1/(1+EXP(-(BT194-BG194)))*Parameters!$B$3))^12)*100)</f>
        <v/>
      </c>
      <c r="BZ194" s="25">
        <f>IF(AD194=1,0,BV194-(1-(1-(1/(1+EXP(-(BT194-BH194)))*Parameters!$B$3))^12)*100)</f>
        <v/>
      </c>
      <c r="CA194" s="25">
        <f>IF(AD194=1,0,BV194-(1-(1-(1/(1+EXP(-(BT194-BI194)))*Parameters!$B$3))^12)*100)</f>
        <v/>
      </c>
      <c r="CB194" s="25">
        <f>IF(AD194=1,0,BV194-(1-(1-(1/(1+EXP(-(BT194-BJ194)))*Parameters!$B$3))^12)*100)</f>
        <v/>
      </c>
      <c r="CC194" s="25">
        <f>IF(AD194=1,0,BV194-(1-(1-(1/(1+EXP(-(BT194-BK194)))*Parameters!$B$3))^12)*100)</f>
        <v/>
      </c>
      <c r="CD194" s="25">
        <f>IF(AD194=1,0,BV194-(1-(1-(1/(1+EXP(-(BT194-BL194)))*Parameters!$B$3))^12)*100)</f>
        <v/>
      </c>
      <c r="CE194" s="25">
        <f>IF(AD194=1,0,BV194-(1-(1-(1/(1+EXP(-(BT194-BM194)))*Parameters!$B$3))^12)*100)</f>
        <v/>
      </c>
      <c r="CF194" s="25">
        <f>IF(AD194=1,0,BV194-(1-(1-(1/(1+EXP(-(BT194-BN194)))*Parameters!$B$3))^12)*100)</f>
        <v/>
      </c>
      <c r="CG194" s="25">
        <f>IF(AD194=1,0,BV194-(1-(1-(1/(1+EXP(-(BT194-BO194)))*Parameters!$B$3))^12)*100)</f>
        <v/>
      </c>
      <c r="CH194" s="25">
        <f>IF(AD194=1,0,BV194-(1-(1-(1/(1+EXP(-(BT194-BP194)))*Parameters!$B$3))^12)*100)</f>
        <v/>
      </c>
      <c r="CI194" s="25">
        <f>IF(AD194=1,0,BV194-(1-(1-(1/(1+EXP(-(BT194-BQ194)))*Parameters!$B$3))^12)*100)</f>
        <v/>
      </c>
      <c r="CJ194" s="25">
        <f>IF(AD194=1,0,BV194-(1-(1-(1/(1+EXP(-(BT194-BR194)))*Parameters!$B$3))^12)*100)</f>
        <v/>
      </c>
    </row>
    <row r="195">
      <c r="A195" s="17" t="inlineStr">
        <is>
          <t>GNR_DIVERSE</t>
        </is>
      </c>
      <c r="B195" s="17" t="inlineStr">
        <is>
          <t>3617KHLP1</t>
        </is>
      </c>
      <c r="C195" s="17" t="inlineStr">
        <is>
          <t>PN</t>
        </is>
      </c>
      <c r="D195" s="17" t="inlineStr">
        <is>
          <t>WALKER &amp; DUNLOP, LLC</t>
        </is>
      </c>
      <c r="E195" s="17" t="inlineStr">
        <is>
          <t>3617KHLP1_000000008635443</t>
        </is>
      </c>
      <c r="F195" s="17" t="n">
        <v>202603</v>
      </c>
      <c r="G195" s="18" t="n">
        <v>3.44</v>
      </c>
      <c r="H195" s="19" t="n">
        <v>10861746.32</v>
      </c>
      <c r="I195" s="17" t="n">
        <v>498</v>
      </c>
      <c r="J195" s="17" t="n">
        <v>20190820</v>
      </c>
      <c r="K195" s="17" t="n">
        <v>20610401</v>
      </c>
      <c r="L195" s="17" t="n"/>
      <c r="M195" s="17" t="n">
        <v>20310501</v>
      </c>
      <c r="N195" s="17" t="n">
        <v>10</v>
      </c>
      <c r="O195" s="17" t="inlineStr">
        <is>
          <t>221(D)(4)</t>
        </is>
      </c>
      <c r="P195" s="17" t="inlineStr">
        <is>
          <t>BAF</t>
        </is>
      </c>
      <c r="Q195" s="17" t="n"/>
      <c r="R195" s="17" t="inlineStr">
        <is>
          <t>P</t>
        </is>
      </c>
      <c r="S195" s="17" t="n"/>
      <c r="T195" s="17" t="inlineStr">
        <is>
          <t>TN</t>
        </is>
      </c>
      <c r="U195" s="17" t="n">
        <v>130</v>
      </c>
      <c r="V195" s="17" t="n">
        <v>490.5</v>
      </c>
      <c r="W195" s="17" t="n">
        <v>79</v>
      </c>
      <c r="X195" s="17" t="n">
        <v>2019</v>
      </c>
      <c r="Y195" s="17" t="n">
        <v>-23</v>
      </c>
      <c r="Z195" s="17" t="n">
        <v>6</v>
      </c>
      <c r="AA195" s="20">
        <f>IF(ISNUMBER(W195),W195,IFERROR(MAX(0,(VALUE(LEFT(F195,4))-VALUE(LEFT(TEXT(J195,"00000000"),4)))*12+(VALUE(MID(F195,5,2))-VALUE(MID(TEXT(J195,"00000000"),5,2)))),""))</f>
        <v/>
      </c>
      <c r="AB195" s="20">
        <f>IFERROR((VALUE(LEFT(TEXT(K195,"00000000"),4))-VALUE(LEFT(F195,4)))*12+(VALUE(MID(TEXT(K195,"00000000"),5,2))-VALUE(MID(F195,5,2))),"")</f>
        <v/>
      </c>
      <c r="AC195" s="20">
        <f>IF(OR(L195="",NOT(ISNUMBER(L195))),0,MAX(0,MIN(60,(VALUE(LEFT(F195,4))-VALUE(LEFT(TEXT(L195,"00000000"),4)))*12+(VALUE(MID(F195,5,2))-VALUE(MID(TEXT(L195,"00000000"),5,2))))))</f>
        <v/>
      </c>
      <c r="AD195" s="20">
        <f>IF(OR(L195="",NOT(ISNUMBER(L195))),0,IF(VALUE(F195)&lt;VALUE(LEFT(TEXT(L195,"00000000"),6)),1,0))</f>
        <v/>
      </c>
      <c r="AE195" s="20">
        <f>IF(OR(M195="",NOT(ISNUMBER(M195))),0,IF(VALUE(F195)&lt;VALUE(LEFT(TEXT(M195,"00000000"),6)),1,0))</f>
        <v/>
      </c>
      <c r="AF195" s="20">
        <f>IF(AND(AD195=0,AE195=0),1,0)</f>
        <v/>
      </c>
      <c r="AG195" s="20">
        <f>IF(ISNUMBER(X195),X195,IFERROR(VALUE(LEFT(TEXT(J195,"00000000"),4)),""))</f>
        <v/>
      </c>
      <c r="AH195" s="20">
        <f>IFERROR(XLOOKUP(AG195,Vintage_Rates!$A$2:$A$1000,Vintage_Rates!$B$2:$B$1000,""),"")</f>
        <v/>
      </c>
      <c r="AI195" s="20">
        <f>IF(ISNUMBER(Y195),Y195,IFERROR((G195-AH195)*100,""))</f>
        <v/>
      </c>
      <c r="AJ195" s="20">
        <f>IF(ISNUMBER(V195),V195,IFERROR(XLOOKUP(VALUE(F195),PLC_Rates!$A$2:$A$1000,PLC_Rates!$B$2:$B$1000,""),""))</f>
        <v/>
      </c>
      <c r="AK195" s="20">
        <f>IF(ISNUMBER(Z195),Z195,IF(AE195=0,0,MAX(0,MIN(10,((VALUE(LEFT(TEXT(M195,"00000000"),4))-VALUE(LEFT(F195,4)))*12+(VALUE(MID(TEXT(M195,"00000000"),5,2))-VALUE(MID(F195,5,2))))/12))))</f>
        <v/>
      </c>
      <c r="AL195" s="20">
        <f>IFERROR(G195*100-AJ195,"")</f>
        <v/>
      </c>
      <c r="AM195" s="20">
        <f>IFERROR(G195*100-(AJ195+(1+AK195)*12.5),"")</f>
        <v/>
      </c>
      <c r="AN195" s="21">
        <f>IFERROR(MIN(H195/1000000,100),"")</f>
        <v/>
      </c>
      <c r="AO195" s="20">
        <f>IFERROR(INDEX(FHA_Lookup!$B$2:$B$11,MATCH(TRUE,ISNUMBER(SEARCH(FHA_Lookup!$A$2:$A$11,UPPER(SUBSTITUTE(O195," ","")))),0)),"OTHER")</f>
        <v/>
      </c>
      <c r="AP195" s="20">
        <f>IFERROR(INDEX(FHA_Lookup!$C$2:$C$11,MATCH(TRUE,ISNUMBER(SEARCH(FHA_Lookup!$A$2:$A$11,UPPER(SUBSTITUTE(O195," ","")))),0)),"OTHER")</f>
        <v/>
      </c>
      <c r="AQ195" s="20">
        <f>IF(AP195="NC",1,0)</f>
        <v/>
      </c>
      <c r="AR195" s="20">
        <f>IF(UPPER(TRIM(P195))="AFF",1,0)</f>
        <v/>
      </c>
      <c r="AS195" s="20">
        <f>IF(UPPER(TRIM(P195))="BAF",1,0)</f>
        <v/>
      </c>
      <c r="AT195" s="20">
        <f>IF(UPPER(TRIM(P195))="MKT",1,0)</f>
        <v/>
      </c>
      <c r="AU195" s="20">
        <f>IF(AO195="221d4",1,0)</f>
        <v/>
      </c>
      <c r="AV195" s="20">
        <f>IF(AO195="223a7",1,0)</f>
        <v/>
      </c>
      <c r="AW195" s="20">
        <f>IF(AO195="232",1,0)</f>
        <v/>
      </c>
      <c r="AX195" s="20">
        <f>IF(AO195="538",1,0)</f>
        <v/>
      </c>
      <c r="AY195" s="20">
        <f>IF(AO195="241",1,0)</f>
        <v/>
      </c>
      <c r="AZ195" s="20">
        <f>IF(AO195="220",1,0)</f>
        <v/>
      </c>
      <c r="BA195" s="20">
        <f>IF(AO195="OTHER",1,0)</f>
        <v/>
      </c>
      <c r="BB195" s="20">
        <f>IF(UPPER(TRIM(C195))="LM",1,0)</f>
        <v/>
      </c>
      <c r="BC195" s="20">
        <f>IF(UPPER(TRIM(C195))="PN",1,0)</f>
        <v/>
      </c>
      <c r="BD195" s="20">
        <f>IF(UPPER(TRIM(C195))="LS",1,0)</f>
        <v/>
      </c>
      <c r="BE195" s="20">
        <f>IF(UPPER(TRIM(C195))="RX",1,0)</f>
        <v/>
      </c>
      <c r="BF195" s="22">
        <f>IFERROR((Parameters!$C$6*AM195+Parameters!$C$7*MAX(AM195-(-150),0)+Parameters!$C$8*MAX(AM195-(-50),0)+Parameters!$C$9*MAX(AM195-(0),0)+Parameters!$C$10*MAX(AM195-(50),0)+Parameters!$C$11*MAX(AM195-(100),0)+Parameters!$C$12*MAX(AM195-(150),0)+Parameters!$C$13*MAX(AM195-(250),0)),0)</f>
        <v/>
      </c>
      <c r="BG195" s="22">
        <f>IFERROR((Parameters!$C$14*AA195+Parameters!$C$15*MAX(AA195-(12),0)+Parameters!$C$16*MAX(AA195-(36),0)+Parameters!$C$17*MAX(AA195-(60),0)+Parameters!$C$18*MAX(AA195-(84),0)+Parameters!$C$19*MAX(AA195-(120),0)+Parameters!$C$20*MAX(AA195-(180),0)),0)</f>
        <v/>
      </c>
      <c r="BH195" s="22">
        <f>IFERROR((Parameters!$C$21*AK195+Parameters!$C$22*MAX(AK195-(0),0)+Parameters!$C$23*MAX(AK195-(2),0)+Parameters!$C$24*MAX(AK195-(5),0)+Parameters!$C$25*MAX(AK195-(8),0)),0)</f>
        <v/>
      </c>
      <c r="BI195" s="22">
        <f>IFERROR((Parameters!$C$26*AI195+Parameters!$C$27*MAX(AI195-(-100),0)+Parameters!$C$28*MAX(AI195-(-25),0)+Parameters!$C$29*MAX(AI195-(25),0)+Parameters!$C$30*MAX(AI195-(100),0)),0)</f>
        <v/>
      </c>
      <c r="BJ195" s="22">
        <f>IFERROR((Parameters!$C$31*AN195+Parameters!$C$32*MAX(AN195-(2),0)+Parameters!$C$33*MAX(AN195-(10),0)+Parameters!$C$34*MAX(AN195-(25),0)),0)</f>
        <v/>
      </c>
      <c r="BK195" s="22">
        <f>IFERROR((Parameters!$C$35*AB195+Parameters!$C$36*MAX(AB195-(12),0)+Parameters!$C$37*MAX(AB195-(24),0)+Parameters!$C$38*MAX(AB195-(60),0)),0)</f>
        <v/>
      </c>
      <c r="BL195" s="22">
        <f>IFERROR((Parameters!$C$39*AC195+Parameters!$C$40*MAX(AC195-(6),0)+Parameters!$C$41*MAX(AC195-(12),0)+Parameters!$C$42*MAX(AC195-(24),0)),0)</f>
        <v/>
      </c>
      <c r="BM195" s="22">
        <f>IFERROR(Parameters!$C$43*(MAX(AM195,0)*MIN(MAX(AK195,0),10))/100,0)</f>
        <v/>
      </c>
      <c r="BN195" s="22">
        <f>Parameters!$C$44*AE195</f>
        <v/>
      </c>
      <c r="BO195" s="22">
        <f>Parameters!$C$45*AU195 + Parameters!$C$46*AV195 + Parameters!$C$47*AW195 + Parameters!$C$48*AX195 + Parameters!$C$49*AY195 + Parameters!$C$50*AZ195 + Parameters!$C$51*BA195</f>
        <v/>
      </c>
      <c r="BP195" s="22">
        <f>Parameters!$C$52*AQ195</f>
        <v/>
      </c>
      <c r="BQ195" s="22">
        <f>Parameters!$C$53*AR195+Parameters!$C$54*AS195+Parameters!$C$55*AT195</f>
        <v/>
      </c>
      <c r="BR195" s="22">
        <f>Parameters!$C$56*BB195+Parameters!$C$57*BC195+Parameters!$C$58*BD195+Parameters!$C$59*BE195</f>
        <v/>
      </c>
      <c r="BS195" s="23">
        <f>Parameters!$B$2</f>
        <v/>
      </c>
      <c r="BT195" s="23">
        <f>BS195+BF195 + BG195 + BH195 + BI195 + BJ195 + BK195 + BL195 + BM195 + BN195 + BO195 + BP195 + BQ195 + BR195</f>
        <v/>
      </c>
      <c r="BU195" s="24">
        <f>IF(AD195=1,0,1/(1+EXP(-BT195))*Parameters!$B$3)</f>
        <v/>
      </c>
      <c r="BV195" s="25">
        <f>(1-(1-BU195)^12)*100</f>
        <v/>
      </c>
      <c r="BW195" s="25">
        <f>IF(AD195=1,0,(1-(1-1/(1+EXP(-Parameters!$B$2)))^12)*100)</f>
        <v/>
      </c>
      <c r="BX195" s="25">
        <f>IF(AD195=1,0,BV195-(1-(1-(1/(1+EXP(-(BT195-BF195)))*Parameters!$B$3))^12)*100)</f>
        <v/>
      </c>
      <c r="BY195" s="25">
        <f>IF(AD195=1,0,BV195-(1-(1-(1/(1+EXP(-(BT195-BG195)))*Parameters!$B$3))^12)*100)</f>
        <v/>
      </c>
      <c r="BZ195" s="25">
        <f>IF(AD195=1,0,BV195-(1-(1-(1/(1+EXP(-(BT195-BH195)))*Parameters!$B$3))^12)*100)</f>
        <v/>
      </c>
      <c r="CA195" s="25">
        <f>IF(AD195=1,0,BV195-(1-(1-(1/(1+EXP(-(BT195-BI195)))*Parameters!$B$3))^12)*100)</f>
        <v/>
      </c>
      <c r="CB195" s="25">
        <f>IF(AD195=1,0,BV195-(1-(1-(1/(1+EXP(-(BT195-BJ195)))*Parameters!$B$3))^12)*100)</f>
        <v/>
      </c>
      <c r="CC195" s="25">
        <f>IF(AD195=1,0,BV195-(1-(1-(1/(1+EXP(-(BT195-BK195)))*Parameters!$B$3))^12)*100)</f>
        <v/>
      </c>
      <c r="CD195" s="25">
        <f>IF(AD195=1,0,BV195-(1-(1-(1/(1+EXP(-(BT195-BL195)))*Parameters!$B$3))^12)*100)</f>
        <v/>
      </c>
      <c r="CE195" s="25">
        <f>IF(AD195=1,0,BV195-(1-(1-(1/(1+EXP(-(BT195-BM195)))*Parameters!$B$3))^12)*100)</f>
        <v/>
      </c>
      <c r="CF195" s="25">
        <f>IF(AD195=1,0,BV195-(1-(1-(1/(1+EXP(-(BT195-BN195)))*Parameters!$B$3))^12)*100)</f>
        <v/>
      </c>
      <c r="CG195" s="25">
        <f>IF(AD195=1,0,BV195-(1-(1-(1/(1+EXP(-(BT195-BO195)))*Parameters!$B$3))^12)*100)</f>
        <v/>
      </c>
      <c r="CH195" s="25">
        <f>IF(AD195=1,0,BV195-(1-(1-(1/(1+EXP(-(BT195-BP195)))*Parameters!$B$3))^12)*100)</f>
        <v/>
      </c>
      <c r="CI195" s="25">
        <f>IF(AD195=1,0,BV195-(1-(1-(1/(1+EXP(-(BT195-BQ195)))*Parameters!$B$3))^12)*100)</f>
        <v/>
      </c>
      <c r="CJ195" s="25">
        <f>IF(AD195=1,0,BV195-(1-(1-(1/(1+EXP(-(BT195-BR195)))*Parameters!$B$3))^12)*100)</f>
        <v/>
      </c>
    </row>
    <row r="196">
      <c r="A196" s="17" t="inlineStr">
        <is>
          <t>GNR_DIVERSE</t>
        </is>
      </c>
      <c r="B196" s="17" t="inlineStr">
        <is>
          <t>3617G4NA6</t>
        </is>
      </c>
      <c r="C196" s="17" t="inlineStr">
        <is>
          <t>PN</t>
        </is>
      </c>
      <c r="D196" s="17" t="inlineStr">
        <is>
          <t>BELLWETHER ENTERPRISE REAL ESTATE CAPITA</t>
        </is>
      </c>
      <c r="E196" s="17" t="inlineStr">
        <is>
          <t>3617G4NA6_000000006411189</t>
        </is>
      </c>
      <c r="F196" s="17" t="n">
        <v>202603</v>
      </c>
      <c r="G196" s="18" t="n">
        <v>3.38</v>
      </c>
      <c r="H196" s="19" t="n">
        <v>3542290.56</v>
      </c>
      <c r="I196" s="17" t="n">
        <v>420</v>
      </c>
      <c r="J196" s="17" t="n">
        <v>20171221</v>
      </c>
      <c r="K196" s="17" t="n">
        <v>20530101</v>
      </c>
      <c r="L196" s="17" t="n"/>
      <c r="M196" s="17" t="n">
        <v>20280131</v>
      </c>
      <c r="N196" s="17" t="n">
        <v>10</v>
      </c>
      <c r="O196" s="17" t="inlineStr">
        <is>
          <t>207/223(F)</t>
        </is>
      </c>
      <c r="P196" s="17" t="inlineStr">
        <is>
          <t>BAF</t>
        </is>
      </c>
      <c r="Q196" s="17" t="n"/>
      <c r="R196" s="17" t="n"/>
      <c r="S196" s="17" t="n"/>
      <c r="T196" s="17" t="inlineStr">
        <is>
          <t>LA</t>
        </is>
      </c>
      <c r="U196" s="17" t="n">
        <v>77</v>
      </c>
      <c r="V196" s="17" t="n">
        <v>490.5</v>
      </c>
      <c r="W196" s="17" t="n">
        <v>99</v>
      </c>
      <c r="X196" s="17" t="n">
        <v>2017</v>
      </c>
      <c r="Y196" s="17" t="n">
        <v>-9</v>
      </c>
      <c r="Z196" s="17" t="n">
        <v>3</v>
      </c>
      <c r="AA196" s="20">
        <f>IF(ISNUMBER(W196),W196,IFERROR(MAX(0,(VALUE(LEFT(F196,4))-VALUE(LEFT(TEXT(J196,"00000000"),4)))*12+(VALUE(MID(F196,5,2))-VALUE(MID(TEXT(J196,"00000000"),5,2)))),""))</f>
        <v/>
      </c>
      <c r="AB196" s="20">
        <f>IFERROR((VALUE(LEFT(TEXT(K196,"00000000"),4))-VALUE(LEFT(F196,4)))*12+(VALUE(MID(TEXT(K196,"00000000"),5,2))-VALUE(MID(F196,5,2))),"")</f>
        <v/>
      </c>
      <c r="AC196" s="20">
        <f>IF(OR(L196="",NOT(ISNUMBER(L196))),0,MAX(0,MIN(60,(VALUE(LEFT(F196,4))-VALUE(LEFT(TEXT(L196,"00000000"),4)))*12+(VALUE(MID(F196,5,2))-VALUE(MID(TEXT(L196,"00000000"),5,2))))))</f>
        <v/>
      </c>
      <c r="AD196" s="20">
        <f>IF(OR(L196="",NOT(ISNUMBER(L196))),0,IF(VALUE(F196)&lt;VALUE(LEFT(TEXT(L196,"00000000"),6)),1,0))</f>
        <v/>
      </c>
      <c r="AE196" s="20">
        <f>IF(OR(M196="",NOT(ISNUMBER(M196))),0,IF(VALUE(F196)&lt;VALUE(LEFT(TEXT(M196,"00000000"),6)),1,0))</f>
        <v/>
      </c>
      <c r="AF196" s="20">
        <f>IF(AND(AD196=0,AE196=0),1,0)</f>
        <v/>
      </c>
      <c r="AG196" s="20">
        <f>IF(ISNUMBER(X196),X196,IFERROR(VALUE(LEFT(TEXT(J196,"00000000"),4)),""))</f>
        <v/>
      </c>
      <c r="AH196" s="20">
        <f>IFERROR(XLOOKUP(AG196,Vintage_Rates!$A$2:$A$1000,Vintage_Rates!$B$2:$B$1000,""),"")</f>
        <v/>
      </c>
      <c r="AI196" s="20">
        <f>IF(ISNUMBER(Y196),Y196,IFERROR((G196-AH196)*100,""))</f>
        <v/>
      </c>
      <c r="AJ196" s="20">
        <f>IF(ISNUMBER(V196),V196,IFERROR(XLOOKUP(VALUE(F196),PLC_Rates!$A$2:$A$1000,PLC_Rates!$B$2:$B$1000,""),""))</f>
        <v/>
      </c>
      <c r="AK196" s="20">
        <f>IF(ISNUMBER(Z196),Z196,IF(AE196=0,0,MAX(0,MIN(10,((VALUE(LEFT(TEXT(M196,"00000000"),4))-VALUE(LEFT(F196,4)))*12+(VALUE(MID(TEXT(M196,"00000000"),5,2))-VALUE(MID(F196,5,2))))/12))))</f>
        <v/>
      </c>
      <c r="AL196" s="20">
        <f>IFERROR(G196*100-AJ196,"")</f>
        <v/>
      </c>
      <c r="AM196" s="20">
        <f>IFERROR(G196*100-(AJ196+(1+AK196)*12.5),"")</f>
        <v/>
      </c>
      <c r="AN196" s="21">
        <f>IFERROR(MIN(H196/1000000,100),"")</f>
        <v/>
      </c>
      <c r="AO196" s="20">
        <f>IFERROR(INDEX(FHA_Lookup!$B$2:$B$11,MATCH(TRUE,ISNUMBER(SEARCH(FHA_Lookup!$A$2:$A$11,UPPER(SUBSTITUTE(O196," ","")))),0)),"OTHER")</f>
        <v/>
      </c>
      <c r="AP196" s="20">
        <f>IFERROR(INDEX(FHA_Lookup!$C$2:$C$11,MATCH(TRUE,ISNUMBER(SEARCH(FHA_Lookup!$A$2:$A$11,UPPER(SUBSTITUTE(O196," ","")))),0)),"OTHER")</f>
        <v/>
      </c>
      <c r="AQ196" s="20">
        <f>IF(AP196="NC",1,0)</f>
        <v/>
      </c>
      <c r="AR196" s="20">
        <f>IF(UPPER(TRIM(P196))="AFF",1,0)</f>
        <v/>
      </c>
      <c r="AS196" s="20">
        <f>IF(UPPER(TRIM(P196))="BAF",1,0)</f>
        <v/>
      </c>
      <c r="AT196" s="20">
        <f>IF(UPPER(TRIM(P196))="MKT",1,0)</f>
        <v/>
      </c>
      <c r="AU196" s="20">
        <f>IF(AO196="221d4",1,0)</f>
        <v/>
      </c>
      <c r="AV196" s="20">
        <f>IF(AO196="223a7",1,0)</f>
        <v/>
      </c>
      <c r="AW196" s="20">
        <f>IF(AO196="232",1,0)</f>
        <v/>
      </c>
      <c r="AX196" s="20">
        <f>IF(AO196="538",1,0)</f>
        <v/>
      </c>
      <c r="AY196" s="20">
        <f>IF(AO196="241",1,0)</f>
        <v/>
      </c>
      <c r="AZ196" s="20">
        <f>IF(AO196="220",1,0)</f>
        <v/>
      </c>
      <c r="BA196" s="20">
        <f>IF(AO196="OTHER",1,0)</f>
        <v/>
      </c>
      <c r="BB196" s="20">
        <f>IF(UPPER(TRIM(C196))="LM",1,0)</f>
        <v/>
      </c>
      <c r="BC196" s="20">
        <f>IF(UPPER(TRIM(C196))="PN",1,0)</f>
        <v/>
      </c>
      <c r="BD196" s="20">
        <f>IF(UPPER(TRIM(C196))="LS",1,0)</f>
        <v/>
      </c>
      <c r="BE196" s="20">
        <f>IF(UPPER(TRIM(C196))="RX",1,0)</f>
        <v/>
      </c>
      <c r="BF196" s="22">
        <f>IFERROR((Parameters!$C$6*AM196+Parameters!$C$7*MAX(AM196-(-150),0)+Parameters!$C$8*MAX(AM196-(-50),0)+Parameters!$C$9*MAX(AM196-(0),0)+Parameters!$C$10*MAX(AM196-(50),0)+Parameters!$C$11*MAX(AM196-(100),0)+Parameters!$C$12*MAX(AM196-(150),0)+Parameters!$C$13*MAX(AM196-(250),0)),0)</f>
        <v/>
      </c>
      <c r="BG196" s="22">
        <f>IFERROR((Parameters!$C$14*AA196+Parameters!$C$15*MAX(AA196-(12),0)+Parameters!$C$16*MAX(AA196-(36),0)+Parameters!$C$17*MAX(AA196-(60),0)+Parameters!$C$18*MAX(AA196-(84),0)+Parameters!$C$19*MAX(AA196-(120),0)+Parameters!$C$20*MAX(AA196-(180),0)),0)</f>
        <v/>
      </c>
      <c r="BH196" s="22">
        <f>IFERROR((Parameters!$C$21*AK196+Parameters!$C$22*MAX(AK196-(0),0)+Parameters!$C$23*MAX(AK196-(2),0)+Parameters!$C$24*MAX(AK196-(5),0)+Parameters!$C$25*MAX(AK196-(8),0)),0)</f>
        <v/>
      </c>
      <c r="BI196" s="22">
        <f>IFERROR((Parameters!$C$26*AI196+Parameters!$C$27*MAX(AI196-(-100),0)+Parameters!$C$28*MAX(AI196-(-25),0)+Parameters!$C$29*MAX(AI196-(25),0)+Parameters!$C$30*MAX(AI196-(100),0)),0)</f>
        <v/>
      </c>
      <c r="BJ196" s="22">
        <f>IFERROR((Parameters!$C$31*AN196+Parameters!$C$32*MAX(AN196-(2),0)+Parameters!$C$33*MAX(AN196-(10),0)+Parameters!$C$34*MAX(AN196-(25),0)),0)</f>
        <v/>
      </c>
      <c r="BK196" s="22">
        <f>IFERROR((Parameters!$C$35*AB196+Parameters!$C$36*MAX(AB196-(12),0)+Parameters!$C$37*MAX(AB196-(24),0)+Parameters!$C$38*MAX(AB196-(60),0)),0)</f>
        <v/>
      </c>
      <c r="BL196" s="22">
        <f>IFERROR((Parameters!$C$39*AC196+Parameters!$C$40*MAX(AC196-(6),0)+Parameters!$C$41*MAX(AC196-(12),0)+Parameters!$C$42*MAX(AC196-(24),0)),0)</f>
        <v/>
      </c>
      <c r="BM196" s="22">
        <f>IFERROR(Parameters!$C$43*(MAX(AM196,0)*MIN(MAX(AK196,0),10))/100,0)</f>
        <v/>
      </c>
      <c r="BN196" s="22">
        <f>Parameters!$C$44*AE196</f>
        <v/>
      </c>
      <c r="BO196" s="22">
        <f>Parameters!$C$45*AU196 + Parameters!$C$46*AV196 + Parameters!$C$47*AW196 + Parameters!$C$48*AX196 + Parameters!$C$49*AY196 + Parameters!$C$50*AZ196 + Parameters!$C$51*BA196</f>
        <v/>
      </c>
      <c r="BP196" s="22">
        <f>Parameters!$C$52*AQ196</f>
        <v/>
      </c>
      <c r="BQ196" s="22">
        <f>Parameters!$C$53*AR196+Parameters!$C$54*AS196+Parameters!$C$55*AT196</f>
        <v/>
      </c>
      <c r="BR196" s="22">
        <f>Parameters!$C$56*BB196+Parameters!$C$57*BC196+Parameters!$C$58*BD196+Parameters!$C$59*BE196</f>
        <v/>
      </c>
      <c r="BS196" s="23">
        <f>Parameters!$B$2</f>
        <v/>
      </c>
      <c r="BT196" s="23">
        <f>BS196+BF196 + BG196 + BH196 + BI196 + BJ196 + BK196 + BL196 + BM196 + BN196 + BO196 + BP196 + BQ196 + BR196</f>
        <v/>
      </c>
      <c r="BU196" s="24">
        <f>IF(AD196=1,0,1/(1+EXP(-BT196))*Parameters!$B$3)</f>
        <v/>
      </c>
      <c r="BV196" s="25">
        <f>(1-(1-BU196)^12)*100</f>
        <v/>
      </c>
      <c r="BW196" s="25">
        <f>IF(AD196=1,0,(1-(1-1/(1+EXP(-Parameters!$B$2)))^12)*100)</f>
        <v/>
      </c>
      <c r="BX196" s="25">
        <f>IF(AD196=1,0,BV196-(1-(1-(1/(1+EXP(-(BT196-BF196)))*Parameters!$B$3))^12)*100)</f>
        <v/>
      </c>
      <c r="BY196" s="25">
        <f>IF(AD196=1,0,BV196-(1-(1-(1/(1+EXP(-(BT196-BG196)))*Parameters!$B$3))^12)*100)</f>
        <v/>
      </c>
      <c r="BZ196" s="25">
        <f>IF(AD196=1,0,BV196-(1-(1-(1/(1+EXP(-(BT196-BH196)))*Parameters!$B$3))^12)*100)</f>
        <v/>
      </c>
      <c r="CA196" s="25">
        <f>IF(AD196=1,0,BV196-(1-(1-(1/(1+EXP(-(BT196-BI196)))*Parameters!$B$3))^12)*100)</f>
        <v/>
      </c>
      <c r="CB196" s="25">
        <f>IF(AD196=1,0,BV196-(1-(1-(1/(1+EXP(-(BT196-BJ196)))*Parameters!$B$3))^12)*100)</f>
        <v/>
      </c>
      <c r="CC196" s="25">
        <f>IF(AD196=1,0,BV196-(1-(1-(1/(1+EXP(-(BT196-BK196)))*Parameters!$B$3))^12)*100)</f>
        <v/>
      </c>
      <c r="CD196" s="25">
        <f>IF(AD196=1,0,BV196-(1-(1-(1/(1+EXP(-(BT196-BL196)))*Parameters!$B$3))^12)*100)</f>
        <v/>
      </c>
      <c r="CE196" s="25">
        <f>IF(AD196=1,0,BV196-(1-(1-(1/(1+EXP(-(BT196-BM196)))*Parameters!$B$3))^12)*100)</f>
        <v/>
      </c>
      <c r="CF196" s="25">
        <f>IF(AD196=1,0,BV196-(1-(1-(1/(1+EXP(-(BT196-BN196)))*Parameters!$B$3))^12)*100)</f>
        <v/>
      </c>
      <c r="CG196" s="25">
        <f>IF(AD196=1,0,BV196-(1-(1-(1/(1+EXP(-(BT196-BO196)))*Parameters!$B$3))^12)*100)</f>
        <v/>
      </c>
      <c r="CH196" s="25">
        <f>IF(AD196=1,0,BV196-(1-(1-(1/(1+EXP(-(BT196-BP196)))*Parameters!$B$3))^12)*100)</f>
        <v/>
      </c>
      <c r="CI196" s="25">
        <f>IF(AD196=1,0,BV196-(1-(1-(1/(1+EXP(-(BT196-BQ196)))*Parameters!$B$3))^12)*100)</f>
        <v/>
      </c>
      <c r="CJ196" s="25">
        <f>IF(AD196=1,0,BV196-(1-(1-(1/(1+EXP(-(BT196-BR196)))*Parameters!$B$3))^12)*100)</f>
        <v/>
      </c>
    </row>
    <row r="197">
      <c r="A197" s="17" t="inlineStr">
        <is>
          <t>GNR_DIVERSE</t>
        </is>
      </c>
      <c r="B197" s="17" t="inlineStr">
        <is>
          <t>3617ULT73</t>
        </is>
      </c>
      <c r="C197" s="17" t="inlineStr">
        <is>
          <t>PN</t>
        </is>
      </c>
      <c r="D197" s="17" t="inlineStr">
        <is>
          <t>GERSHMAN INVESTMENT CORP.</t>
        </is>
      </c>
      <c r="E197" s="17" t="inlineStr">
        <is>
          <t>3617ULT73_000000000011301</t>
        </is>
      </c>
      <c r="F197" s="17" t="n">
        <v>202603</v>
      </c>
      <c r="G197" s="18" t="n">
        <v>2.3</v>
      </c>
      <c r="H197" s="19" t="n">
        <v>3696462.88</v>
      </c>
      <c r="I197" s="17" t="n">
        <v>420</v>
      </c>
      <c r="J197" s="17" t="n">
        <v>20210408</v>
      </c>
      <c r="K197" s="17" t="n">
        <v>20560501</v>
      </c>
      <c r="L197" s="17" t="n"/>
      <c r="M197" s="17" t="n">
        <v>20310601</v>
      </c>
      <c r="N197" s="17" t="n">
        <v>10</v>
      </c>
      <c r="O197" s="17" t="inlineStr">
        <is>
          <t>207/223(F)</t>
        </is>
      </c>
      <c r="P197" s="17" t="inlineStr">
        <is>
          <t>BAF</t>
        </is>
      </c>
      <c r="Q197" s="17" t="n"/>
      <c r="R197" s="17" t="n"/>
      <c r="S197" s="17" t="n"/>
      <c r="T197" s="17" t="inlineStr">
        <is>
          <t>DC</t>
        </is>
      </c>
      <c r="U197" s="17" t="n">
        <v>27</v>
      </c>
      <c r="V197" s="17" t="n">
        <v>490.5</v>
      </c>
      <c r="W197" s="17" t="n">
        <v>59</v>
      </c>
      <c r="X197" s="17" t="n">
        <v>2021</v>
      </c>
      <c r="Y197" s="17" t="n">
        <v>-28</v>
      </c>
      <c r="Z197" s="17" t="n">
        <v>10</v>
      </c>
      <c r="AA197" s="20">
        <f>IF(ISNUMBER(W197),W197,IFERROR(MAX(0,(VALUE(LEFT(F197,4))-VALUE(LEFT(TEXT(J197,"00000000"),4)))*12+(VALUE(MID(F197,5,2))-VALUE(MID(TEXT(J197,"00000000"),5,2)))),""))</f>
        <v/>
      </c>
      <c r="AB197" s="20">
        <f>IFERROR((VALUE(LEFT(TEXT(K197,"00000000"),4))-VALUE(LEFT(F197,4)))*12+(VALUE(MID(TEXT(K197,"00000000"),5,2))-VALUE(MID(F197,5,2))),"")</f>
        <v/>
      </c>
      <c r="AC197" s="20">
        <f>IF(OR(L197="",NOT(ISNUMBER(L197))),0,MAX(0,MIN(60,(VALUE(LEFT(F197,4))-VALUE(LEFT(TEXT(L197,"00000000"),4)))*12+(VALUE(MID(F197,5,2))-VALUE(MID(TEXT(L197,"00000000"),5,2))))))</f>
        <v/>
      </c>
      <c r="AD197" s="20">
        <f>IF(OR(L197="",NOT(ISNUMBER(L197))),0,IF(VALUE(F197)&lt;VALUE(LEFT(TEXT(L197,"00000000"),6)),1,0))</f>
        <v/>
      </c>
      <c r="AE197" s="20">
        <f>IF(OR(M197="",NOT(ISNUMBER(M197))),0,IF(VALUE(F197)&lt;VALUE(LEFT(TEXT(M197,"00000000"),6)),1,0))</f>
        <v/>
      </c>
      <c r="AF197" s="20">
        <f>IF(AND(AD197=0,AE197=0),1,0)</f>
        <v/>
      </c>
      <c r="AG197" s="20">
        <f>IF(ISNUMBER(X197),X197,IFERROR(VALUE(LEFT(TEXT(J197,"00000000"),4)),""))</f>
        <v/>
      </c>
      <c r="AH197" s="20">
        <f>IFERROR(XLOOKUP(AG197,Vintage_Rates!$A$2:$A$1000,Vintage_Rates!$B$2:$B$1000,""),"")</f>
        <v/>
      </c>
      <c r="AI197" s="20">
        <f>IF(ISNUMBER(Y197),Y197,IFERROR((G197-AH197)*100,""))</f>
        <v/>
      </c>
      <c r="AJ197" s="20">
        <f>IF(ISNUMBER(V197),V197,IFERROR(XLOOKUP(VALUE(F197),PLC_Rates!$A$2:$A$1000,PLC_Rates!$B$2:$B$1000,""),""))</f>
        <v/>
      </c>
      <c r="AK197" s="20">
        <f>IF(ISNUMBER(Z197),Z197,IF(AE197=0,0,MAX(0,MIN(10,((VALUE(LEFT(TEXT(M197,"00000000"),4))-VALUE(LEFT(F197,4)))*12+(VALUE(MID(TEXT(M197,"00000000"),5,2))-VALUE(MID(F197,5,2))))/12))))</f>
        <v/>
      </c>
      <c r="AL197" s="20">
        <f>IFERROR(G197*100-AJ197,"")</f>
        <v/>
      </c>
      <c r="AM197" s="20">
        <f>IFERROR(G197*100-(AJ197+(1+AK197)*12.5),"")</f>
        <v/>
      </c>
      <c r="AN197" s="21">
        <f>IFERROR(MIN(H197/1000000,100),"")</f>
        <v/>
      </c>
      <c r="AO197" s="20">
        <f>IFERROR(INDEX(FHA_Lookup!$B$2:$B$11,MATCH(TRUE,ISNUMBER(SEARCH(FHA_Lookup!$A$2:$A$11,UPPER(SUBSTITUTE(O197," ","")))),0)),"OTHER")</f>
        <v/>
      </c>
      <c r="AP197" s="20">
        <f>IFERROR(INDEX(FHA_Lookup!$C$2:$C$11,MATCH(TRUE,ISNUMBER(SEARCH(FHA_Lookup!$A$2:$A$11,UPPER(SUBSTITUTE(O197," ","")))),0)),"OTHER")</f>
        <v/>
      </c>
      <c r="AQ197" s="20">
        <f>IF(AP197="NC",1,0)</f>
        <v/>
      </c>
      <c r="AR197" s="20">
        <f>IF(UPPER(TRIM(P197))="AFF",1,0)</f>
        <v/>
      </c>
      <c r="AS197" s="20">
        <f>IF(UPPER(TRIM(P197))="BAF",1,0)</f>
        <v/>
      </c>
      <c r="AT197" s="20">
        <f>IF(UPPER(TRIM(P197))="MKT",1,0)</f>
        <v/>
      </c>
      <c r="AU197" s="20">
        <f>IF(AO197="221d4",1,0)</f>
        <v/>
      </c>
      <c r="AV197" s="20">
        <f>IF(AO197="223a7",1,0)</f>
        <v/>
      </c>
      <c r="AW197" s="20">
        <f>IF(AO197="232",1,0)</f>
        <v/>
      </c>
      <c r="AX197" s="20">
        <f>IF(AO197="538",1,0)</f>
        <v/>
      </c>
      <c r="AY197" s="20">
        <f>IF(AO197="241",1,0)</f>
        <v/>
      </c>
      <c r="AZ197" s="20">
        <f>IF(AO197="220",1,0)</f>
        <v/>
      </c>
      <c r="BA197" s="20">
        <f>IF(AO197="OTHER",1,0)</f>
        <v/>
      </c>
      <c r="BB197" s="20">
        <f>IF(UPPER(TRIM(C197))="LM",1,0)</f>
        <v/>
      </c>
      <c r="BC197" s="20">
        <f>IF(UPPER(TRIM(C197))="PN",1,0)</f>
        <v/>
      </c>
      <c r="BD197" s="20">
        <f>IF(UPPER(TRIM(C197))="LS",1,0)</f>
        <v/>
      </c>
      <c r="BE197" s="20">
        <f>IF(UPPER(TRIM(C197))="RX",1,0)</f>
        <v/>
      </c>
      <c r="BF197" s="22">
        <f>IFERROR((Parameters!$C$6*AM197+Parameters!$C$7*MAX(AM197-(-150),0)+Parameters!$C$8*MAX(AM197-(-50),0)+Parameters!$C$9*MAX(AM197-(0),0)+Parameters!$C$10*MAX(AM197-(50),0)+Parameters!$C$11*MAX(AM197-(100),0)+Parameters!$C$12*MAX(AM197-(150),0)+Parameters!$C$13*MAX(AM197-(250),0)),0)</f>
        <v/>
      </c>
      <c r="BG197" s="22">
        <f>IFERROR((Parameters!$C$14*AA197+Parameters!$C$15*MAX(AA197-(12),0)+Parameters!$C$16*MAX(AA197-(36),0)+Parameters!$C$17*MAX(AA197-(60),0)+Parameters!$C$18*MAX(AA197-(84),0)+Parameters!$C$19*MAX(AA197-(120),0)+Parameters!$C$20*MAX(AA197-(180),0)),0)</f>
        <v/>
      </c>
      <c r="BH197" s="22">
        <f>IFERROR((Parameters!$C$21*AK197+Parameters!$C$22*MAX(AK197-(0),0)+Parameters!$C$23*MAX(AK197-(2),0)+Parameters!$C$24*MAX(AK197-(5),0)+Parameters!$C$25*MAX(AK197-(8),0)),0)</f>
        <v/>
      </c>
      <c r="BI197" s="22">
        <f>IFERROR((Parameters!$C$26*AI197+Parameters!$C$27*MAX(AI197-(-100),0)+Parameters!$C$28*MAX(AI197-(-25),0)+Parameters!$C$29*MAX(AI197-(25),0)+Parameters!$C$30*MAX(AI197-(100),0)),0)</f>
        <v/>
      </c>
      <c r="BJ197" s="22">
        <f>IFERROR((Parameters!$C$31*AN197+Parameters!$C$32*MAX(AN197-(2),0)+Parameters!$C$33*MAX(AN197-(10),0)+Parameters!$C$34*MAX(AN197-(25),0)),0)</f>
        <v/>
      </c>
      <c r="BK197" s="22">
        <f>IFERROR((Parameters!$C$35*AB197+Parameters!$C$36*MAX(AB197-(12),0)+Parameters!$C$37*MAX(AB197-(24),0)+Parameters!$C$38*MAX(AB197-(60),0)),0)</f>
        <v/>
      </c>
      <c r="BL197" s="22">
        <f>IFERROR((Parameters!$C$39*AC197+Parameters!$C$40*MAX(AC197-(6),0)+Parameters!$C$41*MAX(AC197-(12),0)+Parameters!$C$42*MAX(AC197-(24),0)),0)</f>
        <v/>
      </c>
      <c r="BM197" s="22">
        <f>IFERROR(Parameters!$C$43*(MAX(AM197,0)*MIN(MAX(AK197,0),10))/100,0)</f>
        <v/>
      </c>
      <c r="BN197" s="22">
        <f>Parameters!$C$44*AE197</f>
        <v/>
      </c>
      <c r="BO197" s="22">
        <f>Parameters!$C$45*AU197 + Parameters!$C$46*AV197 + Parameters!$C$47*AW197 + Parameters!$C$48*AX197 + Parameters!$C$49*AY197 + Parameters!$C$50*AZ197 + Parameters!$C$51*BA197</f>
        <v/>
      </c>
      <c r="BP197" s="22">
        <f>Parameters!$C$52*AQ197</f>
        <v/>
      </c>
      <c r="BQ197" s="22">
        <f>Parameters!$C$53*AR197+Parameters!$C$54*AS197+Parameters!$C$55*AT197</f>
        <v/>
      </c>
      <c r="BR197" s="22">
        <f>Parameters!$C$56*BB197+Parameters!$C$57*BC197+Parameters!$C$58*BD197+Parameters!$C$59*BE197</f>
        <v/>
      </c>
      <c r="BS197" s="23">
        <f>Parameters!$B$2</f>
        <v/>
      </c>
      <c r="BT197" s="23">
        <f>BS197+BF197 + BG197 + BH197 + BI197 + BJ197 + BK197 + BL197 + BM197 + BN197 + BO197 + BP197 + BQ197 + BR197</f>
        <v/>
      </c>
      <c r="BU197" s="24">
        <f>IF(AD197=1,0,1/(1+EXP(-BT197))*Parameters!$B$3)</f>
        <v/>
      </c>
      <c r="BV197" s="25">
        <f>(1-(1-BU197)^12)*100</f>
        <v/>
      </c>
      <c r="BW197" s="25">
        <f>IF(AD197=1,0,(1-(1-1/(1+EXP(-Parameters!$B$2)))^12)*100)</f>
        <v/>
      </c>
      <c r="BX197" s="25">
        <f>IF(AD197=1,0,BV197-(1-(1-(1/(1+EXP(-(BT197-BF197)))*Parameters!$B$3))^12)*100)</f>
        <v/>
      </c>
      <c r="BY197" s="25">
        <f>IF(AD197=1,0,BV197-(1-(1-(1/(1+EXP(-(BT197-BG197)))*Parameters!$B$3))^12)*100)</f>
        <v/>
      </c>
      <c r="BZ197" s="25">
        <f>IF(AD197=1,0,BV197-(1-(1-(1/(1+EXP(-(BT197-BH197)))*Parameters!$B$3))^12)*100)</f>
        <v/>
      </c>
      <c r="CA197" s="25">
        <f>IF(AD197=1,0,BV197-(1-(1-(1/(1+EXP(-(BT197-BI197)))*Parameters!$B$3))^12)*100)</f>
        <v/>
      </c>
      <c r="CB197" s="25">
        <f>IF(AD197=1,0,BV197-(1-(1-(1/(1+EXP(-(BT197-BJ197)))*Parameters!$B$3))^12)*100)</f>
        <v/>
      </c>
      <c r="CC197" s="25">
        <f>IF(AD197=1,0,BV197-(1-(1-(1/(1+EXP(-(BT197-BK197)))*Parameters!$B$3))^12)*100)</f>
        <v/>
      </c>
      <c r="CD197" s="25">
        <f>IF(AD197=1,0,BV197-(1-(1-(1/(1+EXP(-(BT197-BL197)))*Parameters!$B$3))^12)*100)</f>
        <v/>
      </c>
      <c r="CE197" s="25">
        <f>IF(AD197=1,0,BV197-(1-(1-(1/(1+EXP(-(BT197-BM197)))*Parameters!$B$3))^12)*100)</f>
        <v/>
      </c>
      <c r="CF197" s="25">
        <f>IF(AD197=1,0,BV197-(1-(1-(1/(1+EXP(-(BT197-BN197)))*Parameters!$B$3))^12)*100)</f>
        <v/>
      </c>
      <c r="CG197" s="25">
        <f>IF(AD197=1,0,BV197-(1-(1-(1/(1+EXP(-(BT197-BO197)))*Parameters!$B$3))^12)*100)</f>
        <v/>
      </c>
      <c r="CH197" s="25">
        <f>IF(AD197=1,0,BV197-(1-(1-(1/(1+EXP(-(BT197-BP197)))*Parameters!$B$3))^12)*100)</f>
        <v/>
      </c>
      <c r="CI197" s="25">
        <f>IF(AD197=1,0,BV197-(1-(1-(1/(1+EXP(-(BT197-BQ197)))*Parameters!$B$3))^12)*100)</f>
        <v/>
      </c>
      <c r="CJ197" s="25">
        <f>IF(AD197=1,0,BV197-(1-(1-(1/(1+EXP(-(BT197-BR197)))*Parameters!$B$3))^12)*100)</f>
        <v/>
      </c>
    </row>
    <row r="198">
      <c r="A198" s="17" t="inlineStr">
        <is>
          <t>GNR_DIVERSE</t>
        </is>
      </c>
      <c r="B198" s="17" t="inlineStr">
        <is>
          <t>3617AH5A3</t>
        </is>
      </c>
      <c r="C198" s="17" t="inlineStr">
        <is>
          <t>PN</t>
        </is>
      </c>
      <c r="D198" s="17" t="inlineStr">
        <is>
          <t>MERCHANTS CAPITAL CORP.</t>
        </is>
      </c>
      <c r="E198" s="17" t="inlineStr">
        <is>
          <t>3617AH5A3_000000007511265</t>
        </is>
      </c>
      <c r="F198" s="17" t="n">
        <v>202603</v>
      </c>
      <c r="G198" s="18" t="n">
        <v>3.23</v>
      </c>
      <c r="H198" s="19" t="n">
        <v>4237770.27</v>
      </c>
      <c r="I198" s="17" t="n">
        <v>420</v>
      </c>
      <c r="J198" s="17" t="n">
        <v>20170701</v>
      </c>
      <c r="K198" s="17" t="n">
        <v>20520801</v>
      </c>
      <c r="L198" s="17" t="n"/>
      <c r="M198" s="17" t="n">
        <v>20270901</v>
      </c>
      <c r="N198" s="17" t="n">
        <v>10</v>
      </c>
      <c r="O198" s="17" t="inlineStr">
        <is>
          <t>207/223(f)</t>
        </is>
      </c>
      <c r="P198" s="17" t="inlineStr">
        <is>
          <t>MKT</t>
        </is>
      </c>
      <c r="Q198" s="17" t="n"/>
      <c r="R198" s="17" t="n"/>
      <c r="S198" s="17" t="n"/>
      <c r="T198" s="17" t="inlineStr">
        <is>
          <t>WI</t>
        </is>
      </c>
      <c r="U198" s="17" t="n">
        <v>90</v>
      </c>
      <c r="V198" s="17" t="n">
        <v>490.5</v>
      </c>
      <c r="W198" s="17" t="n">
        <v>104</v>
      </c>
      <c r="X198" s="17" t="n">
        <v>2017</v>
      </c>
      <c r="Y198" s="17" t="n">
        <v>-24</v>
      </c>
      <c r="Z198" s="17" t="n">
        <v>2</v>
      </c>
      <c r="AA198" s="20">
        <f>IF(ISNUMBER(W198),W198,IFERROR(MAX(0,(VALUE(LEFT(F198,4))-VALUE(LEFT(TEXT(J198,"00000000"),4)))*12+(VALUE(MID(F198,5,2))-VALUE(MID(TEXT(J198,"00000000"),5,2)))),""))</f>
        <v/>
      </c>
      <c r="AB198" s="20">
        <f>IFERROR((VALUE(LEFT(TEXT(K198,"00000000"),4))-VALUE(LEFT(F198,4)))*12+(VALUE(MID(TEXT(K198,"00000000"),5,2))-VALUE(MID(F198,5,2))),"")</f>
        <v/>
      </c>
      <c r="AC198" s="20">
        <f>IF(OR(L198="",NOT(ISNUMBER(L198))),0,MAX(0,MIN(60,(VALUE(LEFT(F198,4))-VALUE(LEFT(TEXT(L198,"00000000"),4)))*12+(VALUE(MID(F198,5,2))-VALUE(MID(TEXT(L198,"00000000"),5,2))))))</f>
        <v/>
      </c>
      <c r="AD198" s="20">
        <f>IF(OR(L198="",NOT(ISNUMBER(L198))),0,IF(VALUE(F198)&lt;VALUE(LEFT(TEXT(L198,"00000000"),6)),1,0))</f>
        <v/>
      </c>
      <c r="AE198" s="20">
        <f>IF(OR(M198="",NOT(ISNUMBER(M198))),0,IF(VALUE(F198)&lt;VALUE(LEFT(TEXT(M198,"00000000"),6)),1,0))</f>
        <v/>
      </c>
      <c r="AF198" s="20">
        <f>IF(AND(AD198=0,AE198=0),1,0)</f>
        <v/>
      </c>
      <c r="AG198" s="20">
        <f>IF(ISNUMBER(X198),X198,IFERROR(VALUE(LEFT(TEXT(J198,"00000000"),4)),""))</f>
        <v/>
      </c>
      <c r="AH198" s="20">
        <f>IFERROR(XLOOKUP(AG198,Vintage_Rates!$A$2:$A$1000,Vintage_Rates!$B$2:$B$1000,""),"")</f>
        <v/>
      </c>
      <c r="AI198" s="20">
        <f>IF(ISNUMBER(Y198),Y198,IFERROR((G198-AH198)*100,""))</f>
        <v/>
      </c>
      <c r="AJ198" s="20">
        <f>IF(ISNUMBER(V198),V198,IFERROR(XLOOKUP(VALUE(F198),PLC_Rates!$A$2:$A$1000,PLC_Rates!$B$2:$B$1000,""),""))</f>
        <v/>
      </c>
      <c r="AK198" s="20">
        <f>IF(ISNUMBER(Z198),Z198,IF(AE198=0,0,MAX(0,MIN(10,((VALUE(LEFT(TEXT(M198,"00000000"),4))-VALUE(LEFT(F198,4)))*12+(VALUE(MID(TEXT(M198,"00000000"),5,2))-VALUE(MID(F198,5,2))))/12))))</f>
        <v/>
      </c>
      <c r="AL198" s="20">
        <f>IFERROR(G198*100-AJ198,"")</f>
        <v/>
      </c>
      <c r="AM198" s="20">
        <f>IFERROR(G198*100-(AJ198+(1+AK198)*12.5),"")</f>
        <v/>
      </c>
      <c r="AN198" s="21">
        <f>IFERROR(MIN(H198/1000000,100),"")</f>
        <v/>
      </c>
      <c r="AO198" s="20">
        <f>IFERROR(INDEX(FHA_Lookup!$B$2:$B$11,MATCH(TRUE,ISNUMBER(SEARCH(FHA_Lookup!$A$2:$A$11,UPPER(SUBSTITUTE(O198," ","")))),0)),"OTHER")</f>
        <v/>
      </c>
      <c r="AP198" s="20">
        <f>IFERROR(INDEX(FHA_Lookup!$C$2:$C$11,MATCH(TRUE,ISNUMBER(SEARCH(FHA_Lookup!$A$2:$A$11,UPPER(SUBSTITUTE(O198," ","")))),0)),"OTHER")</f>
        <v/>
      </c>
      <c r="AQ198" s="20">
        <f>IF(AP198="NC",1,0)</f>
        <v/>
      </c>
      <c r="AR198" s="20">
        <f>IF(UPPER(TRIM(P198))="AFF",1,0)</f>
        <v/>
      </c>
      <c r="AS198" s="20">
        <f>IF(UPPER(TRIM(P198))="BAF",1,0)</f>
        <v/>
      </c>
      <c r="AT198" s="20">
        <f>IF(UPPER(TRIM(P198))="MKT",1,0)</f>
        <v/>
      </c>
      <c r="AU198" s="20">
        <f>IF(AO198="221d4",1,0)</f>
        <v/>
      </c>
      <c r="AV198" s="20">
        <f>IF(AO198="223a7",1,0)</f>
        <v/>
      </c>
      <c r="AW198" s="20">
        <f>IF(AO198="232",1,0)</f>
        <v/>
      </c>
      <c r="AX198" s="20">
        <f>IF(AO198="538",1,0)</f>
        <v/>
      </c>
      <c r="AY198" s="20">
        <f>IF(AO198="241",1,0)</f>
        <v/>
      </c>
      <c r="AZ198" s="20">
        <f>IF(AO198="220",1,0)</f>
        <v/>
      </c>
      <c r="BA198" s="20">
        <f>IF(AO198="OTHER",1,0)</f>
        <v/>
      </c>
      <c r="BB198" s="20">
        <f>IF(UPPER(TRIM(C198))="LM",1,0)</f>
        <v/>
      </c>
      <c r="BC198" s="20">
        <f>IF(UPPER(TRIM(C198))="PN",1,0)</f>
        <v/>
      </c>
      <c r="BD198" s="20">
        <f>IF(UPPER(TRIM(C198))="LS",1,0)</f>
        <v/>
      </c>
      <c r="BE198" s="20">
        <f>IF(UPPER(TRIM(C198))="RX",1,0)</f>
        <v/>
      </c>
      <c r="BF198" s="22">
        <f>IFERROR((Parameters!$C$6*AM198+Parameters!$C$7*MAX(AM198-(-150),0)+Parameters!$C$8*MAX(AM198-(-50),0)+Parameters!$C$9*MAX(AM198-(0),0)+Parameters!$C$10*MAX(AM198-(50),0)+Parameters!$C$11*MAX(AM198-(100),0)+Parameters!$C$12*MAX(AM198-(150),0)+Parameters!$C$13*MAX(AM198-(250),0)),0)</f>
        <v/>
      </c>
      <c r="BG198" s="22">
        <f>IFERROR((Parameters!$C$14*AA198+Parameters!$C$15*MAX(AA198-(12),0)+Parameters!$C$16*MAX(AA198-(36),0)+Parameters!$C$17*MAX(AA198-(60),0)+Parameters!$C$18*MAX(AA198-(84),0)+Parameters!$C$19*MAX(AA198-(120),0)+Parameters!$C$20*MAX(AA198-(180),0)),0)</f>
        <v/>
      </c>
      <c r="BH198" s="22">
        <f>IFERROR((Parameters!$C$21*AK198+Parameters!$C$22*MAX(AK198-(0),0)+Parameters!$C$23*MAX(AK198-(2),0)+Parameters!$C$24*MAX(AK198-(5),0)+Parameters!$C$25*MAX(AK198-(8),0)),0)</f>
        <v/>
      </c>
      <c r="BI198" s="22">
        <f>IFERROR((Parameters!$C$26*AI198+Parameters!$C$27*MAX(AI198-(-100),0)+Parameters!$C$28*MAX(AI198-(-25),0)+Parameters!$C$29*MAX(AI198-(25),0)+Parameters!$C$30*MAX(AI198-(100),0)),0)</f>
        <v/>
      </c>
      <c r="BJ198" s="22">
        <f>IFERROR((Parameters!$C$31*AN198+Parameters!$C$32*MAX(AN198-(2),0)+Parameters!$C$33*MAX(AN198-(10),0)+Parameters!$C$34*MAX(AN198-(25),0)),0)</f>
        <v/>
      </c>
      <c r="BK198" s="22">
        <f>IFERROR((Parameters!$C$35*AB198+Parameters!$C$36*MAX(AB198-(12),0)+Parameters!$C$37*MAX(AB198-(24),0)+Parameters!$C$38*MAX(AB198-(60),0)),0)</f>
        <v/>
      </c>
      <c r="BL198" s="22">
        <f>IFERROR((Parameters!$C$39*AC198+Parameters!$C$40*MAX(AC198-(6),0)+Parameters!$C$41*MAX(AC198-(12),0)+Parameters!$C$42*MAX(AC198-(24),0)),0)</f>
        <v/>
      </c>
      <c r="BM198" s="22">
        <f>IFERROR(Parameters!$C$43*(MAX(AM198,0)*MIN(MAX(AK198,0),10))/100,0)</f>
        <v/>
      </c>
      <c r="BN198" s="22">
        <f>Parameters!$C$44*AE198</f>
        <v/>
      </c>
      <c r="BO198" s="22">
        <f>Parameters!$C$45*AU198 + Parameters!$C$46*AV198 + Parameters!$C$47*AW198 + Parameters!$C$48*AX198 + Parameters!$C$49*AY198 + Parameters!$C$50*AZ198 + Parameters!$C$51*BA198</f>
        <v/>
      </c>
      <c r="BP198" s="22">
        <f>Parameters!$C$52*AQ198</f>
        <v/>
      </c>
      <c r="BQ198" s="22">
        <f>Parameters!$C$53*AR198+Parameters!$C$54*AS198+Parameters!$C$55*AT198</f>
        <v/>
      </c>
      <c r="BR198" s="22">
        <f>Parameters!$C$56*BB198+Parameters!$C$57*BC198+Parameters!$C$58*BD198+Parameters!$C$59*BE198</f>
        <v/>
      </c>
      <c r="BS198" s="23">
        <f>Parameters!$B$2</f>
        <v/>
      </c>
      <c r="BT198" s="23">
        <f>BS198+BF198 + BG198 + BH198 + BI198 + BJ198 + BK198 + BL198 + BM198 + BN198 + BO198 + BP198 + BQ198 + BR198</f>
        <v/>
      </c>
      <c r="BU198" s="24">
        <f>IF(AD198=1,0,1/(1+EXP(-BT198))*Parameters!$B$3)</f>
        <v/>
      </c>
      <c r="BV198" s="25">
        <f>(1-(1-BU198)^12)*100</f>
        <v/>
      </c>
      <c r="BW198" s="25">
        <f>IF(AD198=1,0,(1-(1-1/(1+EXP(-Parameters!$B$2)))^12)*100)</f>
        <v/>
      </c>
      <c r="BX198" s="25">
        <f>IF(AD198=1,0,BV198-(1-(1-(1/(1+EXP(-(BT198-BF198)))*Parameters!$B$3))^12)*100)</f>
        <v/>
      </c>
      <c r="BY198" s="25">
        <f>IF(AD198=1,0,BV198-(1-(1-(1/(1+EXP(-(BT198-BG198)))*Parameters!$B$3))^12)*100)</f>
        <v/>
      </c>
      <c r="BZ198" s="25">
        <f>IF(AD198=1,0,BV198-(1-(1-(1/(1+EXP(-(BT198-BH198)))*Parameters!$B$3))^12)*100)</f>
        <v/>
      </c>
      <c r="CA198" s="25">
        <f>IF(AD198=1,0,BV198-(1-(1-(1/(1+EXP(-(BT198-BI198)))*Parameters!$B$3))^12)*100)</f>
        <v/>
      </c>
      <c r="CB198" s="25">
        <f>IF(AD198=1,0,BV198-(1-(1-(1/(1+EXP(-(BT198-BJ198)))*Parameters!$B$3))^12)*100)</f>
        <v/>
      </c>
      <c r="CC198" s="25">
        <f>IF(AD198=1,0,BV198-(1-(1-(1/(1+EXP(-(BT198-BK198)))*Parameters!$B$3))^12)*100)</f>
        <v/>
      </c>
      <c r="CD198" s="25">
        <f>IF(AD198=1,0,BV198-(1-(1-(1/(1+EXP(-(BT198-BL198)))*Parameters!$B$3))^12)*100)</f>
        <v/>
      </c>
      <c r="CE198" s="25">
        <f>IF(AD198=1,0,BV198-(1-(1-(1/(1+EXP(-(BT198-BM198)))*Parameters!$B$3))^12)*100)</f>
        <v/>
      </c>
      <c r="CF198" s="25">
        <f>IF(AD198=1,0,BV198-(1-(1-(1/(1+EXP(-(BT198-BN198)))*Parameters!$B$3))^12)*100)</f>
        <v/>
      </c>
      <c r="CG198" s="25">
        <f>IF(AD198=1,0,BV198-(1-(1-(1/(1+EXP(-(BT198-BO198)))*Parameters!$B$3))^12)*100)</f>
        <v/>
      </c>
      <c r="CH198" s="25">
        <f>IF(AD198=1,0,BV198-(1-(1-(1/(1+EXP(-(BT198-BP198)))*Parameters!$B$3))^12)*100)</f>
        <v/>
      </c>
      <c r="CI198" s="25">
        <f>IF(AD198=1,0,BV198-(1-(1-(1/(1+EXP(-(BT198-BQ198)))*Parameters!$B$3))^12)*100)</f>
        <v/>
      </c>
      <c r="CJ198" s="25">
        <f>IF(AD198=1,0,BV198-(1-(1-(1/(1+EXP(-(BT198-BR198)))*Parameters!$B$3))^12)*100)</f>
        <v/>
      </c>
    </row>
    <row r="199">
      <c r="A199" s="17" t="inlineStr">
        <is>
          <t>GNR_DIVERSE</t>
        </is>
      </c>
      <c r="B199" s="17" t="inlineStr">
        <is>
          <t>3617HGVQ4</t>
        </is>
      </c>
      <c r="C199" s="17" t="inlineStr">
        <is>
          <t>LM</t>
        </is>
      </c>
      <c r="D199" s="17" t="inlineStr">
        <is>
          <t>PNC BANK, NA</t>
        </is>
      </c>
      <c r="E199" s="17" t="inlineStr">
        <is>
          <t>3617HGVQ4_000000012235718</t>
        </is>
      </c>
      <c r="F199" s="17" t="n">
        <v>202603</v>
      </c>
      <c r="G199" s="18" t="n">
        <v>3.75</v>
      </c>
      <c r="H199" s="19" t="n">
        <v>12918212.25</v>
      </c>
      <c r="I199" s="17" t="n">
        <v>492</v>
      </c>
      <c r="J199" s="17" t="n">
        <v>20191223</v>
      </c>
      <c r="K199" s="17" t="n">
        <v>20550101</v>
      </c>
      <c r="L199" s="17" t="n"/>
      <c r="M199" s="17" t="n">
        <v>20280201</v>
      </c>
      <c r="N199" s="17" t="n">
        <v>10</v>
      </c>
      <c r="O199" s="17" t="inlineStr">
        <is>
          <t>221(D)(4)</t>
        </is>
      </c>
      <c r="P199" s="17" t="inlineStr">
        <is>
          <t>MKT</t>
        </is>
      </c>
      <c r="Q199" s="17" t="inlineStr">
        <is>
          <t>M</t>
        </is>
      </c>
      <c r="R199" s="17" t="n"/>
      <c r="S199" s="17" t="n">
        <v>1</v>
      </c>
      <c r="T199" s="17" t="inlineStr">
        <is>
          <t>CA</t>
        </is>
      </c>
      <c r="U199" s="17" t="n">
        <v>156</v>
      </c>
      <c r="V199" s="17" t="n">
        <v>490.5</v>
      </c>
      <c r="W199" s="17" t="n">
        <v>75</v>
      </c>
      <c r="X199" s="17" t="n">
        <v>2019</v>
      </c>
      <c r="Y199" s="17" t="n">
        <v>8</v>
      </c>
      <c r="Z199" s="17" t="n">
        <v>2</v>
      </c>
      <c r="AA199" s="20">
        <f>IF(ISNUMBER(W199),W199,IFERROR(MAX(0,(VALUE(LEFT(F199,4))-VALUE(LEFT(TEXT(J199,"00000000"),4)))*12+(VALUE(MID(F199,5,2))-VALUE(MID(TEXT(J199,"00000000"),5,2)))),""))</f>
        <v/>
      </c>
      <c r="AB199" s="20">
        <f>IFERROR((VALUE(LEFT(TEXT(K199,"00000000"),4))-VALUE(LEFT(F199,4)))*12+(VALUE(MID(TEXT(K199,"00000000"),5,2))-VALUE(MID(F199,5,2))),"")</f>
        <v/>
      </c>
      <c r="AC199" s="20">
        <f>IF(OR(L199="",NOT(ISNUMBER(L199))),0,MAX(0,MIN(60,(VALUE(LEFT(F199,4))-VALUE(LEFT(TEXT(L199,"00000000"),4)))*12+(VALUE(MID(F199,5,2))-VALUE(MID(TEXT(L199,"00000000"),5,2))))))</f>
        <v/>
      </c>
      <c r="AD199" s="20">
        <f>IF(OR(L199="",NOT(ISNUMBER(L199))),0,IF(VALUE(F199)&lt;VALUE(LEFT(TEXT(L199,"00000000"),6)),1,0))</f>
        <v/>
      </c>
      <c r="AE199" s="20">
        <f>IF(OR(M199="",NOT(ISNUMBER(M199))),0,IF(VALUE(F199)&lt;VALUE(LEFT(TEXT(M199,"00000000"),6)),1,0))</f>
        <v/>
      </c>
      <c r="AF199" s="20">
        <f>IF(AND(AD199=0,AE199=0),1,0)</f>
        <v/>
      </c>
      <c r="AG199" s="20">
        <f>IF(ISNUMBER(X199),X199,IFERROR(VALUE(LEFT(TEXT(J199,"00000000"),4)),""))</f>
        <v/>
      </c>
      <c r="AH199" s="20">
        <f>IFERROR(XLOOKUP(AG199,Vintage_Rates!$A$2:$A$1000,Vintage_Rates!$B$2:$B$1000,""),"")</f>
        <v/>
      </c>
      <c r="AI199" s="20">
        <f>IF(ISNUMBER(Y199),Y199,IFERROR((G199-AH199)*100,""))</f>
        <v/>
      </c>
      <c r="AJ199" s="20">
        <f>IF(ISNUMBER(V199),V199,IFERROR(XLOOKUP(VALUE(F199),PLC_Rates!$A$2:$A$1000,PLC_Rates!$B$2:$B$1000,""),""))</f>
        <v/>
      </c>
      <c r="AK199" s="20">
        <f>IF(ISNUMBER(Z199),Z199,IF(AE199=0,0,MAX(0,MIN(10,((VALUE(LEFT(TEXT(M199,"00000000"),4))-VALUE(LEFT(F199,4)))*12+(VALUE(MID(TEXT(M199,"00000000"),5,2))-VALUE(MID(F199,5,2))))/12))))</f>
        <v/>
      </c>
      <c r="AL199" s="20">
        <f>IFERROR(G199*100-AJ199,"")</f>
        <v/>
      </c>
      <c r="AM199" s="20">
        <f>IFERROR(G199*100-(AJ199+(1+AK199)*12.5),"")</f>
        <v/>
      </c>
      <c r="AN199" s="21">
        <f>IFERROR(MIN(H199/1000000,100),"")</f>
        <v/>
      </c>
      <c r="AO199" s="20">
        <f>IFERROR(INDEX(FHA_Lookup!$B$2:$B$11,MATCH(TRUE,ISNUMBER(SEARCH(FHA_Lookup!$A$2:$A$11,UPPER(SUBSTITUTE(O199," ","")))),0)),"OTHER")</f>
        <v/>
      </c>
      <c r="AP199" s="20">
        <f>IFERROR(INDEX(FHA_Lookup!$C$2:$C$11,MATCH(TRUE,ISNUMBER(SEARCH(FHA_Lookup!$A$2:$A$11,UPPER(SUBSTITUTE(O199," ","")))),0)),"OTHER")</f>
        <v/>
      </c>
      <c r="AQ199" s="20">
        <f>IF(AP199="NC",1,0)</f>
        <v/>
      </c>
      <c r="AR199" s="20">
        <f>IF(UPPER(TRIM(P199))="AFF",1,0)</f>
        <v/>
      </c>
      <c r="AS199" s="20">
        <f>IF(UPPER(TRIM(P199))="BAF",1,0)</f>
        <v/>
      </c>
      <c r="AT199" s="20">
        <f>IF(UPPER(TRIM(P199))="MKT",1,0)</f>
        <v/>
      </c>
      <c r="AU199" s="20">
        <f>IF(AO199="221d4",1,0)</f>
        <v/>
      </c>
      <c r="AV199" s="20">
        <f>IF(AO199="223a7",1,0)</f>
        <v/>
      </c>
      <c r="AW199" s="20">
        <f>IF(AO199="232",1,0)</f>
        <v/>
      </c>
      <c r="AX199" s="20">
        <f>IF(AO199="538",1,0)</f>
        <v/>
      </c>
      <c r="AY199" s="20">
        <f>IF(AO199="241",1,0)</f>
        <v/>
      </c>
      <c r="AZ199" s="20">
        <f>IF(AO199="220",1,0)</f>
        <v/>
      </c>
      <c r="BA199" s="20">
        <f>IF(AO199="OTHER",1,0)</f>
        <v/>
      </c>
      <c r="BB199" s="20">
        <f>IF(UPPER(TRIM(C199))="LM",1,0)</f>
        <v/>
      </c>
      <c r="BC199" s="20">
        <f>IF(UPPER(TRIM(C199))="PN",1,0)</f>
        <v/>
      </c>
      <c r="BD199" s="20">
        <f>IF(UPPER(TRIM(C199))="LS",1,0)</f>
        <v/>
      </c>
      <c r="BE199" s="20">
        <f>IF(UPPER(TRIM(C199))="RX",1,0)</f>
        <v/>
      </c>
      <c r="BF199" s="22">
        <f>IFERROR((Parameters!$C$6*AM199+Parameters!$C$7*MAX(AM199-(-150),0)+Parameters!$C$8*MAX(AM199-(-50),0)+Parameters!$C$9*MAX(AM199-(0),0)+Parameters!$C$10*MAX(AM199-(50),0)+Parameters!$C$11*MAX(AM199-(100),0)+Parameters!$C$12*MAX(AM199-(150),0)+Parameters!$C$13*MAX(AM199-(250),0)),0)</f>
        <v/>
      </c>
      <c r="BG199" s="22">
        <f>IFERROR((Parameters!$C$14*AA199+Parameters!$C$15*MAX(AA199-(12),0)+Parameters!$C$16*MAX(AA199-(36),0)+Parameters!$C$17*MAX(AA199-(60),0)+Parameters!$C$18*MAX(AA199-(84),0)+Parameters!$C$19*MAX(AA199-(120),0)+Parameters!$C$20*MAX(AA199-(180),0)),0)</f>
        <v/>
      </c>
      <c r="BH199" s="22">
        <f>IFERROR((Parameters!$C$21*AK199+Parameters!$C$22*MAX(AK199-(0),0)+Parameters!$C$23*MAX(AK199-(2),0)+Parameters!$C$24*MAX(AK199-(5),0)+Parameters!$C$25*MAX(AK199-(8),0)),0)</f>
        <v/>
      </c>
      <c r="BI199" s="22">
        <f>IFERROR((Parameters!$C$26*AI199+Parameters!$C$27*MAX(AI199-(-100),0)+Parameters!$C$28*MAX(AI199-(-25),0)+Parameters!$C$29*MAX(AI199-(25),0)+Parameters!$C$30*MAX(AI199-(100),0)),0)</f>
        <v/>
      </c>
      <c r="BJ199" s="22">
        <f>IFERROR((Parameters!$C$31*AN199+Parameters!$C$32*MAX(AN199-(2),0)+Parameters!$C$33*MAX(AN199-(10),0)+Parameters!$C$34*MAX(AN199-(25),0)),0)</f>
        <v/>
      </c>
      <c r="BK199" s="22">
        <f>IFERROR((Parameters!$C$35*AB199+Parameters!$C$36*MAX(AB199-(12),0)+Parameters!$C$37*MAX(AB199-(24),0)+Parameters!$C$38*MAX(AB199-(60),0)),0)</f>
        <v/>
      </c>
      <c r="BL199" s="22">
        <f>IFERROR((Parameters!$C$39*AC199+Parameters!$C$40*MAX(AC199-(6),0)+Parameters!$C$41*MAX(AC199-(12),0)+Parameters!$C$42*MAX(AC199-(24),0)),0)</f>
        <v/>
      </c>
      <c r="BM199" s="22">
        <f>IFERROR(Parameters!$C$43*(MAX(AM199,0)*MIN(MAX(AK199,0),10))/100,0)</f>
        <v/>
      </c>
      <c r="BN199" s="22">
        <f>Parameters!$C$44*AE199</f>
        <v/>
      </c>
      <c r="BO199" s="22">
        <f>Parameters!$C$45*AU199 + Parameters!$C$46*AV199 + Parameters!$C$47*AW199 + Parameters!$C$48*AX199 + Parameters!$C$49*AY199 + Parameters!$C$50*AZ199 + Parameters!$C$51*BA199</f>
        <v/>
      </c>
      <c r="BP199" s="22">
        <f>Parameters!$C$52*AQ199</f>
        <v/>
      </c>
      <c r="BQ199" s="22">
        <f>Parameters!$C$53*AR199+Parameters!$C$54*AS199+Parameters!$C$55*AT199</f>
        <v/>
      </c>
      <c r="BR199" s="22">
        <f>Parameters!$C$56*BB199+Parameters!$C$57*BC199+Parameters!$C$58*BD199+Parameters!$C$59*BE199</f>
        <v/>
      </c>
      <c r="BS199" s="23">
        <f>Parameters!$B$2</f>
        <v/>
      </c>
      <c r="BT199" s="23">
        <f>BS199+BF199 + BG199 + BH199 + BI199 + BJ199 + BK199 + BL199 + BM199 + BN199 + BO199 + BP199 + BQ199 + BR199</f>
        <v/>
      </c>
      <c r="BU199" s="24">
        <f>IF(AD199=1,0,1/(1+EXP(-BT199))*Parameters!$B$3)</f>
        <v/>
      </c>
      <c r="BV199" s="25">
        <f>(1-(1-BU199)^12)*100</f>
        <v/>
      </c>
      <c r="BW199" s="25">
        <f>IF(AD199=1,0,(1-(1-1/(1+EXP(-Parameters!$B$2)))^12)*100)</f>
        <v/>
      </c>
      <c r="BX199" s="25">
        <f>IF(AD199=1,0,BV199-(1-(1-(1/(1+EXP(-(BT199-BF199)))*Parameters!$B$3))^12)*100)</f>
        <v/>
      </c>
      <c r="BY199" s="25">
        <f>IF(AD199=1,0,BV199-(1-(1-(1/(1+EXP(-(BT199-BG199)))*Parameters!$B$3))^12)*100)</f>
        <v/>
      </c>
      <c r="BZ199" s="25">
        <f>IF(AD199=1,0,BV199-(1-(1-(1/(1+EXP(-(BT199-BH199)))*Parameters!$B$3))^12)*100)</f>
        <v/>
      </c>
      <c r="CA199" s="25">
        <f>IF(AD199=1,0,BV199-(1-(1-(1/(1+EXP(-(BT199-BI199)))*Parameters!$B$3))^12)*100)</f>
        <v/>
      </c>
      <c r="CB199" s="25">
        <f>IF(AD199=1,0,BV199-(1-(1-(1/(1+EXP(-(BT199-BJ199)))*Parameters!$B$3))^12)*100)</f>
        <v/>
      </c>
      <c r="CC199" s="25">
        <f>IF(AD199=1,0,BV199-(1-(1-(1/(1+EXP(-(BT199-BK199)))*Parameters!$B$3))^12)*100)</f>
        <v/>
      </c>
      <c r="CD199" s="25">
        <f>IF(AD199=1,0,BV199-(1-(1-(1/(1+EXP(-(BT199-BL199)))*Parameters!$B$3))^12)*100)</f>
        <v/>
      </c>
      <c r="CE199" s="25">
        <f>IF(AD199=1,0,BV199-(1-(1-(1/(1+EXP(-(BT199-BM199)))*Parameters!$B$3))^12)*100)</f>
        <v/>
      </c>
      <c r="CF199" s="25">
        <f>IF(AD199=1,0,BV199-(1-(1-(1/(1+EXP(-(BT199-BN199)))*Parameters!$B$3))^12)*100)</f>
        <v/>
      </c>
      <c r="CG199" s="25">
        <f>IF(AD199=1,0,BV199-(1-(1-(1/(1+EXP(-(BT199-BO199)))*Parameters!$B$3))^12)*100)</f>
        <v/>
      </c>
      <c r="CH199" s="25">
        <f>IF(AD199=1,0,BV199-(1-(1-(1/(1+EXP(-(BT199-BP199)))*Parameters!$B$3))^12)*100)</f>
        <v/>
      </c>
      <c r="CI199" s="25">
        <f>IF(AD199=1,0,BV199-(1-(1-(1/(1+EXP(-(BT199-BQ199)))*Parameters!$B$3))^12)*100)</f>
        <v/>
      </c>
      <c r="CJ199" s="25">
        <f>IF(AD199=1,0,BV199-(1-(1-(1/(1+EXP(-(BT199-BR199)))*Parameters!$B$3))^12)*100)</f>
        <v/>
      </c>
    </row>
    <row r="200">
      <c r="A200" s="17" t="inlineStr">
        <is>
          <t>GNR_DIVERSE</t>
        </is>
      </c>
      <c r="B200" s="17" t="inlineStr">
        <is>
          <t>3617FTUK2</t>
        </is>
      </c>
      <c r="C200" s="17" t="inlineStr">
        <is>
          <t>PN</t>
        </is>
      </c>
      <c r="D200" s="17" t="inlineStr">
        <is>
          <t>BELLWETHER ENTERPRISE REAL ESTATE CAPITA</t>
        </is>
      </c>
      <c r="E200" s="17" t="inlineStr">
        <is>
          <t>3617FTUK2_000000004711318</t>
        </is>
      </c>
      <c r="F200" s="17" t="n">
        <v>202603</v>
      </c>
      <c r="G200" s="18" t="n">
        <v>5.95</v>
      </c>
      <c r="H200" s="19" t="n">
        <v>17449124.34</v>
      </c>
      <c r="I200" s="17" t="n">
        <v>420</v>
      </c>
      <c r="J200" s="17" t="n">
        <v>20221216</v>
      </c>
      <c r="K200" s="17" t="n">
        <v>20580101</v>
      </c>
      <c r="L200" s="17" t="n"/>
      <c r="M200" s="17" t="n">
        <v>20330131</v>
      </c>
      <c r="N200" s="17" t="n">
        <v>10</v>
      </c>
      <c r="O200" s="17" t="inlineStr">
        <is>
          <t>207/223(F)</t>
        </is>
      </c>
      <c r="P200" s="17" t="inlineStr">
        <is>
          <t>MKT</t>
        </is>
      </c>
      <c r="Q200" s="17" t="n"/>
      <c r="R200" s="17" t="inlineStr">
        <is>
          <t>P</t>
        </is>
      </c>
      <c r="S200" s="17" t="n"/>
      <c r="T200" s="17" t="inlineStr">
        <is>
          <t>MI</t>
        </is>
      </c>
      <c r="U200" s="17" t="n">
        <v>87</v>
      </c>
      <c r="V200" s="17" t="n">
        <v>490.5</v>
      </c>
      <c r="W200" s="17" t="n">
        <v>39</v>
      </c>
      <c r="X200" s="17" t="n">
        <v>2022</v>
      </c>
      <c r="Y200" s="17" t="n">
        <v>220</v>
      </c>
      <c r="Z200" s="17" t="n">
        <v>8</v>
      </c>
      <c r="AA200" s="20">
        <f>IF(ISNUMBER(W200),W200,IFERROR(MAX(0,(VALUE(LEFT(F200,4))-VALUE(LEFT(TEXT(J200,"00000000"),4)))*12+(VALUE(MID(F200,5,2))-VALUE(MID(TEXT(J200,"00000000"),5,2)))),""))</f>
        <v/>
      </c>
      <c r="AB200" s="20">
        <f>IFERROR((VALUE(LEFT(TEXT(K200,"00000000"),4))-VALUE(LEFT(F200,4)))*12+(VALUE(MID(TEXT(K200,"00000000"),5,2))-VALUE(MID(F200,5,2))),"")</f>
        <v/>
      </c>
      <c r="AC200" s="20">
        <f>IF(OR(L200="",NOT(ISNUMBER(L200))),0,MAX(0,MIN(60,(VALUE(LEFT(F200,4))-VALUE(LEFT(TEXT(L200,"00000000"),4)))*12+(VALUE(MID(F200,5,2))-VALUE(MID(TEXT(L200,"00000000"),5,2))))))</f>
        <v/>
      </c>
      <c r="AD200" s="20">
        <f>IF(OR(L200="",NOT(ISNUMBER(L200))),0,IF(VALUE(F200)&lt;VALUE(LEFT(TEXT(L200,"00000000"),6)),1,0))</f>
        <v/>
      </c>
      <c r="AE200" s="20">
        <f>IF(OR(M200="",NOT(ISNUMBER(M200))),0,IF(VALUE(F200)&lt;VALUE(LEFT(TEXT(M200,"00000000"),6)),1,0))</f>
        <v/>
      </c>
      <c r="AF200" s="20">
        <f>IF(AND(AD200=0,AE200=0),1,0)</f>
        <v/>
      </c>
      <c r="AG200" s="20">
        <f>IF(ISNUMBER(X200),X200,IFERROR(VALUE(LEFT(TEXT(J200,"00000000"),4)),""))</f>
        <v/>
      </c>
      <c r="AH200" s="20">
        <f>IFERROR(XLOOKUP(AG200,Vintage_Rates!$A$2:$A$1000,Vintage_Rates!$B$2:$B$1000,""),"")</f>
        <v/>
      </c>
      <c r="AI200" s="20">
        <f>IF(ISNUMBER(Y200),Y200,IFERROR((G200-AH200)*100,""))</f>
        <v/>
      </c>
      <c r="AJ200" s="20">
        <f>IF(ISNUMBER(V200),V200,IFERROR(XLOOKUP(VALUE(F200),PLC_Rates!$A$2:$A$1000,PLC_Rates!$B$2:$B$1000,""),""))</f>
        <v/>
      </c>
      <c r="AK200" s="20">
        <f>IF(ISNUMBER(Z200),Z200,IF(AE200=0,0,MAX(0,MIN(10,((VALUE(LEFT(TEXT(M200,"00000000"),4))-VALUE(LEFT(F200,4)))*12+(VALUE(MID(TEXT(M200,"00000000"),5,2))-VALUE(MID(F200,5,2))))/12))))</f>
        <v/>
      </c>
      <c r="AL200" s="20">
        <f>IFERROR(G200*100-AJ200,"")</f>
        <v/>
      </c>
      <c r="AM200" s="20">
        <f>IFERROR(G200*100-(AJ200+(1+AK200)*12.5),"")</f>
        <v/>
      </c>
      <c r="AN200" s="21">
        <f>IFERROR(MIN(H200/1000000,100),"")</f>
        <v/>
      </c>
      <c r="AO200" s="20">
        <f>IFERROR(INDEX(FHA_Lookup!$B$2:$B$11,MATCH(TRUE,ISNUMBER(SEARCH(FHA_Lookup!$A$2:$A$11,UPPER(SUBSTITUTE(O200," ","")))),0)),"OTHER")</f>
        <v/>
      </c>
      <c r="AP200" s="20">
        <f>IFERROR(INDEX(FHA_Lookup!$C$2:$C$11,MATCH(TRUE,ISNUMBER(SEARCH(FHA_Lookup!$A$2:$A$11,UPPER(SUBSTITUTE(O200," ","")))),0)),"OTHER")</f>
        <v/>
      </c>
      <c r="AQ200" s="20">
        <f>IF(AP200="NC",1,0)</f>
        <v/>
      </c>
      <c r="AR200" s="20">
        <f>IF(UPPER(TRIM(P200))="AFF",1,0)</f>
        <v/>
      </c>
      <c r="AS200" s="20">
        <f>IF(UPPER(TRIM(P200))="BAF",1,0)</f>
        <v/>
      </c>
      <c r="AT200" s="20">
        <f>IF(UPPER(TRIM(P200))="MKT",1,0)</f>
        <v/>
      </c>
      <c r="AU200" s="20">
        <f>IF(AO200="221d4",1,0)</f>
        <v/>
      </c>
      <c r="AV200" s="20">
        <f>IF(AO200="223a7",1,0)</f>
        <v/>
      </c>
      <c r="AW200" s="20">
        <f>IF(AO200="232",1,0)</f>
        <v/>
      </c>
      <c r="AX200" s="20">
        <f>IF(AO200="538",1,0)</f>
        <v/>
      </c>
      <c r="AY200" s="20">
        <f>IF(AO200="241",1,0)</f>
        <v/>
      </c>
      <c r="AZ200" s="20">
        <f>IF(AO200="220",1,0)</f>
        <v/>
      </c>
      <c r="BA200" s="20">
        <f>IF(AO200="OTHER",1,0)</f>
        <v/>
      </c>
      <c r="BB200" s="20">
        <f>IF(UPPER(TRIM(C200))="LM",1,0)</f>
        <v/>
      </c>
      <c r="BC200" s="20">
        <f>IF(UPPER(TRIM(C200))="PN",1,0)</f>
        <v/>
      </c>
      <c r="BD200" s="20">
        <f>IF(UPPER(TRIM(C200))="LS",1,0)</f>
        <v/>
      </c>
      <c r="BE200" s="20">
        <f>IF(UPPER(TRIM(C200))="RX",1,0)</f>
        <v/>
      </c>
      <c r="BF200" s="22">
        <f>IFERROR((Parameters!$C$6*AM200+Parameters!$C$7*MAX(AM200-(-150),0)+Parameters!$C$8*MAX(AM200-(-50),0)+Parameters!$C$9*MAX(AM200-(0),0)+Parameters!$C$10*MAX(AM200-(50),0)+Parameters!$C$11*MAX(AM200-(100),0)+Parameters!$C$12*MAX(AM200-(150),0)+Parameters!$C$13*MAX(AM200-(250),0)),0)</f>
        <v/>
      </c>
      <c r="BG200" s="22">
        <f>IFERROR((Parameters!$C$14*AA200+Parameters!$C$15*MAX(AA200-(12),0)+Parameters!$C$16*MAX(AA200-(36),0)+Parameters!$C$17*MAX(AA200-(60),0)+Parameters!$C$18*MAX(AA200-(84),0)+Parameters!$C$19*MAX(AA200-(120),0)+Parameters!$C$20*MAX(AA200-(180),0)),0)</f>
        <v/>
      </c>
      <c r="BH200" s="22">
        <f>IFERROR((Parameters!$C$21*AK200+Parameters!$C$22*MAX(AK200-(0),0)+Parameters!$C$23*MAX(AK200-(2),0)+Parameters!$C$24*MAX(AK200-(5),0)+Parameters!$C$25*MAX(AK200-(8),0)),0)</f>
        <v/>
      </c>
      <c r="BI200" s="22">
        <f>IFERROR((Parameters!$C$26*AI200+Parameters!$C$27*MAX(AI200-(-100),0)+Parameters!$C$28*MAX(AI200-(-25),0)+Parameters!$C$29*MAX(AI200-(25),0)+Parameters!$C$30*MAX(AI200-(100),0)),0)</f>
        <v/>
      </c>
      <c r="BJ200" s="22">
        <f>IFERROR((Parameters!$C$31*AN200+Parameters!$C$32*MAX(AN200-(2),0)+Parameters!$C$33*MAX(AN200-(10),0)+Parameters!$C$34*MAX(AN200-(25),0)),0)</f>
        <v/>
      </c>
      <c r="BK200" s="22">
        <f>IFERROR((Parameters!$C$35*AB200+Parameters!$C$36*MAX(AB200-(12),0)+Parameters!$C$37*MAX(AB200-(24),0)+Parameters!$C$38*MAX(AB200-(60),0)),0)</f>
        <v/>
      </c>
      <c r="BL200" s="22">
        <f>IFERROR((Parameters!$C$39*AC200+Parameters!$C$40*MAX(AC200-(6),0)+Parameters!$C$41*MAX(AC200-(12),0)+Parameters!$C$42*MAX(AC200-(24),0)),0)</f>
        <v/>
      </c>
      <c r="BM200" s="22">
        <f>IFERROR(Parameters!$C$43*(MAX(AM200,0)*MIN(MAX(AK200,0),10))/100,0)</f>
        <v/>
      </c>
      <c r="BN200" s="22">
        <f>Parameters!$C$44*AE200</f>
        <v/>
      </c>
      <c r="BO200" s="22">
        <f>Parameters!$C$45*AU200 + Parameters!$C$46*AV200 + Parameters!$C$47*AW200 + Parameters!$C$48*AX200 + Parameters!$C$49*AY200 + Parameters!$C$50*AZ200 + Parameters!$C$51*BA200</f>
        <v/>
      </c>
      <c r="BP200" s="22">
        <f>Parameters!$C$52*AQ200</f>
        <v/>
      </c>
      <c r="BQ200" s="22">
        <f>Parameters!$C$53*AR200+Parameters!$C$54*AS200+Parameters!$C$55*AT200</f>
        <v/>
      </c>
      <c r="BR200" s="22">
        <f>Parameters!$C$56*BB200+Parameters!$C$57*BC200+Parameters!$C$58*BD200+Parameters!$C$59*BE200</f>
        <v/>
      </c>
      <c r="BS200" s="23">
        <f>Parameters!$B$2</f>
        <v/>
      </c>
      <c r="BT200" s="23">
        <f>BS200+BF200 + BG200 + BH200 + BI200 + BJ200 + BK200 + BL200 + BM200 + BN200 + BO200 + BP200 + BQ200 + BR200</f>
        <v/>
      </c>
      <c r="BU200" s="24">
        <f>IF(AD200=1,0,1/(1+EXP(-BT200))*Parameters!$B$3)</f>
        <v/>
      </c>
      <c r="BV200" s="25">
        <f>(1-(1-BU200)^12)*100</f>
        <v/>
      </c>
      <c r="BW200" s="25">
        <f>IF(AD200=1,0,(1-(1-1/(1+EXP(-Parameters!$B$2)))^12)*100)</f>
        <v/>
      </c>
      <c r="BX200" s="25">
        <f>IF(AD200=1,0,BV200-(1-(1-(1/(1+EXP(-(BT200-BF200)))*Parameters!$B$3))^12)*100)</f>
        <v/>
      </c>
      <c r="BY200" s="25">
        <f>IF(AD200=1,0,BV200-(1-(1-(1/(1+EXP(-(BT200-BG200)))*Parameters!$B$3))^12)*100)</f>
        <v/>
      </c>
      <c r="BZ200" s="25">
        <f>IF(AD200=1,0,BV200-(1-(1-(1/(1+EXP(-(BT200-BH200)))*Parameters!$B$3))^12)*100)</f>
        <v/>
      </c>
      <c r="CA200" s="25">
        <f>IF(AD200=1,0,BV200-(1-(1-(1/(1+EXP(-(BT200-BI200)))*Parameters!$B$3))^12)*100)</f>
        <v/>
      </c>
      <c r="CB200" s="25">
        <f>IF(AD200=1,0,BV200-(1-(1-(1/(1+EXP(-(BT200-BJ200)))*Parameters!$B$3))^12)*100)</f>
        <v/>
      </c>
      <c r="CC200" s="25">
        <f>IF(AD200=1,0,BV200-(1-(1-(1/(1+EXP(-(BT200-BK200)))*Parameters!$B$3))^12)*100)</f>
        <v/>
      </c>
      <c r="CD200" s="25">
        <f>IF(AD200=1,0,BV200-(1-(1-(1/(1+EXP(-(BT200-BL200)))*Parameters!$B$3))^12)*100)</f>
        <v/>
      </c>
      <c r="CE200" s="25">
        <f>IF(AD200=1,0,BV200-(1-(1-(1/(1+EXP(-(BT200-BM200)))*Parameters!$B$3))^12)*100)</f>
        <v/>
      </c>
      <c r="CF200" s="25">
        <f>IF(AD200=1,0,BV200-(1-(1-(1/(1+EXP(-(BT200-BN200)))*Parameters!$B$3))^12)*100)</f>
        <v/>
      </c>
      <c r="CG200" s="25">
        <f>IF(AD200=1,0,BV200-(1-(1-(1/(1+EXP(-(BT200-BO200)))*Parameters!$B$3))^12)*100)</f>
        <v/>
      </c>
      <c r="CH200" s="25">
        <f>IF(AD200=1,0,BV200-(1-(1-(1/(1+EXP(-(BT200-BP200)))*Parameters!$B$3))^12)*100)</f>
        <v/>
      </c>
      <c r="CI200" s="25">
        <f>IF(AD200=1,0,BV200-(1-(1-(1/(1+EXP(-(BT200-BQ200)))*Parameters!$B$3))^12)*100)</f>
        <v/>
      </c>
      <c r="CJ200" s="25">
        <f>IF(AD200=1,0,BV200-(1-(1-(1/(1+EXP(-(BT200-BR200)))*Parameters!$B$3))^12)*100)</f>
        <v/>
      </c>
    </row>
    <row r="201">
      <c r="A201" s="17" t="inlineStr">
        <is>
          <t>GNR_DIVERSE</t>
        </is>
      </c>
      <c r="B201" s="17" t="inlineStr">
        <is>
          <t>3617UYWJ5</t>
        </is>
      </c>
      <c r="C201" s="17" t="inlineStr">
        <is>
          <t>PN</t>
        </is>
      </c>
      <c r="D201" s="17" t="inlineStr">
        <is>
          <t>PGIM REAL ESTATE AGENCY FINANCING, LLC.</t>
        </is>
      </c>
      <c r="E201" s="17" t="inlineStr">
        <is>
          <t>3617UYWJ5_000000007211193</t>
        </is>
      </c>
      <c r="F201" s="17" t="n">
        <v>202603</v>
      </c>
      <c r="G201" s="18" t="n">
        <v>2.21</v>
      </c>
      <c r="H201" s="19" t="n">
        <v>3028813.67</v>
      </c>
      <c r="I201" s="17" t="n">
        <v>420</v>
      </c>
      <c r="J201" s="17" t="n">
        <v>20210501</v>
      </c>
      <c r="K201" s="17" t="n">
        <v>20560601</v>
      </c>
      <c r="L201" s="17" t="n"/>
      <c r="M201" s="17" t="n">
        <v>20310630</v>
      </c>
      <c r="N201" s="17" t="n">
        <v>10</v>
      </c>
      <c r="O201" s="17" t="inlineStr">
        <is>
          <t>207/223(F)/223(A)(7)</t>
        </is>
      </c>
      <c r="P201" s="17" t="inlineStr">
        <is>
          <t>MKT</t>
        </is>
      </c>
      <c r="Q201" s="17" t="n"/>
      <c r="R201" s="17" t="n"/>
      <c r="S201" s="17" t="n"/>
      <c r="T201" s="17" t="inlineStr">
        <is>
          <t>IL</t>
        </is>
      </c>
      <c r="U201" s="17" t="n">
        <v>58</v>
      </c>
      <c r="V201" s="17" t="n">
        <v>490.5</v>
      </c>
      <c r="W201" s="17" t="n">
        <v>58</v>
      </c>
      <c r="X201" s="17" t="n">
        <v>2021</v>
      </c>
      <c r="Y201" s="17" t="n">
        <v>-37</v>
      </c>
      <c r="Z201" s="17" t="n">
        <v>7</v>
      </c>
      <c r="AA201" s="20">
        <f>IF(ISNUMBER(W201),W201,IFERROR(MAX(0,(VALUE(LEFT(F201,4))-VALUE(LEFT(TEXT(J201,"00000000"),4)))*12+(VALUE(MID(F201,5,2))-VALUE(MID(TEXT(J201,"00000000"),5,2)))),""))</f>
        <v/>
      </c>
      <c r="AB201" s="20">
        <f>IFERROR((VALUE(LEFT(TEXT(K201,"00000000"),4))-VALUE(LEFT(F201,4)))*12+(VALUE(MID(TEXT(K201,"00000000"),5,2))-VALUE(MID(F201,5,2))),"")</f>
        <v/>
      </c>
      <c r="AC201" s="20">
        <f>IF(OR(L201="",NOT(ISNUMBER(L201))),0,MAX(0,MIN(60,(VALUE(LEFT(F201,4))-VALUE(LEFT(TEXT(L201,"00000000"),4)))*12+(VALUE(MID(F201,5,2))-VALUE(MID(TEXT(L201,"00000000"),5,2))))))</f>
        <v/>
      </c>
      <c r="AD201" s="20">
        <f>IF(OR(L201="",NOT(ISNUMBER(L201))),0,IF(VALUE(F201)&lt;VALUE(LEFT(TEXT(L201,"00000000"),6)),1,0))</f>
        <v/>
      </c>
      <c r="AE201" s="20">
        <f>IF(OR(M201="",NOT(ISNUMBER(M201))),0,IF(VALUE(F201)&lt;VALUE(LEFT(TEXT(M201,"00000000"),6)),1,0))</f>
        <v/>
      </c>
      <c r="AF201" s="20">
        <f>IF(AND(AD201=0,AE201=0),1,0)</f>
        <v/>
      </c>
      <c r="AG201" s="20">
        <f>IF(ISNUMBER(X201),X201,IFERROR(VALUE(LEFT(TEXT(J201,"00000000"),4)),""))</f>
        <v/>
      </c>
      <c r="AH201" s="20">
        <f>IFERROR(XLOOKUP(AG201,Vintage_Rates!$A$2:$A$1000,Vintage_Rates!$B$2:$B$1000,""),"")</f>
        <v/>
      </c>
      <c r="AI201" s="20">
        <f>IF(ISNUMBER(Y201),Y201,IFERROR((G201-AH201)*100,""))</f>
        <v/>
      </c>
      <c r="AJ201" s="20">
        <f>IF(ISNUMBER(V201),V201,IFERROR(XLOOKUP(VALUE(F201),PLC_Rates!$A$2:$A$1000,PLC_Rates!$B$2:$B$1000,""),""))</f>
        <v/>
      </c>
      <c r="AK201" s="20">
        <f>IF(ISNUMBER(Z201),Z201,IF(AE201=0,0,MAX(0,MIN(10,((VALUE(LEFT(TEXT(M201,"00000000"),4))-VALUE(LEFT(F201,4)))*12+(VALUE(MID(TEXT(M201,"00000000"),5,2))-VALUE(MID(F201,5,2))))/12))))</f>
        <v/>
      </c>
      <c r="AL201" s="20">
        <f>IFERROR(G201*100-AJ201,"")</f>
        <v/>
      </c>
      <c r="AM201" s="20">
        <f>IFERROR(G201*100-(AJ201+(1+AK201)*12.5),"")</f>
        <v/>
      </c>
      <c r="AN201" s="21">
        <f>IFERROR(MIN(H201/1000000,100),"")</f>
        <v/>
      </c>
      <c r="AO201" s="20">
        <f>IFERROR(INDEX(FHA_Lookup!$B$2:$B$11,MATCH(TRUE,ISNUMBER(SEARCH(FHA_Lookup!$A$2:$A$11,UPPER(SUBSTITUTE(O201," ","")))),0)),"OTHER")</f>
        <v/>
      </c>
      <c r="AP201" s="20">
        <f>IFERROR(INDEX(FHA_Lookup!$C$2:$C$11,MATCH(TRUE,ISNUMBER(SEARCH(FHA_Lookup!$A$2:$A$11,UPPER(SUBSTITUTE(O201," ","")))),0)),"OTHER")</f>
        <v/>
      </c>
      <c r="AQ201" s="20">
        <f>IF(AP201="NC",1,0)</f>
        <v/>
      </c>
      <c r="AR201" s="20">
        <f>IF(UPPER(TRIM(P201))="AFF",1,0)</f>
        <v/>
      </c>
      <c r="AS201" s="20">
        <f>IF(UPPER(TRIM(P201))="BAF",1,0)</f>
        <v/>
      </c>
      <c r="AT201" s="20">
        <f>IF(UPPER(TRIM(P201))="MKT",1,0)</f>
        <v/>
      </c>
      <c r="AU201" s="20">
        <f>IF(AO201="221d4",1,0)</f>
        <v/>
      </c>
      <c r="AV201" s="20">
        <f>IF(AO201="223a7",1,0)</f>
        <v/>
      </c>
      <c r="AW201" s="20">
        <f>IF(AO201="232",1,0)</f>
        <v/>
      </c>
      <c r="AX201" s="20">
        <f>IF(AO201="538",1,0)</f>
        <v/>
      </c>
      <c r="AY201" s="20">
        <f>IF(AO201="241",1,0)</f>
        <v/>
      </c>
      <c r="AZ201" s="20">
        <f>IF(AO201="220",1,0)</f>
        <v/>
      </c>
      <c r="BA201" s="20">
        <f>IF(AO201="OTHER",1,0)</f>
        <v/>
      </c>
      <c r="BB201" s="20">
        <f>IF(UPPER(TRIM(C201))="LM",1,0)</f>
        <v/>
      </c>
      <c r="BC201" s="20">
        <f>IF(UPPER(TRIM(C201))="PN",1,0)</f>
        <v/>
      </c>
      <c r="BD201" s="20">
        <f>IF(UPPER(TRIM(C201))="LS",1,0)</f>
        <v/>
      </c>
      <c r="BE201" s="20">
        <f>IF(UPPER(TRIM(C201))="RX",1,0)</f>
        <v/>
      </c>
      <c r="BF201" s="22">
        <f>IFERROR((Parameters!$C$6*AM201+Parameters!$C$7*MAX(AM201-(-150),0)+Parameters!$C$8*MAX(AM201-(-50),0)+Parameters!$C$9*MAX(AM201-(0),0)+Parameters!$C$10*MAX(AM201-(50),0)+Parameters!$C$11*MAX(AM201-(100),0)+Parameters!$C$12*MAX(AM201-(150),0)+Parameters!$C$13*MAX(AM201-(250),0)),0)</f>
        <v/>
      </c>
      <c r="BG201" s="22">
        <f>IFERROR((Parameters!$C$14*AA201+Parameters!$C$15*MAX(AA201-(12),0)+Parameters!$C$16*MAX(AA201-(36),0)+Parameters!$C$17*MAX(AA201-(60),0)+Parameters!$C$18*MAX(AA201-(84),0)+Parameters!$C$19*MAX(AA201-(120),0)+Parameters!$C$20*MAX(AA201-(180),0)),0)</f>
        <v/>
      </c>
      <c r="BH201" s="22">
        <f>IFERROR((Parameters!$C$21*AK201+Parameters!$C$22*MAX(AK201-(0),0)+Parameters!$C$23*MAX(AK201-(2),0)+Parameters!$C$24*MAX(AK201-(5),0)+Parameters!$C$25*MAX(AK201-(8),0)),0)</f>
        <v/>
      </c>
      <c r="BI201" s="22">
        <f>IFERROR((Parameters!$C$26*AI201+Parameters!$C$27*MAX(AI201-(-100),0)+Parameters!$C$28*MAX(AI201-(-25),0)+Parameters!$C$29*MAX(AI201-(25),0)+Parameters!$C$30*MAX(AI201-(100),0)),0)</f>
        <v/>
      </c>
      <c r="BJ201" s="22">
        <f>IFERROR((Parameters!$C$31*AN201+Parameters!$C$32*MAX(AN201-(2),0)+Parameters!$C$33*MAX(AN201-(10),0)+Parameters!$C$34*MAX(AN201-(25),0)),0)</f>
        <v/>
      </c>
      <c r="BK201" s="22">
        <f>IFERROR((Parameters!$C$35*AB201+Parameters!$C$36*MAX(AB201-(12),0)+Parameters!$C$37*MAX(AB201-(24),0)+Parameters!$C$38*MAX(AB201-(60),0)),0)</f>
        <v/>
      </c>
      <c r="BL201" s="22">
        <f>IFERROR((Parameters!$C$39*AC201+Parameters!$C$40*MAX(AC201-(6),0)+Parameters!$C$41*MAX(AC201-(12),0)+Parameters!$C$42*MAX(AC201-(24),0)),0)</f>
        <v/>
      </c>
      <c r="BM201" s="22">
        <f>IFERROR(Parameters!$C$43*(MAX(AM201,0)*MIN(MAX(AK201,0),10))/100,0)</f>
        <v/>
      </c>
      <c r="BN201" s="22">
        <f>Parameters!$C$44*AE201</f>
        <v/>
      </c>
      <c r="BO201" s="22">
        <f>Parameters!$C$45*AU201 + Parameters!$C$46*AV201 + Parameters!$C$47*AW201 + Parameters!$C$48*AX201 + Parameters!$C$49*AY201 + Parameters!$C$50*AZ201 + Parameters!$C$51*BA201</f>
        <v/>
      </c>
      <c r="BP201" s="22">
        <f>Parameters!$C$52*AQ201</f>
        <v/>
      </c>
      <c r="BQ201" s="22">
        <f>Parameters!$C$53*AR201+Parameters!$C$54*AS201+Parameters!$C$55*AT201</f>
        <v/>
      </c>
      <c r="BR201" s="22">
        <f>Parameters!$C$56*BB201+Parameters!$C$57*BC201+Parameters!$C$58*BD201+Parameters!$C$59*BE201</f>
        <v/>
      </c>
      <c r="BS201" s="23">
        <f>Parameters!$B$2</f>
        <v/>
      </c>
      <c r="BT201" s="23">
        <f>BS201+BF201 + BG201 + BH201 + BI201 + BJ201 + BK201 + BL201 + BM201 + BN201 + BO201 + BP201 + BQ201 + BR201</f>
        <v/>
      </c>
      <c r="BU201" s="24">
        <f>IF(AD201=1,0,1/(1+EXP(-BT201))*Parameters!$B$3)</f>
        <v/>
      </c>
      <c r="BV201" s="25">
        <f>(1-(1-BU201)^12)*100</f>
        <v/>
      </c>
      <c r="BW201" s="25">
        <f>IF(AD201=1,0,(1-(1-1/(1+EXP(-Parameters!$B$2)))^12)*100)</f>
        <v/>
      </c>
      <c r="BX201" s="25">
        <f>IF(AD201=1,0,BV201-(1-(1-(1/(1+EXP(-(BT201-BF201)))*Parameters!$B$3))^12)*100)</f>
        <v/>
      </c>
      <c r="BY201" s="25">
        <f>IF(AD201=1,0,BV201-(1-(1-(1/(1+EXP(-(BT201-BG201)))*Parameters!$B$3))^12)*100)</f>
        <v/>
      </c>
      <c r="BZ201" s="25">
        <f>IF(AD201=1,0,BV201-(1-(1-(1/(1+EXP(-(BT201-BH201)))*Parameters!$B$3))^12)*100)</f>
        <v/>
      </c>
      <c r="CA201" s="25">
        <f>IF(AD201=1,0,BV201-(1-(1-(1/(1+EXP(-(BT201-BI201)))*Parameters!$B$3))^12)*100)</f>
        <v/>
      </c>
      <c r="CB201" s="25">
        <f>IF(AD201=1,0,BV201-(1-(1-(1/(1+EXP(-(BT201-BJ201)))*Parameters!$B$3))^12)*100)</f>
        <v/>
      </c>
      <c r="CC201" s="25">
        <f>IF(AD201=1,0,BV201-(1-(1-(1/(1+EXP(-(BT201-BK201)))*Parameters!$B$3))^12)*100)</f>
        <v/>
      </c>
      <c r="CD201" s="25">
        <f>IF(AD201=1,0,BV201-(1-(1-(1/(1+EXP(-(BT201-BL201)))*Parameters!$B$3))^12)*100)</f>
        <v/>
      </c>
      <c r="CE201" s="25">
        <f>IF(AD201=1,0,BV201-(1-(1-(1/(1+EXP(-(BT201-BM201)))*Parameters!$B$3))^12)*100)</f>
        <v/>
      </c>
      <c r="CF201" s="25">
        <f>IF(AD201=1,0,BV201-(1-(1-(1/(1+EXP(-(BT201-BN201)))*Parameters!$B$3))^12)*100)</f>
        <v/>
      </c>
      <c r="CG201" s="25">
        <f>IF(AD201=1,0,BV201-(1-(1-(1/(1+EXP(-(BT201-BO201)))*Parameters!$B$3))^12)*100)</f>
        <v/>
      </c>
      <c r="CH201" s="25">
        <f>IF(AD201=1,0,BV201-(1-(1-(1/(1+EXP(-(BT201-BP201)))*Parameters!$B$3))^12)*100)</f>
        <v/>
      </c>
      <c r="CI201" s="25">
        <f>IF(AD201=1,0,BV201-(1-(1-(1/(1+EXP(-(BT201-BQ201)))*Parameters!$B$3))^12)*100)</f>
        <v/>
      </c>
      <c r="CJ201" s="25">
        <f>IF(AD201=1,0,BV201-(1-(1-(1/(1+EXP(-(BT201-BR201)))*Parameters!$B$3))^12)*100)</f>
        <v/>
      </c>
    </row>
    <row r="202">
      <c r="A202" s="17" t="inlineStr">
        <is>
          <t>GNR_DIVERSE</t>
        </is>
      </c>
      <c r="B202" s="17" t="inlineStr">
        <is>
          <t>3617WRQS5</t>
        </is>
      </c>
      <c r="C202" s="17" t="inlineStr">
        <is>
          <t>PN</t>
        </is>
      </c>
      <c r="D202" s="17" t="inlineStr">
        <is>
          <t>MASSACHUSETTS HOUSING FINANCE AGENCY</t>
        </is>
      </c>
      <c r="E202" s="17" t="inlineStr">
        <is>
          <t>3617WRQS5_000000002311703</t>
        </is>
      </c>
      <c r="F202" s="17" t="n">
        <v>202603</v>
      </c>
      <c r="G202" s="18" t="n">
        <v>3.62</v>
      </c>
      <c r="H202" s="19" t="n">
        <v>7554246.94</v>
      </c>
      <c r="I202" s="17" t="n">
        <v>420</v>
      </c>
      <c r="J202" s="17" t="n">
        <v>20220601</v>
      </c>
      <c r="K202" s="17" t="n">
        <v>20570701</v>
      </c>
      <c r="L202" s="17" t="n"/>
      <c r="M202" s="17" t="n">
        <v>20320801</v>
      </c>
      <c r="N202" s="17" t="n">
        <v>10</v>
      </c>
      <c r="O202" s="17" t="inlineStr">
        <is>
          <t>207/223(F)</t>
        </is>
      </c>
      <c r="P202" s="17" t="inlineStr">
        <is>
          <t>BAF</t>
        </is>
      </c>
      <c r="Q202" s="17" t="n"/>
      <c r="R202" s="17" t="n"/>
      <c r="S202" s="17" t="n"/>
      <c r="T202" s="17" t="inlineStr">
        <is>
          <t>MA</t>
        </is>
      </c>
      <c r="U202" s="17" t="n">
        <v>65</v>
      </c>
      <c r="V202" s="17" t="n">
        <v>490.5</v>
      </c>
      <c r="W202" s="17" t="n">
        <v>45</v>
      </c>
      <c r="X202" s="17" t="n">
        <v>2022</v>
      </c>
      <c r="Y202" s="17" t="n">
        <v>-13</v>
      </c>
      <c r="Z202" s="17" t="n">
        <v>7</v>
      </c>
      <c r="AA202" s="20">
        <f>IF(ISNUMBER(W202),W202,IFERROR(MAX(0,(VALUE(LEFT(F202,4))-VALUE(LEFT(TEXT(J202,"00000000"),4)))*12+(VALUE(MID(F202,5,2))-VALUE(MID(TEXT(J202,"00000000"),5,2)))),""))</f>
        <v/>
      </c>
      <c r="AB202" s="20">
        <f>IFERROR((VALUE(LEFT(TEXT(K202,"00000000"),4))-VALUE(LEFT(F202,4)))*12+(VALUE(MID(TEXT(K202,"00000000"),5,2))-VALUE(MID(F202,5,2))),"")</f>
        <v/>
      </c>
      <c r="AC202" s="20">
        <f>IF(OR(L202="",NOT(ISNUMBER(L202))),0,MAX(0,MIN(60,(VALUE(LEFT(F202,4))-VALUE(LEFT(TEXT(L202,"00000000"),4)))*12+(VALUE(MID(F202,5,2))-VALUE(MID(TEXT(L202,"00000000"),5,2))))))</f>
        <v/>
      </c>
      <c r="AD202" s="20">
        <f>IF(OR(L202="",NOT(ISNUMBER(L202))),0,IF(VALUE(F202)&lt;VALUE(LEFT(TEXT(L202,"00000000"),6)),1,0))</f>
        <v/>
      </c>
      <c r="AE202" s="20">
        <f>IF(OR(M202="",NOT(ISNUMBER(M202))),0,IF(VALUE(F202)&lt;VALUE(LEFT(TEXT(M202,"00000000"),6)),1,0))</f>
        <v/>
      </c>
      <c r="AF202" s="20">
        <f>IF(AND(AD202=0,AE202=0),1,0)</f>
        <v/>
      </c>
      <c r="AG202" s="20">
        <f>IF(ISNUMBER(X202),X202,IFERROR(VALUE(LEFT(TEXT(J202,"00000000"),4)),""))</f>
        <v/>
      </c>
      <c r="AH202" s="20">
        <f>IFERROR(XLOOKUP(AG202,Vintage_Rates!$A$2:$A$1000,Vintage_Rates!$B$2:$B$1000,""),"")</f>
        <v/>
      </c>
      <c r="AI202" s="20">
        <f>IF(ISNUMBER(Y202),Y202,IFERROR((G202-AH202)*100,""))</f>
        <v/>
      </c>
      <c r="AJ202" s="20">
        <f>IF(ISNUMBER(V202),V202,IFERROR(XLOOKUP(VALUE(F202),PLC_Rates!$A$2:$A$1000,PLC_Rates!$B$2:$B$1000,""),""))</f>
        <v/>
      </c>
      <c r="AK202" s="20">
        <f>IF(ISNUMBER(Z202),Z202,IF(AE202=0,0,MAX(0,MIN(10,((VALUE(LEFT(TEXT(M202,"00000000"),4))-VALUE(LEFT(F202,4)))*12+(VALUE(MID(TEXT(M202,"00000000"),5,2))-VALUE(MID(F202,5,2))))/12))))</f>
        <v/>
      </c>
      <c r="AL202" s="20">
        <f>IFERROR(G202*100-AJ202,"")</f>
        <v/>
      </c>
      <c r="AM202" s="20">
        <f>IFERROR(G202*100-(AJ202+(1+AK202)*12.5),"")</f>
        <v/>
      </c>
      <c r="AN202" s="21">
        <f>IFERROR(MIN(H202/1000000,100),"")</f>
        <v/>
      </c>
      <c r="AO202" s="20">
        <f>IFERROR(INDEX(FHA_Lookup!$B$2:$B$11,MATCH(TRUE,ISNUMBER(SEARCH(FHA_Lookup!$A$2:$A$11,UPPER(SUBSTITUTE(O202," ","")))),0)),"OTHER")</f>
        <v/>
      </c>
      <c r="AP202" s="20">
        <f>IFERROR(INDEX(FHA_Lookup!$C$2:$C$11,MATCH(TRUE,ISNUMBER(SEARCH(FHA_Lookup!$A$2:$A$11,UPPER(SUBSTITUTE(O202," ","")))),0)),"OTHER")</f>
        <v/>
      </c>
      <c r="AQ202" s="20">
        <f>IF(AP202="NC",1,0)</f>
        <v/>
      </c>
      <c r="AR202" s="20">
        <f>IF(UPPER(TRIM(P202))="AFF",1,0)</f>
        <v/>
      </c>
      <c r="AS202" s="20">
        <f>IF(UPPER(TRIM(P202))="BAF",1,0)</f>
        <v/>
      </c>
      <c r="AT202" s="20">
        <f>IF(UPPER(TRIM(P202))="MKT",1,0)</f>
        <v/>
      </c>
      <c r="AU202" s="20">
        <f>IF(AO202="221d4",1,0)</f>
        <v/>
      </c>
      <c r="AV202" s="20">
        <f>IF(AO202="223a7",1,0)</f>
        <v/>
      </c>
      <c r="AW202" s="20">
        <f>IF(AO202="232",1,0)</f>
        <v/>
      </c>
      <c r="AX202" s="20">
        <f>IF(AO202="538",1,0)</f>
        <v/>
      </c>
      <c r="AY202" s="20">
        <f>IF(AO202="241",1,0)</f>
        <v/>
      </c>
      <c r="AZ202" s="20">
        <f>IF(AO202="220",1,0)</f>
        <v/>
      </c>
      <c r="BA202" s="20">
        <f>IF(AO202="OTHER",1,0)</f>
        <v/>
      </c>
      <c r="BB202" s="20">
        <f>IF(UPPER(TRIM(C202))="LM",1,0)</f>
        <v/>
      </c>
      <c r="BC202" s="20">
        <f>IF(UPPER(TRIM(C202))="PN",1,0)</f>
        <v/>
      </c>
      <c r="BD202" s="20">
        <f>IF(UPPER(TRIM(C202))="LS",1,0)</f>
        <v/>
      </c>
      <c r="BE202" s="20">
        <f>IF(UPPER(TRIM(C202))="RX",1,0)</f>
        <v/>
      </c>
      <c r="BF202" s="22">
        <f>IFERROR((Parameters!$C$6*AM202+Parameters!$C$7*MAX(AM202-(-150),0)+Parameters!$C$8*MAX(AM202-(-50),0)+Parameters!$C$9*MAX(AM202-(0),0)+Parameters!$C$10*MAX(AM202-(50),0)+Parameters!$C$11*MAX(AM202-(100),0)+Parameters!$C$12*MAX(AM202-(150),0)+Parameters!$C$13*MAX(AM202-(250),0)),0)</f>
        <v/>
      </c>
      <c r="BG202" s="22">
        <f>IFERROR((Parameters!$C$14*AA202+Parameters!$C$15*MAX(AA202-(12),0)+Parameters!$C$16*MAX(AA202-(36),0)+Parameters!$C$17*MAX(AA202-(60),0)+Parameters!$C$18*MAX(AA202-(84),0)+Parameters!$C$19*MAX(AA202-(120),0)+Parameters!$C$20*MAX(AA202-(180),0)),0)</f>
        <v/>
      </c>
      <c r="BH202" s="22">
        <f>IFERROR((Parameters!$C$21*AK202+Parameters!$C$22*MAX(AK202-(0),0)+Parameters!$C$23*MAX(AK202-(2),0)+Parameters!$C$24*MAX(AK202-(5),0)+Parameters!$C$25*MAX(AK202-(8),0)),0)</f>
        <v/>
      </c>
      <c r="BI202" s="22">
        <f>IFERROR((Parameters!$C$26*AI202+Parameters!$C$27*MAX(AI202-(-100),0)+Parameters!$C$28*MAX(AI202-(-25),0)+Parameters!$C$29*MAX(AI202-(25),0)+Parameters!$C$30*MAX(AI202-(100),0)),0)</f>
        <v/>
      </c>
      <c r="BJ202" s="22">
        <f>IFERROR((Parameters!$C$31*AN202+Parameters!$C$32*MAX(AN202-(2),0)+Parameters!$C$33*MAX(AN202-(10),0)+Parameters!$C$34*MAX(AN202-(25),0)),0)</f>
        <v/>
      </c>
      <c r="BK202" s="22">
        <f>IFERROR((Parameters!$C$35*AB202+Parameters!$C$36*MAX(AB202-(12),0)+Parameters!$C$37*MAX(AB202-(24),0)+Parameters!$C$38*MAX(AB202-(60),0)),0)</f>
        <v/>
      </c>
      <c r="BL202" s="22">
        <f>IFERROR((Parameters!$C$39*AC202+Parameters!$C$40*MAX(AC202-(6),0)+Parameters!$C$41*MAX(AC202-(12),0)+Parameters!$C$42*MAX(AC202-(24),0)),0)</f>
        <v/>
      </c>
      <c r="BM202" s="22">
        <f>IFERROR(Parameters!$C$43*(MAX(AM202,0)*MIN(MAX(AK202,0),10))/100,0)</f>
        <v/>
      </c>
      <c r="BN202" s="22">
        <f>Parameters!$C$44*AE202</f>
        <v/>
      </c>
      <c r="BO202" s="22">
        <f>Parameters!$C$45*AU202 + Parameters!$C$46*AV202 + Parameters!$C$47*AW202 + Parameters!$C$48*AX202 + Parameters!$C$49*AY202 + Parameters!$C$50*AZ202 + Parameters!$C$51*BA202</f>
        <v/>
      </c>
      <c r="BP202" s="22">
        <f>Parameters!$C$52*AQ202</f>
        <v/>
      </c>
      <c r="BQ202" s="22">
        <f>Parameters!$C$53*AR202+Parameters!$C$54*AS202+Parameters!$C$55*AT202</f>
        <v/>
      </c>
      <c r="BR202" s="22">
        <f>Parameters!$C$56*BB202+Parameters!$C$57*BC202+Parameters!$C$58*BD202+Parameters!$C$59*BE202</f>
        <v/>
      </c>
      <c r="BS202" s="23">
        <f>Parameters!$B$2</f>
        <v/>
      </c>
      <c r="BT202" s="23">
        <f>BS202+BF202 + BG202 + BH202 + BI202 + BJ202 + BK202 + BL202 + BM202 + BN202 + BO202 + BP202 + BQ202 + BR202</f>
        <v/>
      </c>
      <c r="BU202" s="24">
        <f>IF(AD202=1,0,1/(1+EXP(-BT202))*Parameters!$B$3)</f>
        <v/>
      </c>
      <c r="BV202" s="25">
        <f>(1-(1-BU202)^12)*100</f>
        <v/>
      </c>
      <c r="BW202" s="25">
        <f>IF(AD202=1,0,(1-(1-1/(1+EXP(-Parameters!$B$2)))^12)*100)</f>
        <v/>
      </c>
      <c r="BX202" s="25">
        <f>IF(AD202=1,0,BV202-(1-(1-(1/(1+EXP(-(BT202-BF202)))*Parameters!$B$3))^12)*100)</f>
        <v/>
      </c>
      <c r="BY202" s="25">
        <f>IF(AD202=1,0,BV202-(1-(1-(1/(1+EXP(-(BT202-BG202)))*Parameters!$B$3))^12)*100)</f>
        <v/>
      </c>
      <c r="BZ202" s="25">
        <f>IF(AD202=1,0,BV202-(1-(1-(1/(1+EXP(-(BT202-BH202)))*Parameters!$B$3))^12)*100)</f>
        <v/>
      </c>
      <c r="CA202" s="25">
        <f>IF(AD202=1,0,BV202-(1-(1-(1/(1+EXP(-(BT202-BI202)))*Parameters!$B$3))^12)*100)</f>
        <v/>
      </c>
      <c r="CB202" s="25">
        <f>IF(AD202=1,0,BV202-(1-(1-(1/(1+EXP(-(BT202-BJ202)))*Parameters!$B$3))^12)*100)</f>
        <v/>
      </c>
      <c r="CC202" s="25">
        <f>IF(AD202=1,0,BV202-(1-(1-(1/(1+EXP(-(BT202-BK202)))*Parameters!$B$3))^12)*100)</f>
        <v/>
      </c>
      <c r="CD202" s="25">
        <f>IF(AD202=1,0,BV202-(1-(1-(1/(1+EXP(-(BT202-BL202)))*Parameters!$B$3))^12)*100)</f>
        <v/>
      </c>
      <c r="CE202" s="25">
        <f>IF(AD202=1,0,BV202-(1-(1-(1/(1+EXP(-(BT202-BM202)))*Parameters!$B$3))^12)*100)</f>
        <v/>
      </c>
      <c r="CF202" s="25">
        <f>IF(AD202=1,0,BV202-(1-(1-(1/(1+EXP(-(BT202-BN202)))*Parameters!$B$3))^12)*100)</f>
        <v/>
      </c>
      <c r="CG202" s="25">
        <f>IF(AD202=1,0,BV202-(1-(1-(1/(1+EXP(-(BT202-BO202)))*Parameters!$B$3))^12)*100)</f>
        <v/>
      </c>
      <c r="CH202" s="25">
        <f>IF(AD202=1,0,BV202-(1-(1-(1/(1+EXP(-(BT202-BP202)))*Parameters!$B$3))^12)*100)</f>
        <v/>
      </c>
      <c r="CI202" s="25">
        <f>IF(AD202=1,0,BV202-(1-(1-(1/(1+EXP(-(BT202-BQ202)))*Parameters!$B$3))^12)*100)</f>
        <v/>
      </c>
      <c r="CJ202" s="25">
        <f>IF(AD202=1,0,BV202-(1-(1-(1/(1+EXP(-(BT202-BR202)))*Parameters!$B$3))^12)*100)</f>
        <v/>
      </c>
    </row>
    <row r="203">
      <c r="A203" s="17" t="inlineStr">
        <is>
          <t>GNR_DIVERSE</t>
        </is>
      </c>
      <c r="B203" s="17" t="inlineStr">
        <is>
          <t>3617XJDK3</t>
        </is>
      </c>
      <c r="C203" s="17" t="inlineStr">
        <is>
          <t>PN</t>
        </is>
      </c>
      <c r="D203" s="17" t="inlineStr">
        <is>
          <t>DWIGHT CAPITAL LLC</t>
        </is>
      </c>
      <c r="E203" s="17" t="inlineStr">
        <is>
          <t>3617XJDK3_000000006711376</t>
        </is>
      </c>
      <c r="F203" s="17" t="n">
        <v>202603</v>
      </c>
      <c r="G203" s="18" t="n">
        <v>2.98</v>
      </c>
      <c r="H203" s="19" t="n">
        <v>35278276.8</v>
      </c>
      <c r="I203" s="17" t="n">
        <v>420</v>
      </c>
      <c r="J203" s="17" t="n">
        <v>20211101</v>
      </c>
      <c r="K203" s="17" t="n">
        <v>20561201</v>
      </c>
      <c r="L203" s="17" t="n"/>
      <c r="M203" s="17" t="n">
        <v>20320101</v>
      </c>
      <c r="N203" s="17" t="n">
        <v>10</v>
      </c>
      <c r="O203" s="17" t="inlineStr">
        <is>
          <t>223(A)(7)/207/223(F)</t>
        </is>
      </c>
      <c r="P203" s="17" t="inlineStr">
        <is>
          <t>MKT</t>
        </is>
      </c>
      <c r="Q203" s="17" t="n"/>
      <c r="R203" s="17" t="n"/>
      <c r="S203" s="17" t="n"/>
      <c r="T203" s="17" t="inlineStr">
        <is>
          <t>FL</t>
        </is>
      </c>
      <c r="U203" s="17" t="n">
        <v>264</v>
      </c>
      <c r="V203" s="17" t="n">
        <v>490.5</v>
      </c>
      <c r="W203" s="17" t="n">
        <v>52</v>
      </c>
      <c r="X203" s="17" t="n">
        <v>2021</v>
      </c>
      <c r="Y203" s="17" t="n">
        <v>40</v>
      </c>
      <c r="Z203" s="17" t="n">
        <v>7</v>
      </c>
      <c r="AA203" s="20">
        <f>IF(ISNUMBER(W203),W203,IFERROR(MAX(0,(VALUE(LEFT(F203,4))-VALUE(LEFT(TEXT(J203,"00000000"),4)))*12+(VALUE(MID(F203,5,2))-VALUE(MID(TEXT(J203,"00000000"),5,2)))),""))</f>
        <v/>
      </c>
      <c r="AB203" s="20">
        <f>IFERROR((VALUE(LEFT(TEXT(K203,"00000000"),4))-VALUE(LEFT(F203,4)))*12+(VALUE(MID(TEXT(K203,"00000000"),5,2))-VALUE(MID(F203,5,2))),"")</f>
        <v/>
      </c>
      <c r="AC203" s="20">
        <f>IF(OR(L203="",NOT(ISNUMBER(L203))),0,MAX(0,MIN(60,(VALUE(LEFT(F203,4))-VALUE(LEFT(TEXT(L203,"00000000"),4)))*12+(VALUE(MID(F203,5,2))-VALUE(MID(TEXT(L203,"00000000"),5,2))))))</f>
        <v/>
      </c>
      <c r="AD203" s="20">
        <f>IF(OR(L203="",NOT(ISNUMBER(L203))),0,IF(VALUE(F203)&lt;VALUE(LEFT(TEXT(L203,"00000000"),6)),1,0))</f>
        <v/>
      </c>
      <c r="AE203" s="20">
        <f>IF(OR(M203="",NOT(ISNUMBER(M203))),0,IF(VALUE(F203)&lt;VALUE(LEFT(TEXT(M203,"00000000"),6)),1,0))</f>
        <v/>
      </c>
      <c r="AF203" s="20">
        <f>IF(AND(AD203=0,AE203=0),1,0)</f>
        <v/>
      </c>
      <c r="AG203" s="20">
        <f>IF(ISNUMBER(X203),X203,IFERROR(VALUE(LEFT(TEXT(J203,"00000000"),4)),""))</f>
        <v/>
      </c>
      <c r="AH203" s="20">
        <f>IFERROR(XLOOKUP(AG203,Vintage_Rates!$A$2:$A$1000,Vintage_Rates!$B$2:$B$1000,""),"")</f>
        <v/>
      </c>
      <c r="AI203" s="20">
        <f>IF(ISNUMBER(Y203),Y203,IFERROR((G203-AH203)*100,""))</f>
        <v/>
      </c>
      <c r="AJ203" s="20">
        <f>IF(ISNUMBER(V203),V203,IFERROR(XLOOKUP(VALUE(F203),PLC_Rates!$A$2:$A$1000,PLC_Rates!$B$2:$B$1000,""),""))</f>
        <v/>
      </c>
      <c r="AK203" s="20">
        <f>IF(ISNUMBER(Z203),Z203,IF(AE203=0,0,MAX(0,MIN(10,((VALUE(LEFT(TEXT(M203,"00000000"),4))-VALUE(LEFT(F203,4)))*12+(VALUE(MID(TEXT(M203,"00000000"),5,2))-VALUE(MID(F203,5,2))))/12))))</f>
        <v/>
      </c>
      <c r="AL203" s="20">
        <f>IFERROR(G203*100-AJ203,"")</f>
        <v/>
      </c>
      <c r="AM203" s="20">
        <f>IFERROR(G203*100-(AJ203+(1+AK203)*12.5),"")</f>
        <v/>
      </c>
      <c r="AN203" s="21">
        <f>IFERROR(MIN(H203/1000000,100),"")</f>
        <v/>
      </c>
      <c r="AO203" s="20">
        <f>IFERROR(INDEX(FHA_Lookup!$B$2:$B$11,MATCH(TRUE,ISNUMBER(SEARCH(FHA_Lookup!$A$2:$A$11,UPPER(SUBSTITUTE(O203," ","")))),0)),"OTHER")</f>
        <v/>
      </c>
      <c r="AP203" s="20">
        <f>IFERROR(INDEX(FHA_Lookup!$C$2:$C$11,MATCH(TRUE,ISNUMBER(SEARCH(FHA_Lookup!$A$2:$A$11,UPPER(SUBSTITUTE(O203," ","")))),0)),"OTHER")</f>
        <v/>
      </c>
      <c r="AQ203" s="20">
        <f>IF(AP203="NC",1,0)</f>
        <v/>
      </c>
      <c r="AR203" s="20">
        <f>IF(UPPER(TRIM(P203))="AFF",1,0)</f>
        <v/>
      </c>
      <c r="AS203" s="20">
        <f>IF(UPPER(TRIM(P203))="BAF",1,0)</f>
        <v/>
      </c>
      <c r="AT203" s="20">
        <f>IF(UPPER(TRIM(P203))="MKT",1,0)</f>
        <v/>
      </c>
      <c r="AU203" s="20">
        <f>IF(AO203="221d4",1,0)</f>
        <v/>
      </c>
      <c r="AV203" s="20">
        <f>IF(AO203="223a7",1,0)</f>
        <v/>
      </c>
      <c r="AW203" s="20">
        <f>IF(AO203="232",1,0)</f>
        <v/>
      </c>
      <c r="AX203" s="20">
        <f>IF(AO203="538",1,0)</f>
        <v/>
      </c>
      <c r="AY203" s="20">
        <f>IF(AO203="241",1,0)</f>
        <v/>
      </c>
      <c r="AZ203" s="20">
        <f>IF(AO203="220",1,0)</f>
        <v/>
      </c>
      <c r="BA203" s="20">
        <f>IF(AO203="OTHER",1,0)</f>
        <v/>
      </c>
      <c r="BB203" s="20">
        <f>IF(UPPER(TRIM(C203))="LM",1,0)</f>
        <v/>
      </c>
      <c r="BC203" s="20">
        <f>IF(UPPER(TRIM(C203))="PN",1,0)</f>
        <v/>
      </c>
      <c r="BD203" s="20">
        <f>IF(UPPER(TRIM(C203))="LS",1,0)</f>
        <v/>
      </c>
      <c r="BE203" s="20">
        <f>IF(UPPER(TRIM(C203))="RX",1,0)</f>
        <v/>
      </c>
      <c r="BF203" s="22">
        <f>IFERROR((Parameters!$C$6*AM203+Parameters!$C$7*MAX(AM203-(-150),0)+Parameters!$C$8*MAX(AM203-(-50),0)+Parameters!$C$9*MAX(AM203-(0),0)+Parameters!$C$10*MAX(AM203-(50),0)+Parameters!$C$11*MAX(AM203-(100),0)+Parameters!$C$12*MAX(AM203-(150),0)+Parameters!$C$13*MAX(AM203-(250),0)),0)</f>
        <v/>
      </c>
      <c r="BG203" s="22">
        <f>IFERROR((Parameters!$C$14*AA203+Parameters!$C$15*MAX(AA203-(12),0)+Parameters!$C$16*MAX(AA203-(36),0)+Parameters!$C$17*MAX(AA203-(60),0)+Parameters!$C$18*MAX(AA203-(84),0)+Parameters!$C$19*MAX(AA203-(120),0)+Parameters!$C$20*MAX(AA203-(180),0)),0)</f>
        <v/>
      </c>
      <c r="BH203" s="22">
        <f>IFERROR((Parameters!$C$21*AK203+Parameters!$C$22*MAX(AK203-(0),0)+Parameters!$C$23*MAX(AK203-(2),0)+Parameters!$C$24*MAX(AK203-(5),0)+Parameters!$C$25*MAX(AK203-(8),0)),0)</f>
        <v/>
      </c>
      <c r="BI203" s="22">
        <f>IFERROR((Parameters!$C$26*AI203+Parameters!$C$27*MAX(AI203-(-100),0)+Parameters!$C$28*MAX(AI203-(-25),0)+Parameters!$C$29*MAX(AI203-(25),0)+Parameters!$C$30*MAX(AI203-(100),0)),0)</f>
        <v/>
      </c>
      <c r="BJ203" s="22">
        <f>IFERROR((Parameters!$C$31*AN203+Parameters!$C$32*MAX(AN203-(2),0)+Parameters!$C$33*MAX(AN203-(10),0)+Parameters!$C$34*MAX(AN203-(25),0)),0)</f>
        <v/>
      </c>
      <c r="BK203" s="22">
        <f>IFERROR((Parameters!$C$35*AB203+Parameters!$C$36*MAX(AB203-(12),0)+Parameters!$C$37*MAX(AB203-(24),0)+Parameters!$C$38*MAX(AB203-(60),0)),0)</f>
        <v/>
      </c>
      <c r="BL203" s="22">
        <f>IFERROR((Parameters!$C$39*AC203+Parameters!$C$40*MAX(AC203-(6),0)+Parameters!$C$41*MAX(AC203-(12),0)+Parameters!$C$42*MAX(AC203-(24),0)),0)</f>
        <v/>
      </c>
      <c r="BM203" s="22">
        <f>IFERROR(Parameters!$C$43*(MAX(AM203,0)*MIN(MAX(AK203,0),10))/100,0)</f>
        <v/>
      </c>
      <c r="BN203" s="22">
        <f>Parameters!$C$44*AE203</f>
        <v/>
      </c>
      <c r="BO203" s="22">
        <f>Parameters!$C$45*AU203 + Parameters!$C$46*AV203 + Parameters!$C$47*AW203 + Parameters!$C$48*AX203 + Parameters!$C$49*AY203 + Parameters!$C$50*AZ203 + Parameters!$C$51*BA203</f>
        <v/>
      </c>
      <c r="BP203" s="22">
        <f>Parameters!$C$52*AQ203</f>
        <v/>
      </c>
      <c r="BQ203" s="22">
        <f>Parameters!$C$53*AR203+Parameters!$C$54*AS203+Parameters!$C$55*AT203</f>
        <v/>
      </c>
      <c r="BR203" s="22">
        <f>Parameters!$C$56*BB203+Parameters!$C$57*BC203+Parameters!$C$58*BD203+Parameters!$C$59*BE203</f>
        <v/>
      </c>
      <c r="BS203" s="23">
        <f>Parameters!$B$2</f>
        <v/>
      </c>
      <c r="BT203" s="23">
        <f>BS203+BF203 + BG203 + BH203 + BI203 + BJ203 + BK203 + BL203 + BM203 + BN203 + BO203 + BP203 + BQ203 + BR203</f>
        <v/>
      </c>
      <c r="BU203" s="24">
        <f>IF(AD203=1,0,1/(1+EXP(-BT203))*Parameters!$B$3)</f>
        <v/>
      </c>
      <c r="BV203" s="25">
        <f>(1-(1-BU203)^12)*100</f>
        <v/>
      </c>
      <c r="BW203" s="25">
        <f>IF(AD203=1,0,(1-(1-1/(1+EXP(-Parameters!$B$2)))^12)*100)</f>
        <v/>
      </c>
      <c r="BX203" s="25">
        <f>IF(AD203=1,0,BV203-(1-(1-(1/(1+EXP(-(BT203-BF203)))*Parameters!$B$3))^12)*100)</f>
        <v/>
      </c>
      <c r="BY203" s="25">
        <f>IF(AD203=1,0,BV203-(1-(1-(1/(1+EXP(-(BT203-BG203)))*Parameters!$B$3))^12)*100)</f>
        <v/>
      </c>
      <c r="BZ203" s="25">
        <f>IF(AD203=1,0,BV203-(1-(1-(1/(1+EXP(-(BT203-BH203)))*Parameters!$B$3))^12)*100)</f>
        <v/>
      </c>
      <c r="CA203" s="25">
        <f>IF(AD203=1,0,BV203-(1-(1-(1/(1+EXP(-(BT203-BI203)))*Parameters!$B$3))^12)*100)</f>
        <v/>
      </c>
      <c r="CB203" s="25">
        <f>IF(AD203=1,0,BV203-(1-(1-(1/(1+EXP(-(BT203-BJ203)))*Parameters!$B$3))^12)*100)</f>
        <v/>
      </c>
      <c r="CC203" s="25">
        <f>IF(AD203=1,0,BV203-(1-(1-(1/(1+EXP(-(BT203-BK203)))*Parameters!$B$3))^12)*100)</f>
        <v/>
      </c>
      <c r="CD203" s="25">
        <f>IF(AD203=1,0,BV203-(1-(1-(1/(1+EXP(-(BT203-BL203)))*Parameters!$B$3))^12)*100)</f>
        <v/>
      </c>
      <c r="CE203" s="25">
        <f>IF(AD203=1,0,BV203-(1-(1-(1/(1+EXP(-(BT203-BM203)))*Parameters!$B$3))^12)*100)</f>
        <v/>
      </c>
      <c r="CF203" s="25">
        <f>IF(AD203=1,0,BV203-(1-(1-(1/(1+EXP(-(BT203-BN203)))*Parameters!$B$3))^12)*100)</f>
        <v/>
      </c>
      <c r="CG203" s="25">
        <f>IF(AD203=1,0,BV203-(1-(1-(1/(1+EXP(-(BT203-BO203)))*Parameters!$B$3))^12)*100)</f>
        <v/>
      </c>
      <c r="CH203" s="25">
        <f>IF(AD203=1,0,BV203-(1-(1-(1/(1+EXP(-(BT203-BP203)))*Parameters!$B$3))^12)*100)</f>
        <v/>
      </c>
      <c r="CI203" s="25">
        <f>IF(AD203=1,0,BV203-(1-(1-(1/(1+EXP(-(BT203-BQ203)))*Parameters!$B$3))^12)*100)</f>
        <v/>
      </c>
      <c r="CJ203" s="25">
        <f>IF(AD203=1,0,BV203-(1-(1-(1/(1+EXP(-(BT203-BR203)))*Parameters!$B$3))^12)*100)</f>
        <v/>
      </c>
    </row>
    <row r="204">
      <c r="A204" s="17" t="inlineStr">
        <is>
          <t>GNR_DIVERSE</t>
        </is>
      </c>
      <c r="B204" s="17" t="inlineStr">
        <is>
          <t>3617QANL7</t>
        </is>
      </c>
      <c r="C204" s="17" t="inlineStr">
        <is>
          <t>PN</t>
        </is>
      </c>
      <c r="D204" s="17" t="inlineStr">
        <is>
          <t>WALKER &amp; DUNLOP, LLC</t>
        </is>
      </c>
      <c r="E204" s="17" t="inlineStr">
        <is>
          <t>3617QANL7_000000008711130</t>
        </is>
      </c>
      <c r="F204" s="17" t="n">
        <v>202603</v>
      </c>
      <c r="G204" s="18" t="n">
        <v>2.29</v>
      </c>
      <c r="H204" s="19" t="n">
        <v>26289302.79</v>
      </c>
      <c r="I204" s="17" t="n">
        <v>420</v>
      </c>
      <c r="J204" s="17" t="n">
        <v>20200929</v>
      </c>
      <c r="K204" s="17" t="n">
        <v>20551001</v>
      </c>
      <c r="L204" s="17" t="n"/>
      <c r="M204" s="17" t="n">
        <v>20301101</v>
      </c>
      <c r="N204" s="17" t="n">
        <v>10</v>
      </c>
      <c r="O204" s="17" t="inlineStr">
        <is>
          <t>207/223(F)</t>
        </is>
      </c>
      <c r="P204" s="17" t="inlineStr">
        <is>
          <t>MKT</t>
        </is>
      </c>
      <c r="Q204" s="17" t="n"/>
      <c r="R204" s="17" t="n"/>
      <c r="S204" s="17" t="n"/>
      <c r="T204" s="17" t="inlineStr">
        <is>
          <t>TN</t>
        </is>
      </c>
      <c r="U204" s="17" t="n">
        <v>248</v>
      </c>
      <c r="V204" s="17" t="n">
        <v>490.5</v>
      </c>
      <c r="W204" s="17" t="n">
        <v>66</v>
      </c>
      <c r="X204" s="17" t="n">
        <v>2020</v>
      </c>
      <c r="Y204" s="17" t="n">
        <v>-56</v>
      </c>
      <c r="Z204" s="17" t="n">
        <v>5</v>
      </c>
      <c r="AA204" s="20">
        <f>IF(ISNUMBER(W204),W204,IFERROR(MAX(0,(VALUE(LEFT(F204,4))-VALUE(LEFT(TEXT(J204,"00000000"),4)))*12+(VALUE(MID(F204,5,2))-VALUE(MID(TEXT(J204,"00000000"),5,2)))),""))</f>
        <v/>
      </c>
      <c r="AB204" s="20">
        <f>IFERROR((VALUE(LEFT(TEXT(K204,"00000000"),4))-VALUE(LEFT(F204,4)))*12+(VALUE(MID(TEXT(K204,"00000000"),5,2))-VALUE(MID(F204,5,2))),"")</f>
        <v/>
      </c>
      <c r="AC204" s="20">
        <f>IF(OR(L204="",NOT(ISNUMBER(L204))),0,MAX(0,MIN(60,(VALUE(LEFT(F204,4))-VALUE(LEFT(TEXT(L204,"00000000"),4)))*12+(VALUE(MID(F204,5,2))-VALUE(MID(TEXT(L204,"00000000"),5,2))))))</f>
        <v/>
      </c>
      <c r="AD204" s="20">
        <f>IF(OR(L204="",NOT(ISNUMBER(L204))),0,IF(VALUE(F204)&lt;VALUE(LEFT(TEXT(L204,"00000000"),6)),1,0))</f>
        <v/>
      </c>
      <c r="AE204" s="20">
        <f>IF(OR(M204="",NOT(ISNUMBER(M204))),0,IF(VALUE(F204)&lt;VALUE(LEFT(TEXT(M204,"00000000"),6)),1,0))</f>
        <v/>
      </c>
      <c r="AF204" s="20">
        <f>IF(AND(AD204=0,AE204=0),1,0)</f>
        <v/>
      </c>
      <c r="AG204" s="20">
        <f>IF(ISNUMBER(X204),X204,IFERROR(VALUE(LEFT(TEXT(J204,"00000000"),4)),""))</f>
        <v/>
      </c>
      <c r="AH204" s="20">
        <f>IFERROR(XLOOKUP(AG204,Vintage_Rates!$A$2:$A$1000,Vintage_Rates!$B$2:$B$1000,""),"")</f>
        <v/>
      </c>
      <c r="AI204" s="20">
        <f>IF(ISNUMBER(Y204),Y204,IFERROR((G204-AH204)*100,""))</f>
        <v/>
      </c>
      <c r="AJ204" s="20">
        <f>IF(ISNUMBER(V204),V204,IFERROR(XLOOKUP(VALUE(F204),PLC_Rates!$A$2:$A$1000,PLC_Rates!$B$2:$B$1000,""),""))</f>
        <v/>
      </c>
      <c r="AK204" s="20">
        <f>IF(ISNUMBER(Z204),Z204,IF(AE204=0,0,MAX(0,MIN(10,((VALUE(LEFT(TEXT(M204,"00000000"),4))-VALUE(LEFT(F204,4)))*12+(VALUE(MID(TEXT(M204,"00000000"),5,2))-VALUE(MID(F204,5,2))))/12))))</f>
        <v/>
      </c>
      <c r="AL204" s="20">
        <f>IFERROR(G204*100-AJ204,"")</f>
        <v/>
      </c>
      <c r="AM204" s="20">
        <f>IFERROR(G204*100-(AJ204+(1+AK204)*12.5),"")</f>
        <v/>
      </c>
      <c r="AN204" s="21">
        <f>IFERROR(MIN(H204/1000000,100),"")</f>
        <v/>
      </c>
      <c r="AO204" s="20">
        <f>IFERROR(INDEX(FHA_Lookup!$B$2:$B$11,MATCH(TRUE,ISNUMBER(SEARCH(FHA_Lookup!$A$2:$A$11,UPPER(SUBSTITUTE(O204," ","")))),0)),"OTHER")</f>
        <v/>
      </c>
      <c r="AP204" s="20">
        <f>IFERROR(INDEX(FHA_Lookup!$C$2:$C$11,MATCH(TRUE,ISNUMBER(SEARCH(FHA_Lookup!$A$2:$A$11,UPPER(SUBSTITUTE(O204," ","")))),0)),"OTHER")</f>
        <v/>
      </c>
      <c r="AQ204" s="20">
        <f>IF(AP204="NC",1,0)</f>
        <v/>
      </c>
      <c r="AR204" s="20">
        <f>IF(UPPER(TRIM(P204))="AFF",1,0)</f>
        <v/>
      </c>
      <c r="AS204" s="20">
        <f>IF(UPPER(TRIM(P204))="BAF",1,0)</f>
        <v/>
      </c>
      <c r="AT204" s="20">
        <f>IF(UPPER(TRIM(P204))="MKT",1,0)</f>
        <v/>
      </c>
      <c r="AU204" s="20">
        <f>IF(AO204="221d4",1,0)</f>
        <v/>
      </c>
      <c r="AV204" s="20">
        <f>IF(AO204="223a7",1,0)</f>
        <v/>
      </c>
      <c r="AW204" s="20">
        <f>IF(AO204="232",1,0)</f>
        <v/>
      </c>
      <c r="AX204" s="20">
        <f>IF(AO204="538",1,0)</f>
        <v/>
      </c>
      <c r="AY204" s="20">
        <f>IF(AO204="241",1,0)</f>
        <v/>
      </c>
      <c r="AZ204" s="20">
        <f>IF(AO204="220",1,0)</f>
        <v/>
      </c>
      <c r="BA204" s="20">
        <f>IF(AO204="OTHER",1,0)</f>
        <v/>
      </c>
      <c r="BB204" s="20">
        <f>IF(UPPER(TRIM(C204))="LM",1,0)</f>
        <v/>
      </c>
      <c r="BC204" s="20">
        <f>IF(UPPER(TRIM(C204))="PN",1,0)</f>
        <v/>
      </c>
      <c r="BD204" s="20">
        <f>IF(UPPER(TRIM(C204))="LS",1,0)</f>
        <v/>
      </c>
      <c r="BE204" s="20">
        <f>IF(UPPER(TRIM(C204))="RX",1,0)</f>
        <v/>
      </c>
      <c r="BF204" s="22">
        <f>IFERROR((Parameters!$C$6*AM204+Parameters!$C$7*MAX(AM204-(-150),0)+Parameters!$C$8*MAX(AM204-(-50),0)+Parameters!$C$9*MAX(AM204-(0),0)+Parameters!$C$10*MAX(AM204-(50),0)+Parameters!$C$11*MAX(AM204-(100),0)+Parameters!$C$12*MAX(AM204-(150),0)+Parameters!$C$13*MAX(AM204-(250),0)),0)</f>
        <v/>
      </c>
      <c r="BG204" s="22">
        <f>IFERROR((Parameters!$C$14*AA204+Parameters!$C$15*MAX(AA204-(12),0)+Parameters!$C$16*MAX(AA204-(36),0)+Parameters!$C$17*MAX(AA204-(60),0)+Parameters!$C$18*MAX(AA204-(84),0)+Parameters!$C$19*MAX(AA204-(120),0)+Parameters!$C$20*MAX(AA204-(180),0)),0)</f>
        <v/>
      </c>
      <c r="BH204" s="22">
        <f>IFERROR((Parameters!$C$21*AK204+Parameters!$C$22*MAX(AK204-(0),0)+Parameters!$C$23*MAX(AK204-(2),0)+Parameters!$C$24*MAX(AK204-(5),0)+Parameters!$C$25*MAX(AK204-(8),0)),0)</f>
        <v/>
      </c>
      <c r="BI204" s="22">
        <f>IFERROR((Parameters!$C$26*AI204+Parameters!$C$27*MAX(AI204-(-100),0)+Parameters!$C$28*MAX(AI204-(-25),0)+Parameters!$C$29*MAX(AI204-(25),0)+Parameters!$C$30*MAX(AI204-(100),0)),0)</f>
        <v/>
      </c>
      <c r="BJ204" s="22">
        <f>IFERROR((Parameters!$C$31*AN204+Parameters!$C$32*MAX(AN204-(2),0)+Parameters!$C$33*MAX(AN204-(10),0)+Parameters!$C$34*MAX(AN204-(25),0)),0)</f>
        <v/>
      </c>
      <c r="BK204" s="22">
        <f>IFERROR((Parameters!$C$35*AB204+Parameters!$C$36*MAX(AB204-(12),0)+Parameters!$C$37*MAX(AB204-(24),0)+Parameters!$C$38*MAX(AB204-(60),0)),0)</f>
        <v/>
      </c>
      <c r="BL204" s="22">
        <f>IFERROR((Parameters!$C$39*AC204+Parameters!$C$40*MAX(AC204-(6),0)+Parameters!$C$41*MAX(AC204-(12),0)+Parameters!$C$42*MAX(AC204-(24),0)),0)</f>
        <v/>
      </c>
      <c r="BM204" s="22">
        <f>IFERROR(Parameters!$C$43*(MAX(AM204,0)*MIN(MAX(AK204,0),10))/100,0)</f>
        <v/>
      </c>
      <c r="BN204" s="22">
        <f>Parameters!$C$44*AE204</f>
        <v/>
      </c>
      <c r="BO204" s="22">
        <f>Parameters!$C$45*AU204 + Parameters!$C$46*AV204 + Parameters!$C$47*AW204 + Parameters!$C$48*AX204 + Parameters!$C$49*AY204 + Parameters!$C$50*AZ204 + Parameters!$C$51*BA204</f>
        <v/>
      </c>
      <c r="BP204" s="22">
        <f>Parameters!$C$52*AQ204</f>
        <v/>
      </c>
      <c r="BQ204" s="22">
        <f>Parameters!$C$53*AR204+Parameters!$C$54*AS204+Parameters!$C$55*AT204</f>
        <v/>
      </c>
      <c r="BR204" s="22">
        <f>Parameters!$C$56*BB204+Parameters!$C$57*BC204+Parameters!$C$58*BD204+Parameters!$C$59*BE204</f>
        <v/>
      </c>
      <c r="BS204" s="23">
        <f>Parameters!$B$2</f>
        <v/>
      </c>
      <c r="BT204" s="23">
        <f>BS204+BF204 + BG204 + BH204 + BI204 + BJ204 + BK204 + BL204 + BM204 + BN204 + BO204 + BP204 + BQ204 + BR204</f>
        <v/>
      </c>
      <c r="BU204" s="24">
        <f>IF(AD204=1,0,1/(1+EXP(-BT204))*Parameters!$B$3)</f>
        <v/>
      </c>
      <c r="BV204" s="25">
        <f>(1-(1-BU204)^12)*100</f>
        <v/>
      </c>
      <c r="BW204" s="25">
        <f>IF(AD204=1,0,(1-(1-1/(1+EXP(-Parameters!$B$2)))^12)*100)</f>
        <v/>
      </c>
      <c r="BX204" s="25">
        <f>IF(AD204=1,0,BV204-(1-(1-(1/(1+EXP(-(BT204-BF204)))*Parameters!$B$3))^12)*100)</f>
        <v/>
      </c>
      <c r="BY204" s="25">
        <f>IF(AD204=1,0,BV204-(1-(1-(1/(1+EXP(-(BT204-BG204)))*Parameters!$B$3))^12)*100)</f>
        <v/>
      </c>
      <c r="BZ204" s="25">
        <f>IF(AD204=1,0,BV204-(1-(1-(1/(1+EXP(-(BT204-BH204)))*Parameters!$B$3))^12)*100)</f>
        <v/>
      </c>
      <c r="CA204" s="25">
        <f>IF(AD204=1,0,BV204-(1-(1-(1/(1+EXP(-(BT204-BI204)))*Parameters!$B$3))^12)*100)</f>
        <v/>
      </c>
      <c r="CB204" s="25">
        <f>IF(AD204=1,0,BV204-(1-(1-(1/(1+EXP(-(BT204-BJ204)))*Parameters!$B$3))^12)*100)</f>
        <v/>
      </c>
      <c r="CC204" s="25">
        <f>IF(AD204=1,0,BV204-(1-(1-(1/(1+EXP(-(BT204-BK204)))*Parameters!$B$3))^12)*100)</f>
        <v/>
      </c>
      <c r="CD204" s="25">
        <f>IF(AD204=1,0,BV204-(1-(1-(1/(1+EXP(-(BT204-BL204)))*Parameters!$B$3))^12)*100)</f>
        <v/>
      </c>
      <c r="CE204" s="25">
        <f>IF(AD204=1,0,BV204-(1-(1-(1/(1+EXP(-(BT204-BM204)))*Parameters!$B$3))^12)*100)</f>
        <v/>
      </c>
      <c r="CF204" s="25">
        <f>IF(AD204=1,0,BV204-(1-(1-(1/(1+EXP(-(BT204-BN204)))*Parameters!$B$3))^12)*100)</f>
        <v/>
      </c>
      <c r="CG204" s="25">
        <f>IF(AD204=1,0,BV204-(1-(1-(1/(1+EXP(-(BT204-BO204)))*Parameters!$B$3))^12)*100)</f>
        <v/>
      </c>
      <c r="CH204" s="25">
        <f>IF(AD204=1,0,BV204-(1-(1-(1/(1+EXP(-(BT204-BP204)))*Parameters!$B$3))^12)*100)</f>
        <v/>
      </c>
      <c r="CI204" s="25">
        <f>IF(AD204=1,0,BV204-(1-(1-(1/(1+EXP(-(BT204-BQ204)))*Parameters!$B$3))^12)*100)</f>
        <v/>
      </c>
      <c r="CJ204" s="25">
        <f>IF(AD204=1,0,BV204-(1-(1-(1/(1+EXP(-(BT204-BR204)))*Parameters!$B$3))^12)*100)</f>
        <v/>
      </c>
    </row>
    <row r="205">
      <c r="A205" s="17" t="inlineStr">
        <is>
          <t>GNR_DIVERSE</t>
        </is>
      </c>
      <c r="B205" s="17" t="inlineStr">
        <is>
          <t>3617Q8MD1</t>
        </is>
      </c>
      <c r="C205" s="17" t="inlineStr">
        <is>
          <t>PN</t>
        </is>
      </c>
      <c r="D205" s="17" t="inlineStr">
        <is>
          <t>KEYBANK NATIONAL ASSOCIATION</t>
        </is>
      </c>
      <c r="E205" s="17" t="inlineStr">
        <is>
          <t>3617Q8MD1_000000004411475</t>
        </is>
      </c>
      <c r="F205" s="17" t="n">
        <v>202603</v>
      </c>
      <c r="G205" s="18" t="n">
        <v>2.5</v>
      </c>
      <c r="H205" s="19" t="n">
        <v>23259112.42</v>
      </c>
      <c r="I205" s="17" t="n">
        <v>420</v>
      </c>
      <c r="J205" s="17" t="n">
        <v>20200801</v>
      </c>
      <c r="K205" s="17" t="n">
        <v>20550901</v>
      </c>
      <c r="L205" s="17" t="n"/>
      <c r="M205" s="17" t="n">
        <v>20300930</v>
      </c>
      <c r="N205" s="17" t="n">
        <v>10</v>
      </c>
      <c r="O205" s="17" t="inlineStr">
        <is>
          <t>207/223(F)</t>
        </is>
      </c>
      <c r="P205" s="17" t="inlineStr">
        <is>
          <t>MKT</t>
        </is>
      </c>
      <c r="Q205" s="17" t="n"/>
      <c r="R205" s="17" t="n"/>
      <c r="S205" s="17" t="n"/>
      <c r="T205" s="17" t="inlineStr">
        <is>
          <t>MI</t>
        </is>
      </c>
      <c r="U205" s="17" t="n">
        <v>185</v>
      </c>
      <c r="V205" s="17" t="n">
        <v>490.5</v>
      </c>
      <c r="W205" s="17" t="n">
        <v>67</v>
      </c>
      <c r="X205" s="17" t="n">
        <v>2020</v>
      </c>
      <c r="Y205" s="17" t="n">
        <v>-35</v>
      </c>
      <c r="Z205" s="17" t="n">
        <v>5</v>
      </c>
      <c r="AA205" s="20">
        <f>IF(ISNUMBER(W205),W205,IFERROR(MAX(0,(VALUE(LEFT(F205,4))-VALUE(LEFT(TEXT(J205,"00000000"),4)))*12+(VALUE(MID(F205,5,2))-VALUE(MID(TEXT(J205,"00000000"),5,2)))),""))</f>
        <v/>
      </c>
      <c r="AB205" s="20">
        <f>IFERROR((VALUE(LEFT(TEXT(K205,"00000000"),4))-VALUE(LEFT(F205,4)))*12+(VALUE(MID(TEXT(K205,"00000000"),5,2))-VALUE(MID(F205,5,2))),"")</f>
        <v/>
      </c>
      <c r="AC205" s="20">
        <f>IF(OR(L205="",NOT(ISNUMBER(L205))),0,MAX(0,MIN(60,(VALUE(LEFT(F205,4))-VALUE(LEFT(TEXT(L205,"00000000"),4)))*12+(VALUE(MID(F205,5,2))-VALUE(MID(TEXT(L205,"00000000"),5,2))))))</f>
        <v/>
      </c>
      <c r="AD205" s="20">
        <f>IF(OR(L205="",NOT(ISNUMBER(L205))),0,IF(VALUE(F205)&lt;VALUE(LEFT(TEXT(L205,"00000000"),6)),1,0))</f>
        <v/>
      </c>
      <c r="AE205" s="20">
        <f>IF(OR(M205="",NOT(ISNUMBER(M205))),0,IF(VALUE(F205)&lt;VALUE(LEFT(TEXT(M205,"00000000"),6)),1,0))</f>
        <v/>
      </c>
      <c r="AF205" s="20">
        <f>IF(AND(AD205=0,AE205=0),1,0)</f>
        <v/>
      </c>
      <c r="AG205" s="20">
        <f>IF(ISNUMBER(X205),X205,IFERROR(VALUE(LEFT(TEXT(J205,"00000000"),4)),""))</f>
        <v/>
      </c>
      <c r="AH205" s="20">
        <f>IFERROR(XLOOKUP(AG205,Vintage_Rates!$A$2:$A$1000,Vintage_Rates!$B$2:$B$1000,""),"")</f>
        <v/>
      </c>
      <c r="AI205" s="20">
        <f>IF(ISNUMBER(Y205),Y205,IFERROR((G205-AH205)*100,""))</f>
        <v/>
      </c>
      <c r="AJ205" s="20">
        <f>IF(ISNUMBER(V205),V205,IFERROR(XLOOKUP(VALUE(F205),PLC_Rates!$A$2:$A$1000,PLC_Rates!$B$2:$B$1000,""),""))</f>
        <v/>
      </c>
      <c r="AK205" s="20">
        <f>IF(ISNUMBER(Z205),Z205,IF(AE205=0,0,MAX(0,MIN(10,((VALUE(LEFT(TEXT(M205,"00000000"),4))-VALUE(LEFT(F205,4)))*12+(VALUE(MID(TEXT(M205,"00000000"),5,2))-VALUE(MID(F205,5,2))))/12))))</f>
        <v/>
      </c>
      <c r="AL205" s="20">
        <f>IFERROR(G205*100-AJ205,"")</f>
        <v/>
      </c>
      <c r="AM205" s="20">
        <f>IFERROR(G205*100-(AJ205+(1+AK205)*12.5),"")</f>
        <v/>
      </c>
      <c r="AN205" s="21">
        <f>IFERROR(MIN(H205/1000000,100),"")</f>
        <v/>
      </c>
      <c r="AO205" s="20">
        <f>IFERROR(INDEX(FHA_Lookup!$B$2:$B$11,MATCH(TRUE,ISNUMBER(SEARCH(FHA_Lookup!$A$2:$A$11,UPPER(SUBSTITUTE(O205," ","")))),0)),"OTHER")</f>
        <v/>
      </c>
      <c r="AP205" s="20">
        <f>IFERROR(INDEX(FHA_Lookup!$C$2:$C$11,MATCH(TRUE,ISNUMBER(SEARCH(FHA_Lookup!$A$2:$A$11,UPPER(SUBSTITUTE(O205," ","")))),0)),"OTHER")</f>
        <v/>
      </c>
      <c r="AQ205" s="20">
        <f>IF(AP205="NC",1,0)</f>
        <v/>
      </c>
      <c r="AR205" s="20">
        <f>IF(UPPER(TRIM(P205))="AFF",1,0)</f>
        <v/>
      </c>
      <c r="AS205" s="20">
        <f>IF(UPPER(TRIM(P205))="BAF",1,0)</f>
        <v/>
      </c>
      <c r="AT205" s="20">
        <f>IF(UPPER(TRIM(P205))="MKT",1,0)</f>
        <v/>
      </c>
      <c r="AU205" s="20">
        <f>IF(AO205="221d4",1,0)</f>
        <v/>
      </c>
      <c r="AV205" s="20">
        <f>IF(AO205="223a7",1,0)</f>
        <v/>
      </c>
      <c r="AW205" s="20">
        <f>IF(AO205="232",1,0)</f>
        <v/>
      </c>
      <c r="AX205" s="20">
        <f>IF(AO205="538",1,0)</f>
        <v/>
      </c>
      <c r="AY205" s="20">
        <f>IF(AO205="241",1,0)</f>
        <v/>
      </c>
      <c r="AZ205" s="20">
        <f>IF(AO205="220",1,0)</f>
        <v/>
      </c>
      <c r="BA205" s="20">
        <f>IF(AO205="OTHER",1,0)</f>
        <v/>
      </c>
      <c r="BB205" s="20">
        <f>IF(UPPER(TRIM(C205))="LM",1,0)</f>
        <v/>
      </c>
      <c r="BC205" s="20">
        <f>IF(UPPER(TRIM(C205))="PN",1,0)</f>
        <v/>
      </c>
      <c r="BD205" s="20">
        <f>IF(UPPER(TRIM(C205))="LS",1,0)</f>
        <v/>
      </c>
      <c r="BE205" s="20">
        <f>IF(UPPER(TRIM(C205))="RX",1,0)</f>
        <v/>
      </c>
      <c r="BF205" s="22">
        <f>IFERROR((Parameters!$C$6*AM205+Parameters!$C$7*MAX(AM205-(-150),0)+Parameters!$C$8*MAX(AM205-(-50),0)+Parameters!$C$9*MAX(AM205-(0),0)+Parameters!$C$10*MAX(AM205-(50),0)+Parameters!$C$11*MAX(AM205-(100),0)+Parameters!$C$12*MAX(AM205-(150),0)+Parameters!$C$13*MAX(AM205-(250),0)),0)</f>
        <v/>
      </c>
      <c r="BG205" s="22">
        <f>IFERROR((Parameters!$C$14*AA205+Parameters!$C$15*MAX(AA205-(12),0)+Parameters!$C$16*MAX(AA205-(36),0)+Parameters!$C$17*MAX(AA205-(60),0)+Parameters!$C$18*MAX(AA205-(84),0)+Parameters!$C$19*MAX(AA205-(120),0)+Parameters!$C$20*MAX(AA205-(180),0)),0)</f>
        <v/>
      </c>
      <c r="BH205" s="22">
        <f>IFERROR((Parameters!$C$21*AK205+Parameters!$C$22*MAX(AK205-(0),0)+Parameters!$C$23*MAX(AK205-(2),0)+Parameters!$C$24*MAX(AK205-(5),0)+Parameters!$C$25*MAX(AK205-(8),0)),0)</f>
        <v/>
      </c>
      <c r="BI205" s="22">
        <f>IFERROR((Parameters!$C$26*AI205+Parameters!$C$27*MAX(AI205-(-100),0)+Parameters!$C$28*MAX(AI205-(-25),0)+Parameters!$C$29*MAX(AI205-(25),0)+Parameters!$C$30*MAX(AI205-(100),0)),0)</f>
        <v/>
      </c>
      <c r="BJ205" s="22">
        <f>IFERROR((Parameters!$C$31*AN205+Parameters!$C$32*MAX(AN205-(2),0)+Parameters!$C$33*MAX(AN205-(10),0)+Parameters!$C$34*MAX(AN205-(25),0)),0)</f>
        <v/>
      </c>
      <c r="BK205" s="22">
        <f>IFERROR((Parameters!$C$35*AB205+Parameters!$C$36*MAX(AB205-(12),0)+Parameters!$C$37*MAX(AB205-(24),0)+Parameters!$C$38*MAX(AB205-(60),0)),0)</f>
        <v/>
      </c>
      <c r="BL205" s="22">
        <f>IFERROR((Parameters!$C$39*AC205+Parameters!$C$40*MAX(AC205-(6),0)+Parameters!$C$41*MAX(AC205-(12),0)+Parameters!$C$42*MAX(AC205-(24),0)),0)</f>
        <v/>
      </c>
      <c r="BM205" s="22">
        <f>IFERROR(Parameters!$C$43*(MAX(AM205,0)*MIN(MAX(AK205,0),10))/100,0)</f>
        <v/>
      </c>
      <c r="BN205" s="22">
        <f>Parameters!$C$44*AE205</f>
        <v/>
      </c>
      <c r="BO205" s="22">
        <f>Parameters!$C$45*AU205 + Parameters!$C$46*AV205 + Parameters!$C$47*AW205 + Parameters!$C$48*AX205 + Parameters!$C$49*AY205 + Parameters!$C$50*AZ205 + Parameters!$C$51*BA205</f>
        <v/>
      </c>
      <c r="BP205" s="22">
        <f>Parameters!$C$52*AQ205</f>
        <v/>
      </c>
      <c r="BQ205" s="22">
        <f>Parameters!$C$53*AR205+Parameters!$C$54*AS205+Parameters!$C$55*AT205</f>
        <v/>
      </c>
      <c r="BR205" s="22">
        <f>Parameters!$C$56*BB205+Parameters!$C$57*BC205+Parameters!$C$58*BD205+Parameters!$C$59*BE205</f>
        <v/>
      </c>
      <c r="BS205" s="23">
        <f>Parameters!$B$2</f>
        <v/>
      </c>
      <c r="BT205" s="23">
        <f>BS205+BF205 + BG205 + BH205 + BI205 + BJ205 + BK205 + BL205 + BM205 + BN205 + BO205 + BP205 + BQ205 + BR205</f>
        <v/>
      </c>
      <c r="BU205" s="24">
        <f>IF(AD205=1,0,1/(1+EXP(-BT205))*Parameters!$B$3)</f>
        <v/>
      </c>
      <c r="BV205" s="25">
        <f>(1-(1-BU205)^12)*100</f>
        <v/>
      </c>
      <c r="BW205" s="25">
        <f>IF(AD205=1,0,(1-(1-1/(1+EXP(-Parameters!$B$2)))^12)*100)</f>
        <v/>
      </c>
      <c r="BX205" s="25">
        <f>IF(AD205=1,0,BV205-(1-(1-(1/(1+EXP(-(BT205-BF205)))*Parameters!$B$3))^12)*100)</f>
        <v/>
      </c>
      <c r="BY205" s="25">
        <f>IF(AD205=1,0,BV205-(1-(1-(1/(1+EXP(-(BT205-BG205)))*Parameters!$B$3))^12)*100)</f>
        <v/>
      </c>
      <c r="BZ205" s="25">
        <f>IF(AD205=1,0,BV205-(1-(1-(1/(1+EXP(-(BT205-BH205)))*Parameters!$B$3))^12)*100)</f>
        <v/>
      </c>
      <c r="CA205" s="25">
        <f>IF(AD205=1,0,BV205-(1-(1-(1/(1+EXP(-(BT205-BI205)))*Parameters!$B$3))^12)*100)</f>
        <v/>
      </c>
      <c r="CB205" s="25">
        <f>IF(AD205=1,0,BV205-(1-(1-(1/(1+EXP(-(BT205-BJ205)))*Parameters!$B$3))^12)*100)</f>
        <v/>
      </c>
      <c r="CC205" s="25">
        <f>IF(AD205=1,0,BV205-(1-(1-(1/(1+EXP(-(BT205-BK205)))*Parameters!$B$3))^12)*100)</f>
        <v/>
      </c>
      <c r="CD205" s="25">
        <f>IF(AD205=1,0,BV205-(1-(1-(1/(1+EXP(-(BT205-BL205)))*Parameters!$B$3))^12)*100)</f>
        <v/>
      </c>
      <c r="CE205" s="25">
        <f>IF(AD205=1,0,BV205-(1-(1-(1/(1+EXP(-(BT205-BM205)))*Parameters!$B$3))^12)*100)</f>
        <v/>
      </c>
      <c r="CF205" s="25">
        <f>IF(AD205=1,0,BV205-(1-(1-(1/(1+EXP(-(BT205-BN205)))*Parameters!$B$3))^12)*100)</f>
        <v/>
      </c>
      <c r="CG205" s="25">
        <f>IF(AD205=1,0,BV205-(1-(1-(1/(1+EXP(-(BT205-BO205)))*Parameters!$B$3))^12)*100)</f>
        <v/>
      </c>
      <c r="CH205" s="25">
        <f>IF(AD205=1,0,BV205-(1-(1-(1/(1+EXP(-(BT205-BP205)))*Parameters!$B$3))^12)*100)</f>
        <v/>
      </c>
      <c r="CI205" s="25">
        <f>IF(AD205=1,0,BV205-(1-(1-(1/(1+EXP(-(BT205-BQ205)))*Parameters!$B$3))^12)*100)</f>
        <v/>
      </c>
      <c r="CJ205" s="25">
        <f>IF(AD205=1,0,BV205-(1-(1-(1/(1+EXP(-(BT205-BR205)))*Parameters!$B$3))^12)*100)</f>
        <v/>
      </c>
    </row>
    <row r="206">
      <c r="A206" s="17" t="inlineStr">
        <is>
          <t>GNR_DIVERSE</t>
        </is>
      </c>
      <c r="B206" s="17" t="inlineStr">
        <is>
          <t>3617HKY33</t>
        </is>
      </c>
      <c r="C206" s="17" t="inlineStr">
        <is>
          <t>PN</t>
        </is>
      </c>
      <c r="D206" s="17" t="inlineStr">
        <is>
          <t>CAPITAL FUNDING,LLC.</t>
        </is>
      </c>
      <c r="E206" s="17" t="inlineStr">
        <is>
          <t>3617HKY33_000000006722245</t>
        </is>
      </c>
      <c r="F206" s="17" t="n">
        <v>202603</v>
      </c>
      <c r="G206" s="18" t="n">
        <v>4.1</v>
      </c>
      <c r="H206" s="19" t="n">
        <v>9941750.27</v>
      </c>
      <c r="I206" s="17" t="n">
        <v>420</v>
      </c>
      <c r="J206" s="17" t="n">
        <v>20190226</v>
      </c>
      <c r="K206" s="17" t="n">
        <v>20540301</v>
      </c>
      <c r="L206" s="17" t="n"/>
      <c r="M206" s="17" t="n">
        <v>20290401</v>
      </c>
      <c r="N206" s="17" t="n">
        <v>10</v>
      </c>
      <c r="O206" s="17" t="inlineStr">
        <is>
          <t>232/223(F)</t>
        </is>
      </c>
      <c r="P206" s="17" t="inlineStr">
        <is>
          <t>MKT</t>
        </is>
      </c>
      <c r="Q206" s="17" t="n"/>
      <c r="R206" s="17" t="n"/>
      <c r="S206" s="17" t="n"/>
      <c r="T206" s="17" t="inlineStr">
        <is>
          <t>FL</t>
        </is>
      </c>
      <c r="U206" s="17" t="n">
        <v>183</v>
      </c>
      <c r="V206" s="17" t="n">
        <v>490.5</v>
      </c>
      <c r="W206" s="17" t="n">
        <v>85</v>
      </c>
      <c r="X206" s="17" t="n">
        <v>2019</v>
      </c>
      <c r="Y206" s="17" t="n">
        <v>43</v>
      </c>
      <c r="Z206" s="17" t="n">
        <v>4</v>
      </c>
      <c r="AA206" s="20">
        <f>IF(ISNUMBER(W206),W206,IFERROR(MAX(0,(VALUE(LEFT(F206,4))-VALUE(LEFT(TEXT(J206,"00000000"),4)))*12+(VALUE(MID(F206,5,2))-VALUE(MID(TEXT(J206,"00000000"),5,2)))),""))</f>
        <v/>
      </c>
      <c r="AB206" s="20">
        <f>IFERROR((VALUE(LEFT(TEXT(K206,"00000000"),4))-VALUE(LEFT(F206,4)))*12+(VALUE(MID(TEXT(K206,"00000000"),5,2))-VALUE(MID(F206,5,2))),"")</f>
        <v/>
      </c>
      <c r="AC206" s="20">
        <f>IF(OR(L206="",NOT(ISNUMBER(L206))),0,MAX(0,MIN(60,(VALUE(LEFT(F206,4))-VALUE(LEFT(TEXT(L206,"00000000"),4)))*12+(VALUE(MID(F206,5,2))-VALUE(MID(TEXT(L206,"00000000"),5,2))))))</f>
        <v/>
      </c>
      <c r="AD206" s="20">
        <f>IF(OR(L206="",NOT(ISNUMBER(L206))),0,IF(VALUE(F206)&lt;VALUE(LEFT(TEXT(L206,"00000000"),6)),1,0))</f>
        <v/>
      </c>
      <c r="AE206" s="20">
        <f>IF(OR(M206="",NOT(ISNUMBER(M206))),0,IF(VALUE(F206)&lt;VALUE(LEFT(TEXT(M206,"00000000"),6)),1,0))</f>
        <v/>
      </c>
      <c r="AF206" s="20">
        <f>IF(AND(AD206=0,AE206=0),1,0)</f>
        <v/>
      </c>
      <c r="AG206" s="20">
        <f>IF(ISNUMBER(X206),X206,IFERROR(VALUE(LEFT(TEXT(J206,"00000000"),4)),""))</f>
        <v/>
      </c>
      <c r="AH206" s="20">
        <f>IFERROR(XLOOKUP(AG206,Vintage_Rates!$A$2:$A$1000,Vintage_Rates!$B$2:$B$1000,""),"")</f>
        <v/>
      </c>
      <c r="AI206" s="20">
        <f>IF(ISNUMBER(Y206),Y206,IFERROR((G206-AH206)*100,""))</f>
        <v/>
      </c>
      <c r="AJ206" s="20">
        <f>IF(ISNUMBER(V206),V206,IFERROR(XLOOKUP(VALUE(F206),PLC_Rates!$A$2:$A$1000,PLC_Rates!$B$2:$B$1000,""),""))</f>
        <v/>
      </c>
      <c r="AK206" s="20">
        <f>IF(ISNUMBER(Z206),Z206,IF(AE206=0,0,MAX(0,MIN(10,((VALUE(LEFT(TEXT(M206,"00000000"),4))-VALUE(LEFT(F206,4)))*12+(VALUE(MID(TEXT(M206,"00000000"),5,2))-VALUE(MID(F206,5,2))))/12))))</f>
        <v/>
      </c>
      <c r="AL206" s="20">
        <f>IFERROR(G206*100-AJ206,"")</f>
        <v/>
      </c>
      <c r="AM206" s="20">
        <f>IFERROR(G206*100-(AJ206+(1+AK206)*12.5),"")</f>
        <v/>
      </c>
      <c r="AN206" s="21">
        <f>IFERROR(MIN(H206/1000000,100),"")</f>
        <v/>
      </c>
      <c r="AO206" s="20">
        <f>IFERROR(INDEX(FHA_Lookup!$B$2:$B$11,MATCH(TRUE,ISNUMBER(SEARCH(FHA_Lookup!$A$2:$A$11,UPPER(SUBSTITUTE(O206," ","")))),0)),"OTHER")</f>
        <v/>
      </c>
      <c r="AP206" s="20">
        <f>IFERROR(INDEX(FHA_Lookup!$C$2:$C$11,MATCH(TRUE,ISNUMBER(SEARCH(FHA_Lookup!$A$2:$A$11,UPPER(SUBSTITUTE(O206," ","")))),0)),"OTHER")</f>
        <v/>
      </c>
      <c r="AQ206" s="20">
        <f>IF(AP206="NC",1,0)</f>
        <v/>
      </c>
      <c r="AR206" s="20">
        <f>IF(UPPER(TRIM(P206))="AFF",1,0)</f>
        <v/>
      </c>
      <c r="AS206" s="20">
        <f>IF(UPPER(TRIM(P206))="BAF",1,0)</f>
        <v/>
      </c>
      <c r="AT206" s="20">
        <f>IF(UPPER(TRIM(P206))="MKT",1,0)</f>
        <v/>
      </c>
      <c r="AU206" s="20">
        <f>IF(AO206="221d4",1,0)</f>
        <v/>
      </c>
      <c r="AV206" s="20">
        <f>IF(AO206="223a7",1,0)</f>
        <v/>
      </c>
      <c r="AW206" s="20">
        <f>IF(AO206="232",1,0)</f>
        <v/>
      </c>
      <c r="AX206" s="20">
        <f>IF(AO206="538",1,0)</f>
        <v/>
      </c>
      <c r="AY206" s="20">
        <f>IF(AO206="241",1,0)</f>
        <v/>
      </c>
      <c r="AZ206" s="20">
        <f>IF(AO206="220",1,0)</f>
        <v/>
      </c>
      <c r="BA206" s="20">
        <f>IF(AO206="OTHER",1,0)</f>
        <v/>
      </c>
      <c r="BB206" s="20">
        <f>IF(UPPER(TRIM(C206))="LM",1,0)</f>
        <v/>
      </c>
      <c r="BC206" s="20">
        <f>IF(UPPER(TRIM(C206))="PN",1,0)</f>
        <v/>
      </c>
      <c r="BD206" s="20">
        <f>IF(UPPER(TRIM(C206))="LS",1,0)</f>
        <v/>
      </c>
      <c r="BE206" s="20">
        <f>IF(UPPER(TRIM(C206))="RX",1,0)</f>
        <v/>
      </c>
      <c r="BF206" s="22">
        <f>IFERROR((Parameters!$C$6*AM206+Parameters!$C$7*MAX(AM206-(-150),0)+Parameters!$C$8*MAX(AM206-(-50),0)+Parameters!$C$9*MAX(AM206-(0),0)+Parameters!$C$10*MAX(AM206-(50),0)+Parameters!$C$11*MAX(AM206-(100),0)+Parameters!$C$12*MAX(AM206-(150),0)+Parameters!$C$13*MAX(AM206-(250),0)),0)</f>
        <v/>
      </c>
      <c r="BG206" s="22">
        <f>IFERROR((Parameters!$C$14*AA206+Parameters!$C$15*MAX(AA206-(12),0)+Parameters!$C$16*MAX(AA206-(36),0)+Parameters!$C$17*MAX(AA206-(60),0)+Parameters!$C$18*MAX(AA206-(84),0)+Parameters!$C$19*MAX(AA206-(120),0)+Parameters!$C$20*MAX(AA206-(180),0)),0)</f>
        <v/>
      </c>
      <c r="BH206" s="22">
        <f>IFERROR((Parameters!$C$21*AK206+Parameters!$C$22*MAX(AK206-(0),0)+Parameters!$C$23*MAX(AK206-(2),0)+Parameters!$C$24*MAX(AK206-(5),0)+Parameters!$C$25*MAX(AK206-(8),0)),0)</f>
        <v/>
      </c>
      <c r="BI206" s="22">
        <f>IFERROR((Parameters!$C$26*AI206+Parameters!$C$27*MAX(AI206-(-100),0)+Parameters!$C$28*MAX(AI206-(-25),0)+Parameters!$C$29*MAX(AI206-(25),0)+Parameters!$C$30*MAX(AI206-(100),0)),0)</f>
        <v/>
      </c>
      <c r="BJ206" s="22">
        <f>IFERROR((Parameters!$C$31*AN206+Parameters!$C$32*MAX(AN206-(2),0)+Parameters!$C$33*MAX(AN206-(10),0)+Parameters!$C$34*MAX(AN206-(25),0)),0)</f>
        <v/>
      </c>
      <c r="BK206" s="22">
        <f>IFERROR((Parameters!$C$35*AB206+Parameters!$C$36*MAX(AB206-(12),0)+Parameters!$C$37*MAX(AB206-(24),0)+Parameters!$C$38*MAX(AB206-(60),0)),0)</f>
        <v/>
      </c>
      <c r="BL206" s="22">
        <f>IFERROR((Parameters!$C$39*AC206+Parameters!$C$40*MAX(AC206-(6),0)+Parameters!$C$41*MAX(AC206-(12),0)+Parameters!$C$42*MAX(AC206-(24),0)),0)</f>
        <v/>
      </c>
      <c r="BM206" s="22">
        <f>IFERROR(Parameters!$C$43*(MAX(AM206,0)*MIN(MAX(AK206,0),10))/100,0)</f>
        <v/>
      </c>
      <c r="BN206" s="22">
        <f>Parameters!$C$44*AE206</f>
        <v/>
      </c>
      <c r="BO206" s="22">
        <f>Parameters!$C$45*AU206 + Parameters!$C$46*AV206 + Parameters!$C$47*AW206 + Parameters!$C$48*AX206 + Parameters!$C$49*AY206 + Parameters!$C$50*AZ206 + Parameters!$C$51*BA206</f>
        <v/>
      </c>
      <c r="BP206" s="22">
        <f>Parameters!$C$52*AQ206</f>
        <v/>
      </c>
      <c r="BQ206" s="22">
        <f>Parameters!$C$53*AR206+Parameters!$C$54*AS206+Parameters!$C$55*AT206</f>
        <v/>
      </c>
      <c r="BR206" s="22">
        <f>Parameters!$C$56*BB206+Parameters!$C$57*BC206+Parameters!$C$58*BD206+Parameters!$C$59*BE206</f>
        <v/>
      </c>
      <c r="BS206" s="23">
        <f>Parameters!$B$2</f>
        <v/>
      </c>
      <c r="BT206" s="23">
        <f>BS206+BF206 + BG206 + BH206 + BI206 + BJ206 + BK206 + BL206 + BM206 + BN206 + BO206 + BP206 + BQ206 + BR206</f>
        <v/>
      </c>
      <c r="BU206" s="24">
        <f>IF(AD206=1,0,1/(1+EXP(-BT206))*Parameters!$B$3)</f>
        <v/>
      </c>
      <c r="BV206" s="25">
        <f>(1-(1-BU206)^12)*100</f>
        <v/>
      </c>
      <c r="BW206" s="25">
        <f>IF(AD206=1,0,(1-(1-1/(1+EXP(-Parameters!$B$2)))^12)*100)</f>
        <v/>
      </c>
      <c r="BX206" s="25">
        <f>IF(AD206=1,0,BV206-(1-(1-(1/(1+EXP(-(BT206-BF206)))*Parameters!$B$3))^12)*100)</f>
        <v/>
      </c>
      <c r="BY206" s="25">
        <f>IF(AD206=1,0,BV206-(1-(1-(1/(1+EXP(-(BT206-BG206)))*Parameters!$B$3))^12)*100)</f>
        <v/>
      </c>
      <c r="BZ206" s="25">
        <f>IF(AD206=1,0,BV206-(1-(1-(1/(1+EXP(-(BT206-BH206)))*Parameters!$B$3))^12)*100)</f>
        <v/>
      </c>
      <c r="CA206" s="25">
        <f>IF(AD206=1,0,BV206-(1-(1-(1/(1+EXP(-(BT206-BI206)))*Parameters!$B$3))^12)*100)</f>
        <v/>
      </c>
      <c r="CB206" s="25">
        <f>IF(AD206=1,0,BV206-(1-(1-(1/(1+EXP(-(BT206-BJ206)))*Parameters!$B$3))^12)*100)</f>
        <v/>
      </c>
      <c r="CC206" s="25">
        <f>IF(AD206=1,0,BV206-(1-(1-(1/(1+EXP(-(BT206-BK206)))*Parameters!$B$3))^12)*100)</f>
        <v/>
      </c>
      <c r="CD206" s="25">
        <f>IF(AD206=1,0,BV206-(1-(1-(1/(1+EXP(-(BT206-BL206)))*Parameters!$B$3))^12)*100)</f>
        <v/>
      </c>
      <c r="CE206" s="25">
        <f>IF(AD206=1,0,BV206-(1-(1-(1/(1+EXP(-(BT206-BM206)))*Parameters!$B$3))^12)*100)</f>
        <v/>
      </c>
      <c r="CF206" s="25">
        <f>IF(AD206=1,0,BV206-(1-(1-(1/(1+EXP(-(BT206-BN206)))*Parameters!$B$3))^12)*100)</f>
        <v/>
      </c>
      <c r="CG206" s="25">
        <f>IF(AD206=1,0,BV206-(1-(1-(1/(1+EXP(-(BT206-BO206)))*Parameters!$B$3))^12)*100)</f>
        <v/>
      </c>
      <c r="CH206" s="25">
        <f>IF(AD206=1,0,BV206-(1-(1-(1/(1+EXP(-(BT206-BP206)))*Parameters!$B$3))^12)*100)</f>
        <v/>
      </c>
      <c r="CI206" s="25">
        <f>IF(AD206=1,0,BV206-(1-(1-(1/(1+EXP(-(BT206-BQ206)))*Parameters!$B$3))^12)*100)</f>
        <v/>
      </c>
      <c r="CJ206" s="25">
        <f>IF(AD206=1,0,BV206-(1-(1-(1/(1+EXP(-(BT206-BR206)))*Parameters!$B$3))^12)*100)</f>
        <v/>
      </c>
    </row>
    <row r="207">
      <c r="A207" s="17" t="inlineStr">
        <is>
          <t>GNR_DIVERSE</t>
        </is>
      </c>
      <c r="B207" s="17" t="inlineStr">
        <is>
          <t>3617FXAS8</t>
        </is>
      </c>
      <c r="C207" s="17" t="inlineStr">
        <is>
          <t>PN</t>
        </is>
      </c>
      <c r="D207" s="17" t="inlineStr">
        <is>
          <t>GREYSTONE FUNDING COMPANY LLC</t>
        </is>
      </c>
      <c r="E207" s="17" t="inlineStr">
        <is>
          <t>3617FXAS8_000000004211358</t>
        </is>
      </c>
      <c r="F207" s="17" t="n">
        <v>202603</v>
      </c>
      <c r="G207" s="18" t="n">
        <v>3.89</v>
      </c>
      <c r="H207" s="19" t="n">
        <v>4022554.14</v>
      </c>
      <c r="I207" s="17" t="n">
        <v>420</v>
      </c>
      <c r="J207" s="17" t="n">
        <v>20220901</v>
      </c>
      <c r="K207" s="17" t="n">
        <v>20571001</v>
      </c>
      <c r="L207" s="17" t="n"/>
      <c r="M207" s="17" t="n">
        <v>20321101</v>
      </c>
      <c r="N207" s="17" t="n">
        <v>10</v>
      </c>
      <c r="O207" s="17" t="inlineStr">
        <is>
          <t>207/223(F)</t>
        </is>
      </c>
      <c r="P207" s="17" t="inlineStr">
        <is>
          <t>BAF</t>
        </is>
      </c>
      <c r="Q207" s="17" t="n"/>
      <c r="R207" s="17" t="n"/>
      <c r="S207" s="17" t="n"/>
      <c r="T207" s="17" t="inlineStr">
        <is>
          <t>OH</t>
        </is>
      </c>
      <c r="U207" s="17" t="n">
        <v>68</v>
      </c>
      <c r="V207" s="17" t="n">
        <v>490.5</v>
      </c>
      <c r="W207" s="17" t="n">
        <v>42</v>
      </c>
      <c r="X207" s="17" t="n">
        <v>2022</v>
      </c>
      <c r="Y207" s="17" t="n">
        <v>14</v>
      </c>
      <c r="Z207" s="17" t="n">
        <v>7</v>
      </c>
      <c r="AA207" s="20">
        <f>IF(ISNUMBER(W207),W207,IFERROR(MAX(0,(VALUE(LEFT(F207,4))-VALUE(LEFT(TEXT(J207,"00000000"),4)))*12+(VALUE(MID(F207,5,2))-VALUE(MID(TEXT(J207,"00000000"),5,2)))),""))</f>
        <v/>
      </c>
      <c r="AB207" s="20">
        <f>IFERROR((VALUE(LEFT(TEXT(K207,"00000000"),4))-VALUE(LEFT(F207,4)))*12+(VALUE(MID(TEXT(K207,"00000000"),5,2))-VALUE(MID(F207,5,2))),"")</f>
        <v/>
      </c>
      <c r="AC207" s="20">
        <f>IF(OR(L207="",NOT(ISNUMBER(L207))),0,MAX(0,MIN(60,(VALUE(LEFT(F207,4))-VALUE(LEFT(TEXT(L207,"00000000"),4)))*12+(VALUE(MID(F207,5,2))-VALUE(MID(TEXT(L207,"00000000"),5,2))))))</f>
        <v/>
      </c>
      <c r="AD207" s="20">
        <f>IF(OR(L207="",NOT(ISNUMBER(L207))),0,IF(VALUE(F207)&lt;VALUE(LEFT(TEXT(L207,"00000000"),6)),1,0))</f>
        <v/>
      </c>
      <c r="AE207" s="20">
        <f>IF(OR(M207="",NOT(ISNUMBER(M207))),0,IF(VALUE(F207)&lt;VALUE(LEFT(TEXT(M207,"00000000"),6)),1,0))</f>
        <v/>
      </c>
      <c r="AF207" s="20">
        <f>IF(AND(AD207=0,AE207=0),1,0)</f>
        <v/>
      </c>
      <c r="AG207" s="20">
        <f>IF(ISNUMBER(X207),X207,IFERROR(VALUE(LEFT(TEXT(J207,"00000000"),4)),""))</f>
        <v/>
      </c>
      <c r="AH207" s="20">
        <f>IFERROR(XLOOKUP(AG207,Vintage_Rates!$A$2:$A$1000,Vintage_Rates!$B$2:$B$1000,""),"")</f>
        <v/>
      </c>
      <c r="AI207" s="20">
        <f>IF(ISNUMBER(Y207),Y207,IFERROR((G207-AH207)*100,""))</f>
        <v/>
      </c>
      <c r="AJ207" s="20">
        <f>IF(ISNUMBER(V207),V207,IFERROR(XLOOKUP(VALUE(F207),PLC_Rates!$A$2:$A$1000,PLC_Rates!$B$2:$B$1000,""),""))</f>
        <v/>
      </c>
      <c r="AK207" s="20">
        <f>IF(ISNUMBER(Z207),Z207,IF(AE207=0,0,MAX(0,MIN(10,((VALUE(LEFT(TEXT(M207,"00000000"),4))-VALUE(LEFT(F207,4)))*12+(VALUE(MID(TEXT(M207,"00000000"),5,2))-VALUE(MID(F207,5,2))))/12))))</f>
        <v/>
      </c>
      <c r="AL207" s="20">
        <f>IFERROR(G207*100-AJ207,"")</f>
        <v/>
      </c>
      <c r="AM207" s="20">
        <f>IFERROR(G207*100-(AJ207+(1+AK207)*12.5),"")</f>
        <v/>
      </c>
      <c r="AN207" s="21">
        <f>IFERROR(MIN(H207/1000000,100),"")</f>
        <v/>
      </c>
      <c r="AO207" s="20">
        <f>IFERROR(INDEX(FHA_Lookup!$B$2:$B$11,MATCH(TRUE,ISNUMBER(SEARCH(FHA_Lookup!$A$2:$A$11,UPPER(SUBSTITUTE(O207," ","")))),0)),"OTHER")</f>
        <v/>
      </c>
      <c r="AP207" s="20">
        <f>IFERROR(INDEX(FHA_Lookup!$C$2:$C$11,MATCH(TRUE,ISNUMBER(SEARCH(FHA_Lookup!$A$2:$A$11,UPPER(SUBSTITUTE(O207," ","")))),0)),"OTHER")</f>
        <v/>
      </c>
      <c r="AQ207" s="20">
        <f>IF(AP207="NC",1,0)</f>
        <v/>
      </c>
      <c r="AR207" s="20">
        <f>IF(UPPER(TRIM(P207))="AFF",1,0)</f>
        <v/>
      </c>
      <c r="AS207" s="20">
        <f>IF(UPPER(TRIM(P207))="BAF",1,0)</f>
        <v/>
      </c>
      <c r="AT207" s="20">
        <f>IF(UPPER(TRIM(P207))="MKT",1,0)</f>
        <v/>
      </c>
      <c r="AU207" s="20">
        <f>IF(AO207="221d4",1,0)</f>
        <v/>
      </c>
      <c r="AV207" s="20">
        <f>IF(AO207="223a7",1,0)</f>
        <v/>
      </c>
      <c r="AW207" s="20">
        <f>IF(AO207="232",1,0)</f>
        <v/>
      </c>
      <c r="AX207" s="20">
        <f>IF(AO207="538",1,0)</f>
        <v/>
      </c>
      <c r="AY207" s="20">
        <f>IF(AO207="241",1,0)</f>
        <v/>
      </c>
      <c r="AZ207" s="20">
        <f>IF(AO207="220",1,0)</f>
        <v/>
      </c>
      <c r="BA207" s="20">
        <f>IF(AO207="OTHER",1,0)</f>
        <v/>
      </c>
      <c r="BB207" s="20">
        <f>IF(UPPER(TRIM(C207))="LM",1,0)</f>
        <v/>
      </c>
      <c r="BC207" s="20">
        <f>IF(UPPER(TRIM(C207))="PN",1,0)</f>
        <v/>
      </c>
      <c r="BD207" s="20">
        <f>IF(UPPER(TRIM(C207))="LS",1,0)</f>
        <v/>
      </c>
      <c r="BE207" s="20">
        <f>IF(UPPER(TRIM(C207))="RX",1,0)</f>
        <v/>
      </c>
      <c r="BF207" s="22">
        <f>IFERROR((Parameters!$C$6*AM207+Parameters!$C$7*MAX(AM207-(-150),0)+Parameters!$C$8*MAX(AM207-(-50),0)+Parameters!$C$9*MAX(AM207-(0),0)+Parameters!$C$10*MAX(AM207-(50),0)+Parameters!$C$11*MAX(AM207-(100),0)+Parameters!$C$12*MAX(AM207-(150),0)+Parameters!$C$13*MAX(AM207-(250),0)),0)</f>
        <v/>
      </c>
      <c r="BG207" s="22">
        <f>IFERROR((Parameters!$C$14*AA207+Parameters!$C$15*MAX(AA207-(12),0)+Parameters!$C$16*MAX(AA207-(36),0)+Parameters!$C$17*MAX(AA207-(60),0)+Parameters!$C$18*MAX(AA207-(84),0)+Parameters!$C$19*MAX(AA207-(120),0)+Parameters!$C$20*MAX(AA207-(180),0)),0)</f>
        <v/>
      </c>
      <c r="BH207" s="22">
        <f>IFERROR((Parameters!$C$21*AK207+Parameters!$C$22*MAX(AK207-(0),0)+Parameters!$C$23*MAX(AK207-(2),0)+Parameters!$C$24*MAX(AK207-(5),0)+Parameters!$C$25*MAX(AK207-(8),0)),0)</f>
        <v/>
      </c>
      <c r="BI207" s="22">
        <f>IFERROR((Parameters!$C$26*AI207+Parameters!$C$27*MAX(AI207-(-100),0)+Parameters!$C$28*MAX(AI207-(-25),0)+Parameters!$C$29*MAX(AI207-(25),0)+Parameters!$C$30*MAX(AI207-(100),0)),0)</f>
        <v/>
      </c>
      <c r="BJ207" s="22">
        <f>IFERROR((Parameters!$C$31*AN207+Parameters!$C$32*MAX(AN207-(2),0)+Parameters!$C$33*MAX(AN207-(10),0)+Parameters!$C$34*MAX(AN207-(25),0)),0)</f>
        <v/>
      </c>
      <c r="BK207" s="22">
        <f>IFERROR((Parameters!$C$35*AB207+Parameters!$C$36*MAX(AB207-(12),0)+Parameters!$C$37*MAX(AB207-(24),0)+Parameters!$C$38*MAX(AB207-(60),0)),0)</f>
        <v/>
      </c>
      <c r="BL207" s="22">
        <f>IFERROR((Parameters!$C$39*AC207+Parameters!$C$40*MAX(AC207-(6),0)+Parameters!$C$41*MAX(AC207-(12),0)+Parameters!$C$42*MAX(AC207-(24),0)),0)</f>
        <v/>
      </c>
      <c r="BM207" s="22">
        <f>IFERROR(Parameters!$C$43*(MAX(AM207,0)*MIN(MAX(AK207,0),10))/100,0)</f>
        <v/>
      </c>
      <c r="BN207" s="22">
        <f>Parameters!$C$44*AE207</f>
        <v/>
      </c>
      <c r="BO207" s="22">
        <f>Parameters!$C$45*AU207 + Parameters!$C$46*AV207 + Parameters!$C$47*AW207 + Parameters!$C$48*AX207 + Parameters!$C$49*AY207 + Parameters!$C$50*AZ207 + Parameters!$C$51*BA207</f>
        <v/>
      </c>
      <c r="BP207" s="22">
        <f>Parameters!$C$52*AQ207</f>
        <v/>
      </c>
      <c r="BQ207" s="22">
        <f>Parameters!$C$53*AR207+Parameters!$C$54*AS207+Parameters!$C$55*AT207</f>
        <v/>
      </c>
      <c r="BR207" s="22">
        <f>Parameters!$C$56*BB207+Parameters!$C$57*BC207+Parameters!$C$58*BD207+Parameters!$C$59*BE207</f>
        <v/>
      </c>
      <c r="BS207" s="23">
        <f>Parameters!$B$2</f>
        <v/>
      </c>
      <c r="BT207" s="23">
        <f>BS207+BF207 + BG207 + BH207 + BI207 + BJ207 + BK207 + BL207 + BM207 + BN207 + BO207 + BP207 + BQ207 + BR207</f>
        <v/>
      </c>
      <c r="BU207" s="24">
        <f>IF(AD207=1,0,1/(1+EXP(-BT207))*Parameters!$B$3)</f>
        <v/>
      </c>
      <c r="BV207" s="25">
        <f>(1-(1-BU207)^12)*100</f>
        <v/>
      </c>
      <c r="BW207" s="25">
        <f>IF(AD207=1,0,(1-(1-1/(1+EXP(-Parameters!$B$2)))^12)*100)</f>
        <v/>
      </c>
      <c r="BX207" s="25">
        <f>IF(AD207=1,0,BV207-(1-(1-(1/(1+EXP(-(BT207-BF207)))*Parameters!$B$3))^12)*100)</f>
        <v/>
      </c>
      <c r="BY207" s="25">
        <f>IF(AD207=1,0,BV207-(1-(1-(1/(1+EXP(-(BT207-BG207)))*Parameters!$B$3))^12)*100)</f>
        <v/>
      </c>
      <c r="BZ207" s="25">
        <f>IF(AD207=1,0,BV207-(1-(1-(1/(1+EXP(-(BT207-BH207)))*Parameters!$B$3))^12)*100)</f>
        <v/>
      </c>
      <c r="CA207" s="25">
        <f>IF(AD207=1,0,BV207-(1-(1-(1/(1+EXP(-(BT207-BI207)))*Parameters!$B$3))^12)*100)</f>
        <v/>
      </c>
      <c r="CB207" s="25">
        <f>IF(AD207=1,0,BV207-(1-(1-(1/(1+EXP(-(BT207-BJ207)))*Parameters!$B$3))^12)*100)</f>
        <v/>
      </c>
      <c r="CC207" s="25">
        <f>IF(AD207=1,0,BV207-(1-(1-(1/(1+EXP(-(BT207-BK207)))*Parameters!$B$3))^12)*100)</f>
        <v/>
      </c>
      <c r="CD207" s="25">
        <f>IF(AD207=1,0,BV207-(1-(1-(1/(1+EXP(-(BT207-BL207)))*Parameters!$B$3))^12)*100)</f>
        <v/>
      </c>
      <c r="CE207" s="25">
        <f>IF(AD207=1,0,BV207-(1-(1-(1/(1+EXP(-(BT207-BM207)))*Parameters!$B$3))^12)*100)</f>
        <v/>
      </c>
      <c r="CF207" s="25">
        <f>IF(AD207=1,0,BV207-(1-(1-(1/(1+EXP(-(BT207-BN207)))*Parameters!$B$3))^12)*100)</f>
        <v/>
      </c>
      <c r="CG207" s="25">
        <f>IF(AD207=1,0,BV207-(1-(1-(1/(1+EXP(-(BT207-BO207)))*Parameters!$B$3))^12)*100)</f>
        <v/>
      </c>
      <c r="CH207" s="25">
        <f>IF(AD207=1,0,BV207-(1-(1-(1/(1+EXP(-(BT207-BP207)))*Parameters!$B$3))^12)*100)</f>
        <v/>
      </c>
      <c r="CI207" s="25">
        <f>IF(AD207=1,0,BV207-(1-(1-(1/(1+EXP(-(BT207-BQ207)))*Parameters!$B$3))^12)*100)</f>
        <v/>
      </c>
      <c r="CJ207" s="25">
        <f>IF(AD207=1,0,BV207-(1-(1-(1/(1+EXP(-(BT207-BR207)))*Parameters!$B$3))^12)*100)</f>
        <v/>
      </c>
    </row>
    <row r="208">
      <c r="A208" s="17" t="inlineStr">
        <is>
          <t>GNR_DIVERSE</t>
        </is>
      </c>
      <c r="B208" s="17" t="inlineStr">
        <is>
          <t>3617XKT98</t>
        </is>
      </c>
      <c r="C208" s="17" t="inlineStr">
        <is>
          <t>PN</t>
        </is>
      </c>
      <c r="D208" s="17" t="inlineStr">
        <is>
          <t>PGIM REAL ESTATE AGENCY FINANCING, LLC.</t>
        </is>
      </c>
      <c r="E208" s="17" t="inlineStr">
        <is>
          <t>3617XKT98_000000005315030</t>
        </is>
      </c>
      <c r="F208" s="17" t="n">
        <v>202603</v>
      </c>
      <c r="G208" s="18" t="n">
        <v>4</v>
      </c>
      <c r="H208" s="19" t="n">
        <v>406986.81</v>
      </c>
      <c r="I208" s="17" t="n">
        <v>216</v>
      </c>
      <c r="J208" s="17" t="n">
        <v>20220201</v>
      </c>
      <c r="K208" s="17" t="n">
        <v>20400301</v>
      </c>
      <c r="L208" s="17" t="n"/>
      <c r="M208" s="17" t="n">
        <v>20320331</v>
      </c>
      <c r="N208" s="17" t="n">
        <v>10</v>
      </c>
      <c r="O208" s="17" t="inlineStr">
        <is>
          <t>232/223(D)</t>
        </is>
      </c>
      <c r="P208" s="17" t="inlineStr">
        <is>
          <t>MKT</t>
        </is>
      </c>
      <c r="Q208" s="17" t="n"/>
      <c r="R208" s="17" t="n"/>
      <c r="S208" s="17" t="n"/>
      <c r="T208" s="17" t="inlineStr">
        <is>
          <t>NC</t>
        </is>
      </c>
      <c r="U208" s="17" t="n">
        <v>60</v>
      </c>
      <c r="V208" s="17" t="n">
        <v>490.5</v>
      </c>
      <c r="W208" s="17" t="n">
        <v>49</v>
      </c>
      <c r="X208" s="17" t="n">
        <v>2022</v>
      </c>
      <c r="Y208" s="17" t="n">
        <v>25</v>
      </c>
      <c r="Z208" s="17" t="n">
        <v>7</v>
      </c>
      <c r="AA208" s="20">
        <f>IF(ISNUMBER(W208),W208,IFERROR(MAX(0,(VALUE(LEFT(F208,4))-VALUE(LEFT(TEXT(J208,"00000000"),4)))*12+(VALUE(MID(F208,5,2))-VALUE(MID(TEXT(J208,"00000000"),5,2)))),""))</f>
        <v/>
      </c>
      <c r="AB208" s="20">
        <f>IFERROR((VALUE(LEFT(TEXT(K208,"00000000"),4))-VALUE(LEFT(F208,4)))*12+(VALUE(MID(TEXT(K208,"00000000"),5,2))-VALUE(MID(F208,5,2))),"")</f>
        <v/>
      </c>
      <c r="AC208" s="20">
        <f>IF(OR(L208="",NOT(ISNUMBER(L208))),0,MAX(0,MIN(60,(VALUE(LEFT(F208,4))-VALUE(LEFT(TEXT(L208,"00000000"),4)))*12+(VALUE(MID(F208,5,2))-VALUE(MID(TEXT(L208,"00000000"),5,2))))))</f>
        <v/>
      </c>
      <c r="AD208" s="20">
        <f>IF(OR(L208="",NOT(ISNUMBER(L208))),0,IF(VALUE(F208)&lt;VALUE(LEFT(TEXT(L208,"00000000"),6)),1,0))</f>
        <v/>
      </c>
      <c r="AE208" s="20">
        <f>IF(OR(M208="",NOT(ISNUMBER(M208))),0,IF(VALUE(F208)&lt;VALUE(LEFT(TEXT(M208,"00000000"),6)),1,0))</f>
        <v/>
      </c>
      <c r="AF208" s="20">
        <f>IF(AND(AD208=0,AE208=0),1,0)</f>
        <v/>
      </c>
      <c r="AG208" s="20">
        <f>IF(ISNUMBER(X208),X208,IFERROR(VALUE(LEFT(TEXT(J208,"00000000"),4)),""))</f>
        <v/>
      </c>
      <c r="AH208" s="20">
        <f>IFERROR(XLOOKUP(AG208,Vintage_Rates!$A$2:$A$1000,Vintage_Rates!$B$2:$B$1000,""),"")</f>
        <v/>
      </c>
      <c r="AI208" s="20">
        <f>IF(ISNUMBER(Y208),Y208,IFERROR((G208-AH208)*100,""))</f>
        <v/>
      </c>
      <c r="AJ208" s="20">
        <f>IF(ISNUMBER(V208),V208,IFERROR(XLOOKUP(VALUE(F208),PLC_Rates!$A$2:$A$1000,PLC_Rates!$B$2:$B$1000,""),""))</f>
        <v/>
      </c>
      <c r="AK208" s="20">
        <f>IF(ISNUMBER(Z208),Z208,IF(AE208=0,0,MAX(0,MIN(10,((VALUE(LEFT(TEXT(M208,"00000000"),4))-VALUE(LEFT(F208,4)))*12+(VALUE(MID(TEXT(M208,"00000000"),5,2))-VALUE(MID(F208,5,2))))/12))))</f>
        <v/>
      </c>
      <c r="AL208" s="20">
        <f>IFERROR(G208*100-AJ208,"")</f>
        <v/>
      </c>
      <c r="AM208" s="20">
        <f>IFERROR(G208*100-(AJ208+(1+AK208)*12.5),"")</f>
        <v/>
      </c>
      <c r="AN208" s="21">
        <f>IFERROR(MIN(H208/1000000,100),"")</f>
        <v/>
      </c>
      <c r="AO208" s="20">
        <f>IFERROR(INDEX(FHA_Lookup!$B$2:$B$11,MATCH(TRUE,ISNUMBER(SEARCH(FHA_Lookup!$A$2:$A$11,UPPER(SUBSTITUTE(O208," ","")))),0)),"OTHER")</f>
        <v/>
      </c>
      <c r="AP208" s="20">
        <f>IFERROR(INDEX(FHA_Lookup!$C$2:$C$11,MATCH(TRUE,ISNUMBER(SEARCH(FHA_Lookup!$A$2:$A$11,UPPER(SUBSTITUTE(O208," ","")))),0)),"OTHER")</f>
        <v/>
      </c>
      <c r="AQ208" s="20">
        <f>IF(AP208="NC",1,0)</f>
        <v/>
      </c>
      <c r="AR208" s="20">
        <f>IF(UPPER(TRIM(P208))="AFF",1,0)</f>
        <v/>
      </c>
      <c r="AS208" s="20">
        <f>IF(UPPER(TRIM(P208))="BAF",1,0)</f>
        <v/>
      </c>
      <c r="AT208" s="20">
        <f>IF(UPPER(TRIM(P208))="MKT",1,0)</f>
        <v/>
      </c>
      <c r="AU208" s="20">
        <f>IF(AO208="221d4",1,0)</f>
        <v/>
      </c>
      <c r="AV208" s="20">
        <f>IF(AO208="223a7",1,0)</f>
        <v/>
      </c>
      <c r="AW208" s="20">
        <f>IF(AO208="232",1,0)</f>
        <v/>
      </c>
      <c r="AX208" s="20">
        <f>IF(AO208="538",1,0)</f>
        <v/>
      </c>
      <c r="AY208" s="20">
        <f>IF(AO208="241",1,0)</f>
        <v/>
      </c>
      <c r="AZ208" s="20">
        <f>IF(AO208="220",1,0)</f>
        <v/>
      </c>
      <c r="BA208" s="20">
        <f>IF(AO208="OTHER",1,0)</f>
        <v/>
      </c>
      <c r="BB208" s="20">
        <f>IF(UPPER(TRIM(C208))="LM",1,0)</f>
        <v/>
      </c>
      <c r="BC208" s="20">
        <f>IF(UPPER(TRIM(C208))="PN",1,0)</f>
        <v/>
      </c>
      <c r="BD208" s="20">
        <f>IF(UPPER(TRIM(C208))="LS",1,0)</f>
        <v/>
      </c>
      <c r="BE208" s="20">
        <f>IF(UPPER(TRIM(C208))="RX",1,0)</f>
        <v/>
      </c>
      <c r="BF208" s="22">
        <f>IFERROR((Parameters!$C$6*AM208+Parameters!$C$7*MAX(AM208-(-150),0)+Parameters!$C$8*MAX(AM208-(-50),0)+Parameters!$C$9*MAX(AM208-(0),0)+Parameters!$C$10*MAX(AM208-(50),0)+Parameters!$C$11*MAX(AM208-(100),0)+Parameters!$C$12*MAX(AM208-(150),0)+Parameters!$C$13*MAX(AM208-(250),0)),0)</f>
        <v/>
      </c>
      <c r="BG208" s="22">
        <f>IFERROR((Parameters!$C$14*AA208+Parameters!$C$15*MAX(AA208-(12),0)+Parameters!$C$16*MAX(AA208-(36),0)+Parameters!$C$17*MAX(AA208-(60),0)+Parameters!$C$18*MAX(AA208-(84),0)+Parameters!$C$19*MAX(AA208-(120),0)+Parameters!$C$20*MAX(AA208-(180),0)),0)</f>
        <v/>
      </c>
      <c r="BH208" s="22">
        <f>IFERROR((Parameters!$C$21*AK208+Parameters!$C$22*MAX(AK208-(0),0)+Parameters!$C$23*MAX(AK208-(2),0)+Parameters!$C$24*MAX(AK208-(5),0)+Parameters!$C$25*MAX(AK208-(8),0)),0)</f>
        <v/>
      </c>
      <c r="BI208" s="22">
        <f>IFERROR((Parameters!$C$26*AI208+Parameters!$C$27*MAX(AI208-(-100),0)+Parameters!$C$28*MAX(AI208-(-25),0)+Parameters!$C$29*MAX(AI208-(25),0)+Parameters!$C$30*MAX(AI208-(100),0)),0)</f>
        <v/>
      </c>
      <c r="BJ208" s="22">
        <f>IFERROR((Parameters!$C$31*AN208+Parameters!$C$32*MAX(AN208-(2),0)+Parameters!$C$33*MAX(AN208-(10),0)+Parameters!$C$34*MAX(AN208-(25),0)),0)</f>
        <v/>
      </c>
      <c r="BK208" s="22">
        <f>IFERROR((Parameters!$C$35*AB208+Parameters!$C$36*MAX(AB208-(12),0)+Parameters!$C$37*MAX(AB208-(24),0)+Parameters!$C$38*MAX(AB208-(60),0)),0)</f>
        <v/>
      </c>
      <c r="BL208" s="22">
        <f>IFERROR((Parameters!$C$39*AC208+Parameters!$C$40*MAX(AC208-(6),0)+Parameters!$C$41*MAX(AC208-(12),0)+Parameters!$C$42*MAX(AC208-(24),0)),0)</f>
        <v/>
      </c>
      <c r="BM208" s="22">
        <f>IFERROR(Parameters!$C$43*(MAX(AM208,0)*MIN(MAX(AK208,0),10))/100,0)</f>
        <v/>
      </c>
      <c r="BN208" s="22">
        <f>Parameters!$C$44*AE208</f>
        <v/>
      </c>
      <c r="BO208" s="22">
        <f>Parameters!$C$45*AU208 + Parameters!$C$46*AV208 + Parameters!$C$47*AW208 + Parameters!$C$48*AX208 + Parameters!$C$49*AY208 + Parameters!$C$50*AZ208 + Parameters!$C$51*BA208</f>
        <v/>
      </c>
      <c r="BP208" s="22">
        <f>Parameters!$C$52*AQ208</f>
        <v/>
      </c>
      <c r="BQ208" s="22">
        <f>Parameters!$C$53*AR208+Parameters!$C$54*AS208+Parameters!$C$55*AT208</f>
        <v/>
      </c>
      <c r="BR208" s="22">
        <f>Parameters!$C$56*BB208+Parameters!$C$57*BC208+Parameters!$C$58*BD208+Parameters!$C$59*BE208</f>
        <v/>
      </c>
      <c r="BS208" s="23">
        <f>Parameters!$B$2</f>
        <v/>
      </c>
      <c r="BT208" s="23">
        <f>BS208+BF208 + BG208 + BH208 + BI208 + BJ208 + BK208 + BL208 + BM208 + BN208 + BO208 + BP208 + BQ208 + BR208</f>
        <v/>
      </c>
      <c r="BU208" s="24">
        <f>IF(AD208=1,0,1/(1+EXP(-BT208))*Parameters!$B$3)</f>
        <v/>
      </c>
      <c r="BV208" s="25">
        <f>(1-(1-BU208)^12)*100</f>
        <v/>
      </c>
      <c r="BW208" s="25">
        <f>IF(AD208=1,0,(1-(1-1/(1+EXP(-Parameters!$B$2)))^12)*100)</f>
        <v/>
      </c>
      <c r="BX208" s="25">
        <f>IF(AD208=1,0,BV208-(1-(1-(1/(1+EXP(-(BT208-BF208)))*Parameters!$B$3))^12)*100)</f>
        <v/>
      </c>
      <c r="BY208" s="25">
        <f>IF(AD208=1,0,BV208-(1-(1-(1/(1+EXP(-(BT208-BG208)))*Parameters!$B$3))^12)*100)</f>
        <v/>
      </c>
      <c r="BZ208" s="25">
        <f>IF(AD208=1,0,BV208-(1-(1-(1/(1+EXP(-(BT208-BH208)))*Parameters!$B$3))^12)*100)</f>
        <v/>
      </c>
      <c r="CA208" s="25">
        <f>IF(AD208=1,0,BV208-(1-(1-(1/(1+EXP(-(BT208-BI208)))*Parameters!$B$3))^12)*100)</f>
        <v/>
      </c>
      <c r="CB208" s="25">
        <f>IF(AD208=1,0,BV208-(1-(1-(1/(1+EXP(-(BT208-BJ208)))*Parameters!$B$3))^12)*100)</f>
        <v/>
      </c>
      <c r="CC208" s="25">
        <f>IF(AD208=1,0,BV208-(1-(1-(1/(1+EXP(-(BT208-BK208)))*Parameters!$B$3))^12)*100)</f>
        <v/>
      </c>
      <c r="CD208" s="25">
        <f>IF(AD208=1,0,BV208-(1-(1-(1/(1+EXP(-(BT208-BL208)))*Parameters!$B$3))^12)*100)</f>
        <v/>
      </c>
      <c r="CE208" s="25">
        <f>IF(AD208=1,0,BV208-(1-(1-(1/(1+EXP(-(BT208-BM208)))*Parameters!$B$3))^12)*100)</f>
        <v/>
      </c>
      <c r="CF208" s="25">
        <f>IF(AD208=1,0,BV208-(1-(1-(1/(1+EXP(-(BT208-BN208)))*Parameters!$B$3))^12)*100)</f>
        <v/>
      </c>
      <c r="CG208" s="25">
        <f>IF(AD208=1,0,BV208-(1-(1-(1/(1+EXP(-(BT208-BO208)))*Parameters!$B$3))^12)*100)</f>
        <v/>
      </c>
      <c r="CH208" s="25">
        <f>IF(AD208=1,0,BV208-(1-(1-(1/(1+EXP(-(BT208-BP208)))*Parameters!$B$3))^12)*100)</f>
        <v/>
      </c>
      <c r="CI208" s="25">
        <f>IF(AD208=1,0,BV208-(1-(1-(1/(1+EXP(-(BT208-BQ208)))*Parameters!$B$3))^12)*100)</f>
        <v/>
      </c>
      <c r="CJ208" s="25">
        <f>IF(AD208=1,0,BV208-(1-(1-(1/(1+EXP(-(BT208-BR208)))*Parameters!$B$3))^12)*100)</f>
        <v/>
      </c>
    </row>
    <row r="209">
      <c r="A209" s="17" t="inlineStr">
        <is>
          <t>GNR_DIVERSE</t>
        </is>
      </c>
      <c r="B209" s="17" t="inlineStr">
        <is>
          <t>36195VCH1</t>
        </is>
      </c>
      <c r="C209" s="17" t="inlineStr">
        <is>
          <t>PN</t>
        </is>
      </c>
      <c r="D209" s="17" t="inlineStr">
        <is>
          <t>ROSE COMMUNITY CAPITAL, LLC</t>
        </is>
      </c>
      <c r="E209" s="17" t="inlineStr">
        <is>
          <t>36195VCH1_000000004211296</t>
        </is>
      </c>
      <c r="F209" s="17" t="n">
        <v>202603</v>
      </c>
      <c r="G209" s="18" t="n">
        <v>3.27</v>
      </c>
      <c r="H209" s="19" t="n">
        <v>4956299.17</v>
      </c>
      <c r="I209" s="17" t="n">
        <v>420</v>
      </c>
      <c r="J209" s="17" t="n">
        <v>20170201</v>
      </c>
      <c r="K209" s="17" t="n">
        <v>20520301</v>
      </c>
      <c r="L209" s="17" t="n"/>
      <c r="M209" s="17" t="n">
        <v>20270401</v>
      </c>
      <c r="N209" s="17" t="n">
        <v>10</v>
      </c>
      <c r="O209" s="17" t="inlineStr">
        <is>
          <t>207/223(F)</t>
        </is>
      </c>
      <c r="P209" s="17" t="inlineStr">
        <is>
          <t>BAF</t>
        </is>
      </c>
      <c r="Q209" s="17" t="n"/>
      <c r="R209" s="17" t="n"/>
      <c r="S209" s="17" t="n"/>
      <c r="T209" s="17" t="inlineStr">
        <is>
          <t>OH</t>
        </is>
      </c>
      <c r="U209" s="17" t="n">
        <v>152</v>
      </c>
      <c r="V209" s="17" t="n">
        <v>490.5</v>
      </c>
      <c r="W209" s="17" t="n">
        <v>109</v>
      </c>
      <c r="X209" s="17" t="n">
        <v>2017</v>
      </c>
      <c r="Y209" s="17" t="n">
        <v>-20</v>
      </c>
      <c r="Z209" s="17" t="n">
        <v>2</v>
      </c>
      <c r="AA209" s="20">
        <f>IF(ISNUMBER(W209),W209,IFERROR(MAX(0,(VALUE(LEFT(F209,4))-VALUE(LEFT(TEXT(J209,"00000000"),4)))*12+(VALUE(MID(F209,5,2))-VALUE(MID(TEXT(J209,"00000000"),5,2)))),""))</f>
        <v/>
      </c>
      <c r="AB209" s="20">
        <f>IFERROR((VALUE(LEFT(TEXT(K209,"00000000"),4))-VALUE(LEFT(F209,4)))*12+(VALUE(MID(TEXT(K209,"00000000"),5,2))-VALUE(MID(F209,5,2))),"")</f>
        <v/>
      </c>
      <c r="AC209" s="20">
        <f>IF(OR(L209="",NOT(ISNUMBER(L209))),0,MAX(0,MIN(60,(VALUE(LEFT(F209,4))-VALUE(LEFT(TEXT(L209,"00000000"),4)))*12+(VALUE(MID(F209,5,2))-VALUE(MID(TEXT(L209,"00000000"),5,2))))))</f>
        <v/>
      </c>
      <c r="AD209" s="20">
        <f>IF(OR(L209="",NOT(ISNUMBER(L209))),0,IF(VALUE(F209)&lt;VALUE(LEFT(TEXT(L209,"00000000"),6)),1,0))</f>
        <v/>
      </c>
      <c r="AE209" s="20">
        <f>IF(OR(M209="",NOT(ISNUMBER(M209))),0,IF(VALUE(F209)&lt;VALUE(LEFT(TEXT(M209,"00000000"),6)),1,0))</f>
        <v/>
      </c>
      <c r="AF209" s="20">
        <f>IF(AND(AD209=0,AE209=0),1,0)</f>
        <v/>
      </c>
      <c r="AG209" s="20">
        <f>IF(ISNUMBER(X209),X209,IFERROR(VALUE(LEFT(TEXT(J209,"00000000"),4)),""))</f>
        <v/>
      </c>
      <c r="AH209" s="20">
        <f>IFERROR(XLOOKUP(AG209,Vintage_Rates!$A$2:$A$1000,Vintage_Rates!$B$2:$B$1000,""),"")</f>
        <v/>
      </c>
      <c r="AI209" s="20">
        <f>IF(ISNUMBER(Y209),Y209,IFERROR((G209-AH209)*100,""))</f>
        <v/>
      </c>
      <c r="AJ209" s="20">
        <f>IF(ISNUMBER(V209),V209,IFERROR(XLOOKUP(VALUE(F209),PLC_Rates!$A$2:$A$1000,PLC_Rates!$B$2:$B$1000,""),""))</f>
        <v/>
      </c>
      <c r="AK209" s="20">
        <f>IF(ISNUMBER(Z209),Z209,IF(AE209=0,0,MAX(0,MIN(10,((VALUE(LEFT(TEXT(M209,"00000000"),4))-VALUE(LEFT(F209,4)))*12+(VALUE(MID(TEXT(M209,"00000000"),5,2))-VALUE(MID(F209,5,2))))/12))))</f>
        <v/>
      </c>
      <c r="AL209" s="20">
        <f>IFERROR(G209*100-AJ209,"")</f>
        <v/>
      </c>
      <c r="AM209" s="20">
        <f>IFERROR(G209*100-(AJ209+(1+AK209)*12.5),"")</f>
        <v/>
      </c>
      <c r="AN209" s="21">
        <f>IFERROR(MIN(H209/1000000,100),"")</f>
        <v/>
      </c>
      <c r="AO209" s="20">
        <f>IFERROR(INDEX(FHA_Lookup!$B$2:$B$11,MATCH(TRUE,ISNUMBER(SEARCH(FHA_Lookup!$A$2:$A$11,UPPER(SUBSTITUTE(O209," ","")))),0)),"OTHER")</f>
        <v/>
      </c>
      <c r="AP209" s="20">
        <f>IFERROR(INDEX(FHA_Lookup!$C$2:$C$11,MATCH(TRUE,ISNUMBER(SEARCH(FHA_Lookup!$A$2:$A$11,UPPER(SUBSTITUTE(O209," ","")))),0)),"OTHER")</f>
        <v/>
      </c>
      <c r="AQ209" s="20">
        <f>IF(AP209="NC",1,0)</f>
        <v/>
      </c>
      <c r="AR209" s="20">
        <f>IF(UPPER(TRIM(P209))="AFF",1,0)</f>
        <v/>
      </c>
      <c r="AS209" s="20">
        <f>IF(UPPER(TRIM(P209))="BAF",1,0)</f>
        <v/>
      </c>
      <c r="AT209" s="20">
        <f>IF(UPPER(TRIM(P209))="MKT",1,0)</f>
        <v/>
      </c>
      <c r="AU209" s="20">
        <f>IF(AO209="221d4",1,0)</f>
        <v/>
      </c>
      <c r="AV209" s="20">
        <f>IF(AO209="223a7",1,0)</f>
        <v/>
      </c>
      <c r="AW209" s="20">
        <f>IF(AO209="232",1,0)</f>
        <v/>
      </c>
      <c r="AX209" s="20">
        <f>IF(AO209="538",1,0)</f>
        <v/>
      </c>
      <c r="AY209" s="20">
        <f>IF(AO209="241",1,0)</f>
        <v/>
      </c>
      <c r="AZ209" s="20">
        <f>IF(AO209="220",1,0)</f>
        <v/>
      </c>
      <c r="BA209" s="20">
        <f>IF(AO209="OTHER",1,0)</f>
        <v/>
      </c>
      <c r="BB209" s="20">
        <f>IF(UPPER(TRIM(C209))="LM",1,0)</f>
        <v/>
      </c>
      <c r="BC209" s="20">
        <f>IF(UPPER(TRIM(C209))="PN",1,0)</f>
        <v/>
      </c>
      <c r="BD209" s="20">
        <f>IF(UPPER(TRIM(C209))="LS",1,0)</f>
        <v/>
      </c>
      <c r="BE209" s="20">
        <f>IF(UPPER(TRIM(C209))="RX",1,0)</f>
        <v/>
      </c>
      <c r="BF209" s="22">
        <f>IFERROR((Parameters!$C$6*AM209+Parameters!$C$7*MAX(AM209-(-150),0)+Parameters!$C$8*MAX(AM209-(-50),0)+Parameters!$C$9*MAX(AM209-(0),0)+Parameters!$C$10*MAX(AM209-(50),0)+Parameters!$C$11*MAX(AM209-(100),0)+Parameters!$C$12*MAX(AM209-(150),0)+Parameters!$C$13*MAX(AM209-(250),0)),0)</f>
        <v/>
      </c>
      <c r="BG209" s="22">
        <f>IFERROR((Parameters!$C$14*AA209+Parameters!$C$15*MAX(AA209-(12),0)+Parameters!$C$16*MAX(AA209-(36),0)+Parameters!$C$17*MAX(AA209-(60),0)+Parameters!$C$18*MAX(AA209-(84),0)+Parameters!$C$19*MAX(AA209-(120),0)+Parameters!$C$20*MAX(AA209-(180),0)),0)</f>
        <v/>
      </c>
      <c r="BH209" s="22">
        <f>IFERROR((Parameters!$C$21*AK209+Parameters!$C$22*MAX(AK209-(0),0)+Parameters!$C$23*MAX(AK209-(2),0)+Parameters!$C$24*MAX(AK209-(5),0)+Parameters!$C$25*MAX(AK209-(8),0)),0)</f>
        <v/>
      </c>
      <c r="BI209" s="22">
        <f>IFERROR((Parameters!$C$26*AI209+Parameters!$C$27*MAX(AI209-(-100),0)+Parameters!$C$28*MAX(AI209-(-25),0)+Parameters!$C$29*MAX(AI209-(25),0)+Parameters!$C$30*MAX(AI209-(100),0)),0)</f>
        <v/>
      </c>
      <c r="BJ209" s="22">
        <f>IFERROR((Parameters!$C$31*AN209+Parameters!$C$32*MAX(AN209-(2),0)+Parameters!$C$33*MAX(AN209-(10),0)+Parameters!$C$34*MAX(AN209-(25),0)),0)</f>
        <v/>
      </c>
      <c r="BK209" s="22">
        <f>IFERROR((Parameters!$C$35*AB209+Parameters!$C$36*MAX(AB209-(12),0)+Parameters!$C$37*MAX(AB209-(24),0)+Parameters!$C$38*MAX(AB209-(60),0)),0)</f>
        <v/>
      </c>
      <c r="BL209" s="22">
        <f>IFERROR((Parameters!$C$39*AC209+Parameters!$C$40*MAX(AC209-(6),0)+Parameters!$C$41*MAX(AC209-(12),0)+Parameters!$C$42*MAX(AC209-(24),0)),0)</f>
        <v/>
      </c>
      <c r="BM209" s="22">
        <f>IFERROR(Parameters!$C$43*(MAX(AM209,0)*MIN(MAX(AK209,0),10))/100,0)</f>
        <v/>
      </c>
      <c r="BN209" s="22">
        <f>Parameters!$C$44*AE209</f>
        <v/>
      </c>
      <c r="BO209" s="22">
        <f>Parameters!$C$45*AU209 + Parameters!$C$46*AV209 + Parameters!$C$47*AW209 + Parameters!$C$48*AX209 + Parameters!$C$49*AY209 + Parameters!$C$50*AZ209 + Parameters!$C$51*BA209</f>
        <v/>
      </c>
      <c r="BP209" s="22">
        <f>Parameters!$C$52*AQ209</f>
        <v/>
      </c>
      <c r="BQ209" s="22">
        <f>Parameters!$C$53*AR209+Parameters!$C$54*AS209+Parameters!$C$55*AT209</f>
        <v/>
      </c>
      <c r="BR209" s="22">
        <f>Parameters!$C$56*BB209+Parameters!$C$57*BC209+Parameters!$C$58*BD209+Parameters!$C$59*BE209</f>
        <v/>
      </c>
      <c r="BS209" s="23">
        <f>Parameters!$B$2</f>
        <v/>
      </c>
      <c r="BT209" s="23">
        <f>BS209+BF209 + BG209 + BH209 + BI209 + BJ209 + BK209 + BL209 + BM209 + BN209 + BO209 + BP209 + BQ209 + BR209</f>
        <v/>
      </c>
      <c r="BU209" s="24">
        <f>IF(AD209=1,0,1/(1+EXP(-BT209))*Parameters!$B$3)</f>
        <v/>
      </c>
      <c r="BV209" s="25">
        <f>(1-(1-BU209)^12)*100</f>
        <v/>
      </c>
      <c r="BW209" s="25">
        <f>IF(AD209=1,0,(1-(1-1/(1+EXP(-Parameters!$B$2)))^12)*100)</f>
        <v/>
      </c>
      <c r="BX209" s="25">
        <f>IF(AD209=1,0,BV209-(1-(1-(1/(1+EXP(-(BT209-BF209)))*Parameters!$B$3))^12)*100)</f>
        <v/>
      </c>
      <c r="BY209" s="25">
        <f>IF(AD209=1,0,BV209-(1-(1-(1/(1+EXP(-(BT209-BG209)))*Parameters!$B$3))^12)*100)</f>
        <v/>
      </c>
      <c r="BZ209" s="25">
        <f>IF(AD209=1,0,BV209-(1-(1-(1/(1+EXP(-(BT209-BH209)))*Parameters!$B$3))^12)*100)</f>
        <v/>
      </c>
      <c r="CA209" s="25">
        <f>IF(AD209=1,0,BV209-(1-(1-(1/(1+EXP(-(BT209-BI209)))*Parameters!$B$3))^12)*100)</f>
        <v/>
      </c>
      <c r="CB209" s="25">
        <f>IF(AD209=1,0,BV209-(1-(1-(1/(1+EXP(-(BT209-BJ209)))*Parameters!$B$3))^12)*100)</f>
        <v/>
      </c>
      <c r="CC209" s="25">
        <f>IF(AD209=1,0,BV209-(1-(1-(1/(1+EXP(-(BT209-BK209)))*Parameters!$B$3))^12)*100)</f>
        <v/>
      </c>
      <c r="CD209" s="25">
        <f>IF(AD209=1,0,BV209-(1-(1-(1/(1+EXP(-(BT209-BL209)))*Parameters!$B$3))^12)*100)</f>
        <v/>
      </c>
      <c r="CE209" s="25">
        <f>IF(AD209=1,0,BV209-(1-(1-(1/(1+EXP(-(BT209-BM209)))*Parameters!$B$3))^12)*100)</f>
        <v/>
      </c>
      <c r="CF209" s="25">
        <f>IF(AD209=1,0,BV209-(1-(1-(1/(1+EXP(-(BT209-BN209)))*Parameters!$B$3))^12)*100)</f>
        <v/>
      </c>
      <c r="CG209" s="25">
        <f>IF(AD209=1,0,BV209-(1-(1-(1/(1+EXP(-(BT209-BO209)))*Parameters!$B$3))^12)*100)</f>
        <v/>
      </c>
      <c r="CH209" s="25">
        <f>IF(AD209=1,0,BV209-(1-(1-(1/(1+EXP(-(BT209-BP209)))*Parameters!$B$3))^12)*100)</f>
        <v/>
      </c>
      <c r="CI209" s="25">
        <f>IF(AD209=1,0,BV209-(1-(1-(1/(1+EXP(-(BT209-BQ209)))*Parameters!$B$3))^12)*100)</f>
        <v/>
      </c>
      <c r="CJ209" s="25">
        <f>IF(AD209=1,0,BV209-(1-(1-(1/(1+EXP(-(BT209-BR209)))*Parameters!$B$3))^12)*100)</f>
        <v/>
      </c>
    </row>
    <row r="210">
      <c r="A210" s="17" t="inlineStr">
        <is>
          <t>GNR_DIVERSE</t>
        </is>
      </c>
      <c r="B210" s="17" t="inlineStr">
        <is>
          <t>3617N3YJ9</t>
        </is>
      </c>
      <c r="C210" s="17" t="inlineStr">
        <is>
          <t>PN</t>
        </is>
      </c>
      <c r="D210" s="17" t="inlineStr">
        <is>
          <t>GREYSTONE FUNDING COMPANY LLC</t>
        </is>
      </c>
      <c r="E210" s="17" t="inlineStr">
        <is>
          <t>3617N3YJ9_000000004222307</t>
        </is>
      </c>
      <c r="F210" s="17" t="n">
        <v>202603</v>
      </c>
      <c r="G210" s="18" t="n">
        <v>2.79</v>
      </c>
      <c r="H210" s="19" t="n">
        <v>6216370.15</v>
      </c>
      <c r="I210" s="17" t="n">
        <v>420</v>
      </c>
      <c r="J210" s="17" t="n">
        <v>20200401</v>
      </c>
      <c r="K210" s="17" t="n">
        <v>20550501</v>
      </c>
      <c r="L210" s="17" t="n"/>
      <c r="M210" s="17" t="n">
        <v>20300601</v>
      </c>
      <c r="N210" s="17" t="n">
        <v>10</v>
      </c>
      <c r="O210" s="17" t="inlineStr">
        <is>
          <t>232/223(F)</t>
        </is>
      </c>
      <c r="P210" s="17" t="inlineStr">
        <is>
          <t>MKT</t>
        </is>
      </c>
      <c r="Q210" s="17" t="n"/>
      <c r="R210" s="17" t="n"/>
      <c r="S210" s="17" t="n"/>
      <c r="T210" s="17" t="inlineStr">
        <is>
          <t>OH</t>
        </is>
      </c>
      <c r="U210" s="17" t="n">
        <v>198</v>
      </c>
      <c r="V210" s="17" t="n">
        <v>490.5</v>
      </c>
      <c r="W210" s="17" t="n">
        <v>71</v>
      </c>
      <c r="X210" s="17" t="n">
        <v>2020</v>
      </c>
      <c r="Y210" s="17" t="n">
        <v>-6</v>
      </c>
      <c r="Z210" s="17" t="n">
        <v>5</v>
      </c>
      <c r="AA210" s="20">
        <f>IF(ISNUMBER(W210),W210,IFERROR(MAX(0,(VALUE(LEFT(F210,4))-VALUE(LEFT(TEXT(J210,"00000000"),4)))*12+(VALUE(MID(F210,5,2))-VALUE(MID(TEXT(J210,"00000000"),5,2)))),""))</f>
        <v/>
      </c>
      <c r="AB210" s="20">
        <f>IFERROR((VALUE(LEFT(TEXT(K210,"00000000"),4))-VALUE(LEFT(F210,4)))*12+(VALUE(MID(TEXT(K210,"00000000"),5,2))-VALUE(MID(F210,5,2))),"")</f>
        <v/>
      </c>
      <c r="AC210" s="20">
        <f>IF(OR(L210="",NOT(ISNUMBER(L210))),0,MAX(0,MIN(60,(VALUE(LEFT(F210,4))-VALUE(LEFT(TEXT(L210,"00000000"),4)))*12+(VALUE(MID(F210,5,2))-VALUE(MID(TEXT(L210,"00000000"),5,2))))))</f>
        <v/>
      </c>
      <c r="AD210" s="20">
        <f>IF(OR(L210="",NOT(ISNUMBER(L210))),0,IF(VALUE(F210)&lt;VALUE(LEFT(TEXT(L210,"00000000"),6)),1,0))</f>
        <v/>
      </c>
      <c r="AE210" s="20">
        <f>IF(OR(M210="",NOT(ISNUMBER(M210))),0,IF(VALUE(F210)&lt;VALUE(LEFT(TEXT(M210,"00000000"),6)),1,0))</f>
        <v/>
      </c>
      <c r="AF210" s="20">
        <f>IF(AND(AD210=0,AE210=0),1,0)</f>
        <v/>
      </c>
      <c r="AG210" s="20">
        <f>IF(ISNUMBER(X210),X210,IFERROR(VALUE(LEFT(TEXT(J210,"00000000"),4)),""))</f>
        <v/>
      </c>
      <c r="AH210" s="20">
        <f>IFERROR(XLOOKUP(AG210,Vintage_Rates!$A$2:$A$1000,Vintage_Rates!$B$2:$B$1000,""),"")</f>
        <v/>
      </c>
      <c r="AI210" s="20">
        <f>IF(ISNUMBER(Y210),Y210,IFERROR((G210-AH210)*100,""))</f>
        <v/>
      </c>
      <c r="AJ210" s="20">
        <f>IF(ISNUMBER(V210),V210,IFERROR(XLOOKUP(VALUE(F210),PLC_Rates!$A$2:$A$1000,PLC_Rates!$B$2:$B$1000,""),""))</f>
        <v/>
      </c>
      <c r="AK210" s="20">
        <f>IF(ISNUMBER(Z210),Z210,IF(AE210=0,0,MAX(0,MIN(10,((VALUE(LEFT(TEXT(M210,"00000000"),4))-VALUE(LEFT(F210,4)))*12+(VALUE(MID(TEXT(M210,"00000000"),5,2))-VALUE(MID(F210,5,2))))/12))))</f>
        <v/>
      </c>
      <c r="AL210" s="20">
        <f>IFERROR(G210*100-AJ210,"")</f>
        <v/>
      </c>
      <c r="AM210" s="20">
        <f>IFERROR(G210*100-(AJ210+(1+AK210)*12.5),"")</f>
        <v/>
      </c>
      <c r="AN210" s="21">
        <f>IFERROR(MIN(H210/1000000,100),"")</f>
        <v/>
      </c>
      <c r="AO210" s="20">
        <f>IFERROR(INDEX(FHA_Lookup!$B$2:$B$11,MATCH(TRUE,ISNUMBER(SEARCH(FHA_Lookup!$A$2:$A$11,UPPER(SUBSTITUTE(O210," ","")))),0)),"OTHER")</f>
        <v/>
      </c>
      <c r="AP210" s="20">
        <f>IFERROR(INDEX(FHA_Lookup!$C$2:$C$11,MATCH(TRUE,ISNUMBER(SEARCH(FHA_Lookup!$A$2:$A$11,UPPER(SUBSTITUTE(O210," ","")))),0)),"OTHER")</f>
        <v/>
      </c>
      <c r="AQ210" s="20">
        <f>IF(AP210="NC",1,0)</f>
        <v/>
      </c>
      <c r="AR210" s="20">
        <f>IF(UPPER(TRIM(P210))="AFF",1,0)</f>
        <v/>
      </c>
      <c r="AS210" s="20">
        <f>IF(UPPER(TRIM(P210))="BAF",1,0)</f>
        <v/>
      </c>
      <c r="AT210" s="20">
        <f>IF(UPPER(TRIM(P210))="MKT",1,0)</f>
        <v/>
      </c>
      <c r="AU210" s="20">
        <f>IF(AO210="221d4",1,0)</f>
        <v/>
      </c>
      <c r="AV210" s="20">
        <f>IF(AO210="223a7",1,0)</f>
        <v/>
      </c>
      <c r="AW210" s="20">
        <f>IF(AO210="232",1,0)</f>
        <v/>
      </c>
      <c r="AX210" s="20">
        <f>IF(AO210="538",1,0)</f>
        <v/>
      </c>
      <c r="AY210" s="20">
        <f>IF(AO210="241",1,0)</f>
        <v/>
      </c>
      <c r="AZ210" s="20">
        <f>IF(AO210="220",1,0)</f>
        <v/>
      </c>
      <c r="BA210" s="20">
        <f>IF(AO210="OTHER",1,0)</f>
        <v/>
      </c>
      <c r="BB210" s="20">
        <f>IF(UPPER(TRIM(C210))="LM",1,0)</f>
        <v/>
      </c>
      <c r="BC210" s="20">
        <f>IF(UPPER(TRIM(C210))="PN",1,0)</f>
        <v/>
      </c>
      <c r="BD210" s="20">
        <f>IF(UPPER(TRIM(C210))="LS",1,0)</f>
        <v/>
      </c>
      <c r="BE210" s="20">
        <f>IF(UPPER(TRIM(C210))="RX",1,0)</f>
        <v/>
      </c>
      <c r="BF210" s="22">
        <f>IFERROR((Parameters!$C$6*AM210+Parameters!$C$7*MAX(AM210-(-150),0)+Parameters!$C$8*MAX(AM210-(-50),0)+Parameters!$C$9*MAX(AM210-(0),0)+Parameters!$C$10*MAX(AM210-(50),0)+Parameters!$C$11*MAX(AM210-(100),0)+Parameters!$C$12*MAX(AM210-(150),0)+Parameters!$C$13*MAX(AM210-(250),0)),0)</f>
        <v/>
      </c>
      <c r="BG210" s="22">
        <f>IFERROR((Parameters!$C$14*AA210+Parameters!$C$15*MAX(AA210-(12),0)+Parameters!$C$16*MAX(AA210-(36),0)+Parameters!$C$17*MAX(AA210-(60),0)+Parameters!$C$18*MAX(AA210-(84),0)+Parameters!$C$19*MAX(AA210-(120),0)+Parameters!$C$20*MAX(AA210-(180),0)),0)</f>
        <v/>
      </c>
      <c r="BH210" s="22">
        <f>IFERROR((Parameters!$C$21*AK210+Parameters!$C$22*MAX(AK210-(0),0)+Parameters!$C$23*MAX(AK210-(2),0)+Parameters!$C$24*MAX(AK210-(5),0)+Parameters!$C$25*MAX(AK210-(8),0)),0)</f>
        <v/>
      </c>
      <c r="BI210" s="22">
        <f>IFERROR((Parameters!$C$26*AI210+Parameters!$C$27*MAX(AI210-(-100),0)+Parameters!$C$28*MAX(AI210-(-25),0)+Parameters!$C$29*MAX(AI210-(25),0)+Parameters!$C$30*MAX(AI210-(100),0)),0)</f>
        <v/>
      </c>
      <c r="BJ210" s="22">
        <f>IFERROR((Parameters!$C$31*AN210+Parameters!$C$32*MAX(AN210-(2),0)+Parameters!$C$33*MAX(AN210-(10),0)+Parameters!$C$34*MAX(AN210-(25),0)),0)</f>
        <v/>
      </c>
      <c r="BK210" s="22">
        <f>IFERROR((Parameters!$C$35*AB210+Parameters!$C$36*MAX(AB210-(12),0)+Parameters!$C$37*MAX(AB210-(24),0)+Parameters!$C$38*MAX(AB210-(60),0)),0)</f>
        <v/>
      </c>
      <c r="BL210" s="22">
        <f>IFERROR((Parameters!$C$39*AC210+Parameters!$C$40*MAX(AC210-(6),0)+Parameters!$C$41*MAX(AC210-(12),0)+Parameters!$C$42*MAX(AC210-(24),0)),0)</f>
        <v/>
      </c>
      <c r="BM210" s="22">
        <f>IFERROR(Parameters!$C$43*(MAX(AM210,0)*MIN(MAX(AK210,0),10))/100,0)</f>
        <v/>
      </c>
      <c r="BN210" s="22">
        <f>Parameters!$C$44*AE210</f>
        <v/>
      </c>
      <c r="BO210" s="22">
        <f>Parameters!$C$45*AU210 + Parameters!$C$46*AV210 + Parameters!$C$47*AW210 + Parameters!$C$48*AX210 + Parameters!$C$49*AY210 + Parameters!$C$50*AZ210 + Parameters!$C$51*BA210</f>
        <v/>
      </c>
      <c r="BP210" s="22">
        <f>Parameters!$C$52*AQ210</f>
        <v/>
      </c>
      <c r="BQ210" s="22">
        <f>Parameters!$C$53*AR210+Parameters!$C$54*AS210+Parameters!$C$55*AT210</f>
        <v/>
      </c>
      <c r="BR210" s="22">
        <f>Parameters!$C$56*BB210+Parameters!$C$57*BC210+Parameters!$C$58*BD210+Parameters!$C$59*BE210</f>
        <v/>
      </c>
      <c r="BS210" s="23">
        <f>Parameters!$B$2</f>
        <v/>
      </c>
      <c r="BT210" s="23">
        <f>BS210+BF210 + BG210 + BH210 + BI210 + BJ210 + BK210 + BL210 + BM210 + BN210 + BO210 + BP210 + BQ210 + BR210</f>
        <v/>
      </c>
      <c r="BU210" s="24">
        <f>IF(AD210=1,0,1/(1+EXP(-BT210))*Parameters!$B$3)</f>
        <v/>
      </c>
      <c r="BV210" s="25">
        <f>(1-(1-BU210)^12)*100</f>
        <v/>
      </c>
      <c r="BW210" s="25">
        <f>IF(AD210=1,0,(1-(1-1/(1+EXP(-Parameters!$B$2)))^12)*100)</f>
        <v/>
      </c>
      <c r="BX210" s="25">
        <f>IF(AD210=1,0,BV210-(1-(1-(1/(1+EXP(-(BT210-BF210)))*Parameters!$B$3))^12)*100)</f>
        <v/>
      </c>
      <c r="BY210" s="25">
        <f>IF(AD210=1,0,BV210-(1-(1-(1/(1+EXP(-(BT210-BG210)))*Parameters!$B$3))^12)*100)</f>
        <v/>
      </c>
      <c r="BZ210" s="25">
        <f>IF(AD210=1,0,BV210-(1-(1-(1/(1+EXP(-(BT210-BH210)))*Parameters!$B$3))^12)*100)</f>
        <v/>
      </c>
      <c r="CA210" s="25">
        <f>IF(AD210=1,0,BV210-(1-(1-(1/(1+EXP(-(BT210-BI210)))*Parameters!$B$3))^12)*100)</f>
        <v/>
      </c>
      <c r="CB210" s="25">
        <f>IF(AD210=1,0,BV210-(1-(1-(1/(1+EXP(-(BT210-BJ210)))*Parameters!$B$3))^12)*100)</f>
        <v/>
      </c>
      <c r="CC210" s="25">
        <f>IF(AD210=1,0,BV210-(1-(1-(1/(1+EXP(-(BT210-BK210)))*Parameters!$B$3))^12)*100)</f>
        <v/>
      </c>
      <c r="CD210" s="25">
        <f>IF(AD210=1,0,BV210-(1-(1-(1/(1+EXP(-(BT210-BL210)))*Parameters!$B$3))^12)*100)</f>
        <v/>
      </c>
      <c r="CE210" s="25">
        <f>IF(AD210=1,0,BV210-(1-(1-(1/(1+EXP(-(BT210-BM210)))*Parameters!$B$3))^12)*100)</f>
        <v/>
      </c>
      <c r="CF210" s="25">
        <f>IF(AD210=1,0,BV210-(1-(1-(1/(1+EXP(-(BT210-BN210)))*Parameters!$B$3))^12)*100)</f>
        <v/>
      </c>
      <c r="CG210" s="25">
        <f>IF(AD210=1,0,BV210-(1-(1-(1/(1+EXP(-(BT210-BO210)))*Parameters!$B$3))^12)*100)</f>
        <v/>
      </c>
      <c r="CH210" s="25">
        <f>IF(AD210=1,0,BV210-(1-(1-(1/(1+EXP(-(BT210-BP210)))*Parameters!$B$3))^12)*100)</f>
        <v/>
      </c>
      <c r="CI210" s="25">
        <f>IF(AD210=1,0,BV210-(1-(1-(1/(1+EXP(-(BT210-BQ210)))*Parameters!$B$3))^12)*100)</f>
        <v/>
      </c>
      <c r="CJ210" s="25">
        <f>IF(AD210=1,0,BV210-(1-(1-(1/(1+EXP(-(BT210-BR210)))*Parameters!$B$3))^12)*100)</f>
        <v/>
      </c>
    </row>
    <row r="211">
      <c r="A211" s="17" t="inlineStr">
        <is>
          <t>GNR_DIVERSE</t>
        </is>
      </c>
      <c r="B211" s="17" t="inlineStr">
        <is>
          <t>3617USAE3</t>
        </is>
      </c>
      <c r="C211" s="17" t="inlineStr">
        <is>
          <t>PN</t>
        </is>
      </c>
      <c r="D211" s="17" t="inlineStr">
        <is>
          <t>BELLWETHER ENTERPRISE REAL ESTATE CAPITA</t>
        </is>
      </c>
      <c r="E211" s="17" t="inlineStr">
        <is>
          <t>3617USAE3_000000006235791</t>
        </is>
      </c>
      <c r="F211" s="17" t="n">
        <v>202603</v>
      </c>
      <c r="G211" s="18" t="n">
        <v>3</v>
      </c>
      <c r="H211" s="19" t="n">
        <v>11078545.85</v>
      </c>
      <c r="I211" s="17" t="n">
        <v>462</v>
      </c>
      <c r="J211" s="17" t="n">
        <v>20201222</v>
      </c>
      <c r="K211" s="17" t="n">
        <v>20630201</v>
      </c>
      <c r="L211" s="17" t="n"/>
      <c r="M211" s="17" t="n">
        <v>20330228</v>
      </c>
      <c r="N211" s="17" t="n">
        <v>10</v>
      </c>
      <c r="O211" s="17" t="inlineStr">
        <is>
          <t>221(D)(4)</t>
        </is>
      </c>
      <c r="P211" s="17" t="inlineStr">
        <is>
          <t>BAF</t>
        </is>
      </c>
      <c r="Q211" s="17" t="n"/>
      <c r="R211" s="17" t="n"/>
      <c r="S211" s="17" t="n"/>
      <c r="T211" s="17" t="inlineStr">
        <is>
          <t>AL</t>
        </is>
      </c>
      <c r="U211" s="17" t="n">
        <v>212</v>
      </c>
      <c r="V211" s="17" t="n">
        <v>490.5</v>
      </c>
      <c r="W211" s="17" t="n">
        <v>63</v>
      </c>
      <c r="X211" s="17" t="n">
        <v>2020</v>
      </c>
      <c r="Y211" s="17" t="n">
        <v>15</v>
      </c>
      <c r="Z211" s="17" t="n">
        <v>8</v>
      </c>
      <c r="AA211" s="20">
        <f>IF(ISNUMBER(W211),W211,IFERROR(MAX(0,(VALUE(LEFT(F211,4))-VALUE(LEFT(TEXT(J211,"00000000"),4)))*12+(VALUE(MID(F211,5,2))-VALUE(MID(TEXT(J211,"00000000"),5,2)))),""))</f>
        <v/>
      </c>
      <c r="AB211" s="20">
        <f>IFERROR((VALUE(LEFT(TEXT(K211,"00000000"),4))-VALUE(LEFT(F211,4)))*12+(VALUE(MID(TEXT(K211,"00000000"),5,2))-VALUE(MID(F211,5,2))),"")</f>
        <v/>
      </c>
      <c r="AC211" s="20">
        <f>IF(OR(L211="",NOT(ISNUMBER(L211))),0,MAX(0,MIN(60,(VALUE(LEFT(F211,4))-VALUE(LEFT(TEXT(L211,"00000000"),4)))*12+(VALUE(MID(F211,5,2))-VALUE(MID(TEXT(L211,"00000000"),5,2))))))</f>
        <v/>
      </c>
      <c r="AD211" s="20">
        <f>IF(OR(L211="",NOT(ISNUMBER(L211))),0,IF(VALUE(F211)&lt;VALUE(LEFT(TEXT(L211,"00000000"),6)),1,0))</f>
        <v/>
      </c>
      <c r="AE211" s="20">
        <f>IF(OR(M211="",NOT(ISNUMBER(M211))),0,IF(VALUE(F211)&lt;VALUE(LEFT(TEXT(M211,"00000000"),6)),1,0))</f>
        <v/>
      </c>
      <c r="AF211" s="20">
        <f>IF(AND(AD211=0,AE211=0),1,0)</f>
        <v/>
      </c>
      <c r="AG211" s="20">
        <f>IF(ISNUMBER(X211),X211,IFERROR(VALUE(LEFT(TEXT(J211,"00000000"),4)),""))</f>
        <v/>
      </c>
      <c r="AH211" s="20">
        <f>IFERROR(XLOOKUP(AG211,Vintage_Rates!$A$2:$A$1000,Vintage_Rates!$B$2:$B$1000,""),"")</f>
        <v/>
      </c>
      <c r="AI211" s="20">
        <f>IF(ISNUMBER(Y211),Y211,IFERROR((G211-AH211)*100,""))</f>
        <v/>
      </c>
      <c r="AJ211" s="20">
        <f>IF(ISNUMBER(V211),V211,IFERROR(XLOOKUP(VALUE(F211),PLC_Rates!$A$2:$A$1000,PLC_Rates!$B$2:$B$1000,""),""))</f>
        <v/>
      </c>
      <c r="AK211" s="20">
        <f>IF(ISNUMBER(Z211),Z211,IF(AE211=0,0,MAX(0,MIN(10,((VALUE(LEFT(TEXT(M211,"00000000"),4))-VALUE(LEFT(F211,4)))*12+(VALUE(MID(TEXT(M211,"00000000"),5,2))-VALUE(MID(F211,5,2))))/12))))</f>
        <v/>
      </c>
      <c r="AL211" s="20">
        <f>IFERROR(G211*100-AJ211,"")</f>
        <v/>
      </c>
      <c r="AM211" s="20">
        <f>IFERROR(G211*100-(AJ211+(1+AK211)*12.5),"")</f>
        <v/>
      </c>
      <c r="AN211" s="21">
        <f>IFERROR(MIN(H211/1000000,100),"")</f>
        <v/>
      </c>
      <c r="AO211" s="20">
        <f>IFERROR(INDEX(FHA_Lookup!$B$2:$B$11,MATCH(TRUE,ISNUMBER(SEARCH(FHA_Lookup!$A$2:$A$11,UPPER(SUBSTITUTE(O211," ","")))),0)),"OTHER")</f>
        <v/>
      </c>
      <c r="AP211" s="20">
        <f>IFERROR(INDEX(FHA_Lookup!$C$2:$C$11,MATCH(TRUE,ISNUMBER(SEARCH(FHA_Lookup!$A$2:$A$11,UPPER(SUBSTITUTE(O211," ","")))),0)),"OTHER")</f>
        <v/>
      </c>
      <c r="AQ211" s="20">
        <f>IF(AP211="NC",1,0)</f>
        <v/>
      </c>
      <c r="AR211" s="20">
        <f>IF(UPPER(TRIM(P211))="AFF",1,0)</f>
        <v/>
      </c>
      <c r="AS211" s="20">
        <f>IF(UPPER(TRIM(P211))="BAF",1,0)</f>
        <v/>
      </c>
      <c r="AT211" s="20">
        <f>IF(UPPER(TRIM(P211))="MKT",1,0)</f>
        <v/>
      </c>
      <c r="AU211" s="20">
        <f>IF(AO211="221d4",1,0)</f>
        <v/>
      </c>
      <c r="AV211" s="20">
        <f>IF(AO211="223a7",1,0)</f>
        <v/>
      </c>
      <c r="AW211" s="20">
        <f>IF(AO211="232",1,0)</f>
        <v/>
      </c>
      <c r="AX211" s="20">
        <f>IF(AO211="538",1,0)</f>
        <v/>
      </c>
      <c r="AY211" s="20">
        <f>IF(AO211="241",1,0)</f>
        <v/>
      </c>
      <c r="AZ211" s="20">
        <f>IF(AO211="220",1,0)</f>
        <v/>
      </c>
      <c r="BA211" s="20">
        <f>IF(AO211="OTHER",1,0)</f>
        <v/>
      </c>
      <c r="BB211" s="20">
        <f>IF(UPPER(TRIM(C211))="LM",1,0)</f>
        <v/>
      </c>
      <c r="BC211" s="20">
        <f>IF(UPPER(TRIM(C211))="PN",1,0)</f>
        <v/>
      </c>
      <c r="BD211" s="20">
        <f>IF(UPPER(TRIM(C211))="LS",1,0)</f>
        <v/>
      </c>
      <c r="BE211" s="20">
        <f>IF(UPPER(TRIM(C211))="RX",1,0)</f>
        <v/>
      </c>
      <c r="BF211" s="22">
        <f>IFERROR((Parameters!$C$6*AM211+Parameters!$C$7*MAX(AM211-(-150),0)+Parameters!$C$8*MAX(AM211-(-50),0)+Parameters!$C$9*MAX(AM211-(0),0)+Parameters!$C$10*MAX(AM211-(50),0)+Parameters!$C$11*MAX(AM211-(100),0)+Parameters!$C$12*MAX(AM211-(150),0)+Parameters!$C$13*MAX(AM211-(250),0)),0)</f>
        <v/>
      </c>
      <c r="BG211" s="22">
        <f>IFERROR((Parameters!$C$14*AA211+Parameters!$C$15*MAX(AA211-(12),0)+Parameters!$C$16*MAX(AA211-(36),0)+Parameters!$C$17*MAX(AA211-(60),0)+Parameters!$C$18*MAX(AA211-(84),0)+Parameters!$C$19*MAX(AA211-(120),0)+Parameters!$C$20*MAX(AA211-(180),0)),0)</f>
        <v/>
      </c>
      <c r="BH211" s="22">
        <f>IFERROR((Parameters!$C$21*AK211+Parameters!$C$22*MAX(AK211-(0),0)+Parameters!$C$23*MAX(AK211-(2),0)+Parameters!$C$24*MAX(AK211-(5),0)+Parameters!$C$25*MAX(AK211-(8),0)),0)</f>
        <v/>
      </c>
      <c r="BI211" s="22">
        <f>IFERROR((Parameters!$C$26*AI211+Parameters!$C$27*MAX(AI211-(-100),0)+Parameters!$C$28*MAX(AI211-(-25),0)+Parameters!$C$29*MAX(AI211-(25),0)+Parameters!$C$30*MAX(AI211-(100),0)),0)</f>
        <v/>
      </c>
      <c r="BJ211" s="22">
        <f>IFERROR((Parameters!$C$31*AN211+Parameters!$C$32*MAX(AN211-(2),0)+Parameters!$C$33*MAX(AN211-(10),0)+Parameters!$C$34*MAX(AN211-(25),0)),0)</f>
        <v/>
      </c>
      <c r="BK211" s="22">
        <f>IFERROR((Parameters!$C$35*AB211+Parameters!$C$36*MAX(AB211-(12),0)+Parameters!$C$37*MAX(AB211-(24),0)+Parameters!$C$38*MAX(AB211-(60),0)),0)</f>
        <v/>
      </c>
      <c r="BL211" s="22">
        <f>IFERROR((Parameters!$C$39*AC211+Parameters!$C$40*MAX(AC211-(6),0)+Parameters!$C$41*MAX(AC211-(12),0)+Parameters!$C$42*MAX(AC211-(24),0)),0)</f>
        <v/>
      </c>
      <c r="BM211" s="22">
        <f>IFERROR(Parameters!$C$43*(MAX(AM211,0)*MIN(MAX(AK211,0),10))/100,0)</f>
        <v/>
      </c>
      <c r="BN211" s="22">
        <f>Parameters!$C$44*AE211</f>
        <v/>
      </c>
      <c r="BO211" s="22">
        <f>Parameters!$C$45*AU211 + Parameters!$C$46*AV211 + Parameters!$C$47*AW211 + Parameters!$C$48*AX211 + Parameters!$C$49*AY211 + Parameters!$C$50*AZ211 + Parameters!$C$51*BA211</f>
        <v/>
      </c>
      <c r="BP211" s="22">
        <f>Parameters!$C$52*AQ211</f>
        <v/>
      </c>
      <c r="BQ211" s="22">
        <f>Parameters!$C$53*AR211+Parameters!$C$54*AS211+Parameters!$C$55*AT211</f>
        <v/>
      </c>
      <c r="BR211" s="22">
        <f>Parameters!$C$56*BB211+Parameters!$C$57*BC211+Parameters!$C$58*BD211+Parameters!$C$59*BE211</f>
        <v/>
      </c>
      <c r="BS211" s="23">
        <f>Parameters!$B$2</f>
        <v/>
      </c>
      <c r="BT211" s="23">
        <f>BS211+BF211 + BG211 + BH211 + BI211 + BJ211 + BK211 + BL211 + BM211 + BN211 + BO211 + BP211 + BQ211 + BR211</f>
        <v/>
      </c>
      <c r="BU211" s="24">
        <f>IF(AD211=1,0,1/(1+EXP(-BT211))*Parameters!$B$3)</f>
        <v/>
      </c>
      <c r="BV211" s="25">
        <f>(1-(1-BU211)^12)*100</f>
        <v/>
      </c>
      <c r="BW211" s="25">
        <f>IF(AD211=1,0,(1-(1-1/(1+EXP(-Parameters!$B$2)))^12)*100)</f>
        <v/>
      </c>
      <c r="BX211" s="25">
        <f>IF(AD211=1,0,BV211-(1-(1-(1/(1+EXP(-(BT211-BF211)))*Parameters!$B$3))^12)*100)</f>
        <v/>
      </c>
      <c r="BY211" s="25">
        <f>IF(AD211=1,0,BV211-(1-(1-(1/(1+EXP(-(BT211-BG211)))*Parameters!$B$3))^12)*100)</f>
        <v/>
      </c>
      <c r="BZ211" s="25">
        <f>IF(AD211=1,0,BV211-(1-(1-(1/(1+EXP(-(BT211-BH211)))*Parameters!$B$3))^12)*100)</f>
        <v/>
      </c>
      <c r="CA211" s="25">
        <f>IF(AD211=1,0,BV211-(1-(1-(1/(1+EXP(-(BT211-BI211)))*Parameters!$B$3))^12)*100)</f>
        <v/>
      </c>
      <c r="CB211" s="25">
        <f>IF(AD211=1,0,BV211-(1-(1-(1/(1+EXP(-(BT211-BJ211)))*Parameters!$B$3))^12)*100)</f>
        <v/>
      </c>
      <c r="CC211" s="25">
        <f>IF(AD211=1,0,BV211-(1-(1-(1/(1+EXP(-(BT211-BK211)))*Parameters!$B$3))^12)*100)</f>
        <v/>
      </c>
      <c r="CD211" s="25">
        <f>IF(AD211=1,0,BV211-(1-(1-(1/(1+EXP(-(BT211-BL211)))*Parameters!$B$3))^12)*100)</f>
        <v/>
      </c>
      <c r="CE211" s="25">
        <f>IF(AD211=1,0,BV211-(1-(1-(1/(1+EXP(-(BT211-BM211)))*Parameters!$B$3))^12)*100)</f>
        <v/>
      </c>
      <c r="CF211" s="25">
        <f>IF(AD211=1,0,BV211-(1-(1-(1/(1+EXP(-(BT211-BN211)))*Parameters!$B$3))^12)*100)</f>
        <v/>
      </c>
      <c r="CG211" s="25">
        <f>IF(AD211=1,0,BV211-(1-(1-(1/(1+EXP(-(BT211-BO211)))*Parameters!$B$3))^12)*100)</f>
        <v/>
      </c>
      <c r="CH211" s="25">
        <f>IF(AD211=1,0,BV211-(1-(1-(1/(1+EXP(-(BT211-BP211)))*Parameters!$B$3))^12)*100)</f>
        <v/>
      </c>
      <c r="CI211" s="25">
        <f>IF(AD211=1,0,BV211-(1-(1-(1/(1+EXP(-(BT211-BQ211)))*Parameters!$B$3))^12)*100)</f>
        <v/>
      </c>
      <c r="CJ211" s="25">
        <f>IF(AD211=1,0,BV211-(1-(1-(1/(1+EXP(-(BT211-BR211)))*Parameters!$B$3))^12)*100)</f>
        <v/>
      </c>
    </row>
    <row r="212">
      <c r="A212" s="17" t="inlineStr">
        <is>
          <t>GNR_DIVERSE</t>
        </is>
      </c>
      <c r="B212" s="17" t="inlineStr">
        <is>
          <t>3617U4HG4</t>
        </is>
      </c>
      <c r="C212" s="17" t="inlineStr">
        <is>
          <t>LM</t>
        </is>
      </c>
      <c r="D212" s="17" t="inlineStr">
        <is>
          <t>CENTURY HEALTH &amp; HOUSING CAPITAL, LLC</t>
        </is>
      </c>
      <c r="E212" s="17" t="inlineStr">
        <is>
          <t>3617U4HG4_000000001411258</t>
        </is>
      </c>
      <c r="F212" s="17" t="n">
        <v>202603</v>
      </c>
      <c r="G212" s="18" t="n">
        <v>3.1</v>
      </c>
      <c r="H212" s="19" t="n">
        <v>1872596.62</v>
      </c>
      <c r="I212" s="17" t="n">
        <v>376</v>
      </c>
      <c r="J212" s="17" t="n">
        <v>20201031</v>
      </c>
      <c r="K212" s="17" t="n">
        <v>20520301</v>
      </c>
      <c r="L212" s="17" t="n"/>
      <c r="M212" s="17" t="n">
        <v>20301201</v>
      </c>
      <c r="N212" s="17" t="n">
        <v>10</v>
      </c>
      <c r="O212" s="17" t="inlineStr">
        <is>
          <t>207/223(F)</t>
        </is>
      </c>
      <c r="P212" s="17" t="inlineStr">
        <is>
          <t>BAF</t>
        </is>
      </c>
      <c r="Q212" s="17" t="inlineStr">
        <is>
          <t>M</t>
        </is>
      </c>
      <c r="R212" s="17" t="n"/>
      <c r="S212" s="17" t="n">
        <v>1</v>
      </c>
      <c r="T212" s="17" t="inlineStr">
        <is>
          <t>NY</t>
        </is>
      </c>
      <c r="U212" s="17" t="n">
        <v>40</v>
      </c>
      <c r="V212" s="17" t="n">
        <v>490.5</v>
      </c>
      <c r="W212" s="17" t="n">
        <v>65</v>
      </c>
      <c r="X212" s="17" t="n">
        <v>2020</v>
      </c>
      <c r="Y212" s="17" t="n">
        <v>25</v>
      </c>
      <c r="Z212" s="17" t="n">
        <v>5</v>
      </c>
      <c r="AA212" s="20">
        <f>IF(ISNUMBER(W212),W212,IFERROR(MAX(0,(VALUE(LEFT(F212,4))-VALUE(LEFT(TEXT(J212,"00000000"),4)))*12+(VALUE(MID(F212,5,2))-VALUE(MID(TEXT(J212,"00000000"),5,2)))),""))</f>
        <v/>
      </c>
      <c r="AB212" s="20">
        <f>IFERROR((VALUE(LEFT(TEXT(K212,"00000000"),4))-VALUE(LEFT(F212,4)))*12+(VALUE(MID(TEXT(K212,"00000000"),5,2))-VALUE(MID(F212,5,2))),"")</f>
        <v/>
      </c>
      <c r="AC212" s="20">
        <f>IF(OR(L212="",NOT(ISNUMBER(L212))),0,MAX(0,MIN(60,(VALUE(LEFT(F212,4))-VALUE(LEFT(TEXT(L212,"00000000"),4)))*12+(VALUE(MID(F212,5,2))-VALUE(MID(TEXT(L212,"00000000"),5,2))))))</f>
        <v/>
      </c>
      <c r="AD212" s="20">
        <f>IF(OR(L212="",NOT(ISNUMBER(L212))),0,IF(VALUE(F212)&lt;VALUE(LEFT(TEXT(L212,"00000000"),6)),1,0))</f>
        <v/>
      </c>
      <c r="AE212" s="20">
        <f>IF(OR(M212="",NOT(ISNUMBER(M212))),0,IF(VALUE(F212)&lt;VALUE(LEFT(TEXT(M212,"00000000"),6)),1,0))</f>
        <v/>
      </c>
      <c r="AF212" s="20">
        <f>IF(AND(AD212=0,AE212=0),1,0)</f>
        <v/>
      </c>
      <c r="AG212" s="20">
        <f>IF(ISNUMBER(X212),X212,IFERROR(VALUE(LEFT(TEXT(J212,"00000000"),4)),""))</f>
        <v/>
      </c>
      <c r="AH212" s="20">
        <f>IFERROR(XLOOKUP(AG212,Vintage_Rates!$A$2:$A$1000,Vintage_Rates!$B$2:$B$1000,""),"")</f>
        <v/>
      </c>
      <c r="AI212" s="20">
        <f>IF(ISNUMBER(Y212),Y212,IFERROR((G212-AH212)*100,""))</f>
        <v/>
      </c>
      <c r="AJ212" s="20">
        <f>IF(ISNUMBER(V212),V212,IFERROR(XLOOKUP(VALUE(F212),PLC_Rates!$A$2:$A$1000,PLC_Rates!$B$2:$B$1000,""),""))</f>
        <v/>
      </c>
      <c r="AK212" s="20">
        <f>IF(ISNUMBER(Z212),Z212,IF(AE212=0,0,MAX(0,MIN(10,((VALUE(LEFT(TEXT(M212,"00000000"),4))-VALUE(LEFT(F212,4)))*12+(VALUE(MID(TEXT(M212,"00000000"),5,2))-VALUE(MID(F212,5,2))))/12))))</f>
        <v/>
      </c>
      <c r="AL212" s="20">
        <f>IFERROR(G212*100-AJ212,"")</f>
        <v/>
      </c>
      <c r="AM212" s="20">
        <f>IFERROR(G212*100-(AJ212+(1+AK212)*12.5),"")</f>
        <v/>
      </c>
      <c r="AN212" s="21">
        <f>IFERROR(MIN(H212/1000000,100),"")</f>
        <v/>
      </c>
      <c r="AO212" s="20">
        <f>IFERROR(INDEX(FHA_Lookup!$B$2:$B$11,MATCH(TRUE,ISNUMBER(SEARCH(FHA_Lookup!$A$2:$A$11,UPPER(SUBSTITUTE(O212," ","")))),0)),"OTHER")</f>
        <v/>
      </c>
      <c r="AP212" s="20">
        <f>IFERROR(INDEX(FHA_Lookup!$C$2:$C$11,MATCH(TRUE,ISNUMBER(SEARCH(FHA_Lookup!$A$2:$A$11,UPPER(SUBSTITUTE(O212," ","")))),0)),"OTHER")</f>
        <v/>
      </c>
      <c r="AQ212" s="20">
        <f>IF(AP212="NC",1,0)</f>
        <v/>
      </c>
      <c r="AR212" s="20">
        <f>IF(UPPER(TRIM(P212))="AFF",1,0)</f>
        <v/>
      </c>
      <c r="AS212" s="20">
        <f>IF(UPPER(TRIM(P212))="BAF",1,0)</f>
        <v/>
      </c>
      <c r="AT212" s="20">
        <f>IF(UPPER(TRIM(P212))="MKT",1,0)</f>
        <v/>
      </c>
      <c r="AU212" s="20">
        <f>IF(AO212="221d4",1,0)</f>
        <v/>
      </c>
      <c r="AV212" s="20">
        <f>IF(AO212="223a7",1,0)</f>
        <v/>
      </c>
      <c r="AW212" s="20">
        <f>IF(AO212="232",1,0)</f>
        <v/>
      </c>
      <c r="AX212" s="20">
        <f>IF(AO212="538",1,0)</f>
        <v/>
      </c>
      <c r="AY212" s="20">
        <f>IF(AO212="241",1,0)</f>
        <v/>
      </c>
      <c r="AZ212" s="20">
        <f>IF(AO212="220",1,0)</f>
        <v/>
      </c>
      <c r="BA212" s="20">
        <f>IF(AO212="OTHER",1,0)</f>
        <v/>
      </c>
      <c r="BB212" s="20">
        <f>IF(UPPER(TRIM(C212))="LM",1,0)</f>
        <v/>
      </c>
      <c r="BC212" s="20">
        <f>IF(UPPER(TRIM(C212))="PN",1,0)</f>
        <v/>
      </c>
      <c r="BD212" s="20">
        <f>IF(UPPER(TRIM(C212))="LS",1,0)</f>
        <v/>
      </c>
      <c r="BE212" s="20">
        <f>IF(UPPER(TRIM(C212))="RX",1,0)</f>
        <v/>
      </c>
      <c r="BF212" s="22">
        <f>IFERROR((Parameters!$C$6*AM212+Parameters!$C$7*MAX(AM212-(-150),0)+Parameters!$C$8*MAX(AM212-(-50),0)+Parameters!$C$9*MAX(AM212-(0),0)+Parameters!$C$10*MAX(AM212-(50),0)+Parameters!$C$11*MAX(AM212-(100),0)+Parameters!$C$12*MAX(AM212-(150),0)+Parameters!$C$13*MAX(AM212-(250),0)),0)</f>
        <v/>
      </c>
      <c r="BG212" s="22">
        <f>IFERROR((Parameters!$C$14*AA212+Parameters!$C$15*MAX(AA212-(12),0)+Parameters!$C$16*MAX(AA212-(36),0)+Parameters!$C$17*MAX(AA212-(60),0)+Parameters!$C$18*MAX(AA212-(84),0)+Parameters!$C$19*MAX(AA212-(120),0)+Parameters!$C$20*MAX(AA212-(180),0)),0)</f>
        <v/>
      </c>
      <c r="BH212" s="22">
        <f>IFERROR((Parameters!$C$21*AK212+Parameters!$C$22*MAX(AK212-(0),0)+Parameters!$C$23*MAX(AK212-(2),0)+Parameters!$C$24*MAX(AK212-(5),0)+Parameters!$C$25*MAX(AK212-(8),0)),0)</f>
        <v/>
      </c>
      <c r="BI212" s="22">
        <f>IFERROR((Parameters!$C$26*AI212+Parameters!$C$27*MAX(AI212-(-100),0)+Parameters!$C$28*MAX(AI212-(-25),0)+Parameters!$C$29*MAX(AI212-(25),0)+Parameters!$C$30*MAX(AI212-(100),0)),0)</f>
        <v/>
      </c>
      <c r="BJ212" s="22">
        <f>IFERROR((Parameters!$C$31*AN212+Parameters!$C$32*MAX(AN212-(2),0)+Parameters!$C$33*MAX(AN212-(10),0)+Parameters!$C$34*MAX(AN212-(25),0)),0)</f>
        <v/>
      </c>
      <c r="BK212" s="22">
        <f>IFERROR((Parameters!$C$35*AB212+Parameters!$C$36*MAX(AB212-(12),0)+Parameters!$C$37*MAX(AB212-(24),0)+Parameters!$C$38*MAX(AB212-(60),0)),0)</f>
        <v/>
      </c>
      <c r="BL212" s="22">
        <f>IFERROR((Parameters!$C$39*AC212+Parameters!$C$40*MAX(AC212-(6),0)+Parameters!$C$41*MAX(AC212-(12),0)+Parameters!$C$42*MAX(AC212-(24),0)),0)</f>
        <v/>
      </c>
      <c r="BM212" s="22">
        <f>IFERROR(Parameters!$C$43*(MAX(AM212,0)*MIN(MAX(AK212,0),10))/100,0)</f>
        <v/>
      </c>
      <c r="BN212" s="22">
        <f>Parameters!$C$44*AE212</f>
        <v/>
      </c>
      <c r="BO212" s="22">
        <f>Parameters!$C$45*AU212 + Parameters!$C$46*AV212 + Parameters!$C$47*AW212 + Parameters!$C$48*AX212 + Parameters!$C$49*AY212 + Parameters!$C$50*AZ212 + Parameters!$C$51*BA212</f>
        <v/>
      </c>
      <c r="BP212" s="22">
        <f>Parameters!$C$52*AQ212</f>
        <v/>
      </c>
      <c r="BQ212" s="22">
        <f>Parameters!$C$53*AR212+Parameters!$C$54*AS212+Parameters!$C$55*AT212</f>
        <v/>
      </c>
      <c r="BR212" s="22">
        <f>Parameters!$C$56*BB212+Parameters!$C$57*BC212+Parameters!$C$58*BD212+Parameters!$C$59*BE212</f>
        <v/>
      </c>
      <c r="BS212" s="23">
        <f>Parameters!$B$2</f>
        <v/>
      </c>
      <c r="BT212" s="23">
        <f>BS212+BF212 + BG212 + BH212 + BI212 + BJ212 + BK212 + BL212 + BM212 + BN212 + BO212 + BP212 + BQ212 + BR212</f>
        <v/>
      </c>
      <c r="BU212" s="24">
        <f>IF(AD212=1,0,1/(1+EXP(-BT212))*Parameters!$B$3)</f>
        <v/>
      </c>
      <c r="BV212" s="25">
        <f>(1-(1-BU212)^12)*100</f>
        <v/>
      </c>
      <c r="BW212" s="25">
        <f>IF(AD212=1,0,(1-(1-1/(1+EXP(-Parameters!$B$2)))^12)*100)</f>
        <v/>
      </c>
      <c r="BX212" s="25">
        <f>IF(AD212=1,0,BV212-(1-(1-(1/(1+EXP(-(BT212-BF212)))*Parameters!$B$3))^12)*100)</f>
        <v/>
      </c>
      <c r="BY212" s="25">
        <f>IF(AD212=1,0,BV212-(1-(1-(1/(1+EXP(-(BT212-BG212)))*Parameters!$B$3))^12)*100)</f>
        <v/>
      </c>
      <c r="BZ212" s="25">
        <f>IF(AD212=1,0,BV212-(1-(1-(1/(1+EXP(-(BT212-BH212)))*Parameters!$B$3))^12)*100)</f>
        <v/>
      </c>
      <c r="CA212" s="25">
        <f>IF(AD212=1,0,BV212-(1-(1-(1/(1+EXP(-(BT212-BI212)))*Parameters!$B$3))^12)*100)</f>
        <v/>
      </c>
      <c r="CB212" s="25">
        <f>IF(AD212=1,0,BV212-(1-(1-(1/(1+EXP(-(BT212-BJ212)))*Parameters!$B$3))^12)*100)</f>
        <v/>
      </c>
      <c r="CC212" s="25">
        <f>IF(AD212=1,0,BV212-(1-(1-(1/(1+EXP(-(BT212-BK212)))*Parameters!$B$3))^12)*100)</f>
        <v/>
      </c>
      <c r="CD212" s="25">
        <f>IF(AD212=1,0,BV212-(1-(1-(1/(1+EXP(-(BT212-BL212)))*Parameters!$B$3))^12)*100)</f>
        <v/>
      </c>
      <c r="CE212" s="25">
        <f>IF(AD212=1,0,BV212-(1-(1-(1/(1+EXP(-(BT212-BM212)))*Parameters!$B$3))^12)*100)</f>
        <v/>
      </c>
      <c r="CF212" s="25">
        <f>IF(AD212=1,0,BV212-(1-(1-(1/(1+EXP(-(BT212-BN212)))*Parameters!$B$3))^12)*100)</f>
        <v/>
      </c>
      <c r="CG212" s="25">
        <f>IF(AD212=1,0,BV212-(1-(1-(1/(1+EXP(-(BT212-BO212)))*Parameters!$B$3))^12)*100)</f>
        <v/>
      </c>
      <c r="CH212" s="25">
        <f>IF(AD212=1,0,BV212-(1-(1-(1/(1+EXP(-(BT212-BP212)))*Parameters!$B$3))^12)*100)</f>
        <v/>
      </c>
      <c r="CI212" s="25">
        <f>IF(AD212=1,0,BV212-(1-(1-(1/(1+EXP(-(BT212-BQ212)))*Parameters!$B$3))^12)*100)</f>
        <v/>
      </c>
      <c r="CJ212" s="25">
        <f>IF(AD212=1,0,BV212-(1-(1-(1/(1+EXP(-(BT212-BR212)))*Parameters!$B$3))^12)*100)</f>
        <v/>
      </c>
    </row>
    <row r="213">
      <c r="A213" s="17" t="inlineStr">
        <is>
          <t>GNR_DIVERSE</t>
        </is>
      </c>
      <c r="B213" s="17" t="inlineStr">
        <is>
          <t>3617YAAX6</t>
        </is>
      </c>
      <c r="C213" s="17" t="inlineStr">
        <is>
          <t>PN</t>
        </is>
      </c>
      <c r="D213" s="17" t="inlineStr">
        <is>
          <t>LUMENT REAL ESTATE CAPITAL,LLC</t>
        </is>
      </c>
      <c r="E213" s="17" t="inlineStr">
        <is>
          <t>3617YAAX6_000000004822050</t>
        </is>
      </c>
      <c r="F213" s="17" t="n">
        <v>202603</v>
      </c>
      <c r="G213" s="18" t="n">
        <v>3.45</v>
      </c>
      <c r="H213" s="19" t="n">
        <v>4780528.51</v>
      </c>
      <c r="I213" s="17" t="n">
        <v>420</v>
      </c>
      <c r="J213" s="17" t="n">
        <v>20220501</v>
      </c>
      <c r="K213" s="17" t="n">
        <v>20570601</v>
      </c>
      <c r="L213" s="17" t="n"/>
      <c r="M213" s="17" t="n">
        <v>20320701</v>
      </c>
      <c r="N213" s="17" t="n">
        <v>10</v>
      </c>
      <c r="O213" s="17" t="inlineStr">
        <is>
          <t>232/223(F)</t>
        </is>
      </c>
      <c r="P213" s="17" t="inlineStr">
        <is>
          <t>MKT</t>
        </is>
      </c>
      <c r="Q213" s="17" t="n"/>
      <c r="R213" s="17" t="n"/>
      <c r="S213" s="17" t="n"/>
      <c r="T213" s="17" t="inlineStr">
        <is>
          <t>MI</t>
        </is>
      </c>
      <c r="U213" s="17" t="n">
        <v>27</v>
      </c>
      <c r="V213" s="17" t="n">
        <v>490.5</v>
      </c>
      <c r="W213" s="17" t="n">
        <v>46</v>
      </c>
      <c r="X213" s="17" t="n">
        <v>2022</v>
      </c>
      <c r="Y213" s="17" t="n">
        <v>-30</v>
      </c>
      <c r="Z213" s="17" t="n">
        <v>7</v>
      </c>
      <c r="AA213" s="20">
        <f>IF(ISNUMBER(W213),W213,IFERROR(MAX(0,(VALUE(LEFT(F213,4))-VALUE(LEFT(TEXT(J213,"00000000"),4)))*12+(VALUE(MID(F213,5,2))-VALUE(MID(TEXT(J213,"00000000"),5,2)))),""))</f>
        <v/>
      </c>
      <c r="AB213" s="20">
        <f>IFERROR((VALUE(LEFT(TEXT(K213,"00000000"),4))-VALUE(LEFT(F213,4)))*12+(VALUE(MID(TEXT(K213,"00000000"),5,2))-VALUE(MID(F213,5,2))),"")</f>
        <v/>
      </c>
      <c r="AC213" s="20">
        <f>IF(OR(L213="",NOT(ISNUMBER(L213))),0,MAX(0,MIN(60,(VALUE(LEFT(F213,4))-VALUE(LEFT(TEXT(L213,"00000000"),4)))*12+(VALUE(MID(F213,5,2))-VALUE(MID(TEXT(L213,"00000000"),5,2))))))</f>
        <v/>
      </c>
      <c r="AD213" s="20">
        <f>IF(OR(L213="",NOT(ISNUMBER(L213))),0,IF(VALUE(F213)&lt;VALUE(LEFT(TEXT(L213,"00000000"),6)),1,0))</f>
        <v/>
      </c>
      <c r="AE213" s="20">
        <f>IF(OR(M213="",NOT(ISNUMBER(M213))),0,IF(VALUE(F213)&lt;VALUE(LEFT(TEXT(M213,"00000000"),6)),1,0))</f>
        <v/>
      </c>
      <c r="AF213" s="20">
        <f>IF(AND(AD213=0,AE213=0),1,0)</f>
        <v/>
      </c>
      <c r="AG213" s="20">
        <f>IF(ISNUMBER(X213),X213,IFERROR(VALUE(LEFT(TEXT(J213,"00000000"),4)),""))</f>
        <v/>
      </c>
      <c r="AH213" s="20">
        <f>IFERROR(XLOOKUP(AG213,Vintage_Rates!$A$2:$A$1000,Vintage_Rates!$B$2:$B$1000,""),"")</f>
        <v/>
      </c>
      <c r="AI213" s="20">
        <f>IF(ISNUMBER(Y213),Y213,IFERROR((G213-AH213)*100,""))</f>
        <v/>
      </c>
      <c r="AJ213" s="20">
        <f>IF(ISNUMBER(V213),V213,IFERROR(XLOOKUP(VALUE(F213),PLC_Rates!$A$2:$A$1000,PLC_Rates!$B$2:$B$1000,""),""))</f>
        <v/>
      </c>
      <c r="AK213" s="20">
        <f>IF(ISNUMBER(Z213),Z213,IF(AE213=0,0,MAX(0,MIN(10,((VALUE(LEFT(TEXT(M213,"00000000"),4))-VALUE(LEFT(F213,4)))*12+(VALUE(MID(TEXT(M213,"00000000"),5,2))-VALUE(MID(F213,5,2))))/12))))</f>
        <v/>
      </c>
      <c r="AL213" s="20">
        <f>IFERROR(G213*100-AJ213,"")</f>
        <v/>
      </c>
      <c r="AM213" s="20">
        <f>IFERROR(G213*100-(AJ213+(1+AK213)*12.5),"")</f>
        <v/>
      </c>
      <c r="AN213" s="21">
        <f>IFERROR(MIN(H213/1000000,100),"")</f>
        <v/>
      </c>
      <c r="AO213" s="20">
        <f>IFERROR(INDEX(FHA_Lookup!$B$2:$B$11,MATCH(TRUE,ISNUMBER(SEARCH(FHA_Lookup!$A$2:$A$11,UPPER(SUBSTITUTE(O213," ","")))),0)),"OTHER")</f>
        <v/>
      </c>
      <c r="AP213" s="20">
        <f>IFERROR(INDEX(FHA_Lookup!$C$2:$C$11,MATCH(TRUE,ISNUMBER(SEARCH(FHA_Lookup!$A$2:$A$11,UPPER(SUBSTITUTE(O213," ","")))),0)),"OTHER")</f>
        <v/>
      </c>
      <c r="AQ213" s="20">
        <f>IF(AP213="NC",1,0)</f>
        <v/>
      </c>
      <c r="AR213" s="20">
        <f>IF(UPPER(TRIM(P213))="AFF",1,0)</f>
        <v/>
      </c>
      <c r="AS213" s="20">
        <f>IF(UPPER(TRIM(P213))="BAF",1,0)</f>
        <v/>
      </c>
      <c r="AT213" s="20">
        <f>IF(UPPER(TRIM(P213))="MKT",1,0)</f>
        <v/>
      </c>
      <c r="AU213" s="20">
        <f>IF(AO213="221d4",1,0)</f>
        <v/>
      </c>
      <c r="AV213" s="20">
        <f>IF(AO213="223a7",1,0)</f>
        <v/>
      </c>
      <c r="AW213" s="20">
        <f>IF(AO213="232",1,0)</f>
        <v/>
      </c>
      <c r="AX213" s="20">
        <f>IF(AO213="538",1,0)</f>
        <v/>
      </c>
      <c r="AY213" s="20">
        <f>IF(AO213="241",1,0)</f>
        <v/>
      </c>
      <c r="AZ213" s="20">
        <f>IF(AO213="220",1,0)</f>
        <v/>
      </c>
      <c r="BA213" s="20">
        <f>IF(AO213="OTHER",1,0)</f>
        <v/>
      </c>
      <c r="BB213" s="20">
        <f>IF(UPPER(TRIM(C213))="LM",1,0)</f>
        <v/>
      </c>
      <c r="BC213" s="20">
        <f>IF(UPPER(TRIM(C213))="PN",1,0)</f>
        <v/>
      </c>
      <c r="BD213" s="20">
        <f>IF(UPPER(TRIM(C213))="LS",1,0)</f>
        <v/>
      </c>
      <c r="BE213" s="20">
        <f>IF(UPPER(TRIM(C213))="RX",1,0)</f>
        <v/>
      </c>
      <c r="BF213" s="22">
        <f>IFERROR((Parameters!$C$6*AM213+Parameters!$C$7*MAX(AM213-(-150),0)+Parameters!$C$8*MAX(AM213-(-50),0)+Parameters!$C$9*MAX(AM213-(0),0)+Parameters!$C$10*MAX(AM213-(50),0)+Parameters!$C$11*MAX(AM213-(100),0)+Parameters!$C$12*MAX(AM213-(150),0)+Parameters!$C$13*MAX(AM213-(250),0)),0)</f>
        <v/>
      </c>
      <c r="BG213" s="22">
        <f>IFERROR((Parameters!$C$14*AA213+Parameters!$C$15*MAX(AA213-(12),0)+Parameters!$C$16*MAX(AA213-(36),0)+Parameters!$C$17*MAX(AA213-(60),0)+Parameters!$C$18*MAX(AA213-(84),0)+Parameters!$C$19*MAX(AA213-(120),0)+Parameters!$C$20*MAX(AA213-(180),0)),0)</f>
        <v/>
      </c>
      <c r="BH213" s="22">
        <f>IFERROR((Parameters!$C$21*AK213+Parameters!$C$22*MAX(AK213-(0),0)+Parameters!$C$23*MAX(AK213-(2),0)+Parameters!$C$24*MAX(AK213-(5),0)+Parameters!$C$25*MAX(AK213-(8),0)),0)</f>
        <v/>
      </c>
      <c r="BI213" s="22">
        <f>IFERROR((Parameters!$C$26*AI213+Parameters!$C$27*MAX(AI213-(-100),0)+Parameters!$C$28*MAX(AI213-(-25),0)+Parameters!$C$29*MAX(AI213-(25),0)+Parameters!$C$30*MAX(AI213-(100),0)),0)</f>
        <v/>
      </c>
      <c r="BJ213" s="22">
        <f>IFERROR((Parameters!$C$31*AN213+Parameters!$C$32*MAX(AN213-(2),0)+Parameters!$C$33*MAX(AN213-(10),0)+Parameters!$C$34*MAX(AN213-(25),0)),0)</f>
        <v/>
      </c>
      <c r="BK213" s="22">
        <f>IFERROR((Parameters!$C$35*AB213+Parameters!$C$36*MAX(AB213-(12),0)+Parameters!$C$37*MAX(AB213-(24),0)+Parameters!$C$38*MAX(AB213-(60),0)),0)</f>
        <v/>
      </c>
      <c r="BL213" s="22">
        <f>IFERROR((Parameters!$C$39*AC213+Parameters!$C$40*MAX(AC213-(6),0)+Parameters!$C$41*MAX(AC213-(12),0)+Parameters!$C$42*MAX(AC213-(24),0)),0)</f>
        <v/>
      </c>
      <c r="BM213" s="22">
        <f>IFERROR(Parameters!$C$43*(MAX(AM213,0)*MIN(MAX(AK213,0),10))/100,0)</f>
        <v/>
      </c>
      <c r="BN213" s="22">
        <f>Parameters!$C$44*AE213</f>
        <v/>
      </c>
      <c r="BO213" s="22">
        <f>Parameters!$C$45*AU213 + Parameters!$C$46*AV213 + Parameters!$C$47*AW213 + Parameters!$C$48*AX213 + Parameters!$C$49*AY213 + Parameters!$C$50*AZ213 + Parameters!$C$51*BA213</f>
        <v/>
      </c>
      <c r="BP213" s="22">
        <f>Parameters!$C$52*AQ213</f>
        <v/>
      </c>
      <c r="BQ213" s="22">
        <f>Parameters!$C$53*AR213+Parameters!$C$54*AS213+Parameters!$C$55*AT213</f>
        <v/>
      </c>
      <c r="BR213" s="22">
        <f>Parameters!$C$56*BB213+Parameters!$C$57*BC213+Parameters!$C$58*BD213+Parameters!$C$59*BE213</f>
        <v/>
      </c>
      <c r="BS213" s="23">
        <f>Parameters!$B$2</f>
        <v/>
      </c>
      <c r="BT213" s="23">
        <f>BS213+BF213 + BG213 + BH213 + BI213 + BJ213 + BK213 + BL213 + BM213 + BN213 + BO213 + BP213 + BQ213 + BR213</f>
        <v/>
      </c>
      <c r="BU213" s="24">
        <f>IF(AD213=1,0,1/(1+EXP(-BT213))*Parameters!$B$3)</f>
        <v/>
      </c>
      <c r="BV213" s="25">
        <f>(1-(1-BU213)^12)*100</f>
        <v/>
      </c>
      <c r="BW213" s="25">
        <f>IF(AD213=1,0,(1-(1-1/(1+EXP(-Parameters!$B$2)))^12)*100)</f>
        <v/>
      </c>
      <c r="BX213" s="25">
        <f>IF(AD213=1,0,BV213-(1-(1-(1/(1+EXP(-(BT213-BF213)))*Parameters!$B$3))^12)*100)</f>
        <v/>
      </c>
      <c r="BY213" s="25">
        <f>IF(AD213=1,0,BV213-(1-(1-(1/(1+EXP(-(BT213-BG213)))*Parameters!$B$3))^12)*100)</f>
        <v/>
      </c>
      <c r="BZ213" s="25">
        <f>IF(AD213=1,0,BV213-(1-(1-(1/(1+EXP(-(BT213-BH213)))*Parameters!$B$3))^12)*100)</f>
        <v/>
      </c>
      <c r="CA213" s="25">
        <f>IF(AD213=1,0,BV213-(1-(1-(1/(1+EXP(-(BT213-BI213)))*Parameters!$B$3))^12)*100)</f>
        <v/>
      </c>
      <c r="CB213" s="25">
        <f>IF(AD213=1,0,BV213-(1-(1-(1/(1+EXP(-(BT213-BJ213)))*Parameters!$B$3))^12)*100)</f>
        <v/>
      </c>
      <c r="CC213" s="25">
        <f>IF(AD213=1,0,BV213-(1-(1-(1/(1+EXP(-(BT213-BK213)))*Parameters!$B$3))^12)*100)</f>
        <v/>
      </c>
      <c r="CD213" s="25">
        <f>IF(AD213=1,0,BV213-(1-(1-(1/(1+EXP(-(BT213-BL213)))*Parameters!$B$3))^12)*100)</f>
        <v/>
      </c>
      <c r="CE213" s="25">
        <f>IF(AD213=1,0,BV213-(1-(1-(1/(1+EXP(-(BT213-BM213)))*Parameters!$B$3))^12)*100)</f>
        <v/>
      </c>
      <c r="CF213" s="25">
        <f>IF(AD213=1,0,BV213-(1-(1-(1/(1+EXP(-(BT213-BN213)))*Parameters!$B$3))^12)*100)</f>
        <v/>
      </c>
      <c r="CG213" s="25">
        <f>IF(AD213=1,0,BV213-(1-(1-(1/(1+EXP(-(BT213-BO213)))*Parameters!$B$3))^12)*100)</f>
        <v/>
      </c>
      <c r="CH213" s="25">
        <f>IF(AD213=1,0,BV213-(1-(1-(1/(1+EXP(-(BT213-BP213)))*Parameters!$B$3))^12)*100)</f>
        <v/>
      </c>
      <c r="CI213" s="25">
        <f>IF(AD213=1,0,BV213-(1-(1-(1/(1+EXP(-(BT213-BQ213)))*Parameters!$B$3))^12)*100)</f>
        <v/>
      </c>
      <c r="CJ213" s="25">
        <f>IF(AD213=1,0,BV213-(1-(1-(1/(1+EXP(-(BT213-BR213)))*Parameters!$B$3))^12)*100)</f>
        <v/>
      </c>
    </row>
    <row r="214">
      <c r="A214" s="17" t="inlineStr">
        <is>
          <t>GNR_DIVERSE</t>
        </is>
      </c>
      <c r="B214" s="17" t="inlineStr">
        <is>
          <t>3617UAXH0</t>
        </is>
      </c>
      <c r="C214" s="17" t="inlineStr">
        <is>
          <t>PN</t>
        </is>
      </c>
      <c r="D214" s="17" t="inlineStr">
        <is>
          <t>LUMENT REAL ESTATE CAPITAL,LLC</t>
        </is>
      </c>
      <c r="E214" s="17" t="inlineStr">
        <is>
          <t>3617UAXH0_000000004422112</t>
        </is>
      </c>
      <c r="F214" s="17" t="n">
        <v>202603</v>
      </c>
      <c r="G214" s="18" t="n">
        <v>2.45</v>
      </c>
      <c r="H214" s="19" t="n">
        <v>3460794.3</v>
      </c>
      <c r="I214" s="17" t="n">
        <v>240</v>
      </c>
      <c r="J214" s="17" t="n">
        <v>20201229</v>
      </c>
      <c r="K214" s="17" t="n">
        <v>20410101</v>
      </c>
      <c r="L214" s="17" t="n"/>
      <c r="M214" s="17" t="n">
        <v>20310201</v>
      </c>
      <c r="N214" s="17" t="n">
        <v>10</v>
      </c>
      <c r="O214" s="17" t="inlineStr">
        <is>
          <t>232/223(F)</t>
        </is>
      </c>
      <c r="P214" s="17" t="inlineStr">
        <is>
          <t>MKT</t>
        </is>
      </c>
      <c r="Q214" s="17" t="n"/>
      <c r="R214" s="17" t="n"/>
      <c r="S214" s="17" t="n"/>
      <c r="T214" s="17" t="inlineStr">
        <is>
          <t>MI</t>
        </is>
      </c>
      <c r="U214" s="17" t="n">
        <v>92</v>
      </c>
      <c r="V214" s="17" t="n">
        <v>490.5</v>
      </c>
      <c r="W214" s="17" t="n">
        <v>63</v>
      </c>
      <c r="X214" s="17" t="n">
        <v>2020</v>
      </c>
      <c r="Y214" s="17" t="n">
        <v>-40</v>
      </c>
      <c r="Z214" s="17" t="n">
        <v>5</v>
      </c>
      <c r="AA214" s="20">
        <f>IF(ISNUMBER(W214),W214,IFERROR(MAX(0,(VALUE(LEFT(F214,4))-VALUE(LEFT(TEXT(J214,"00000000"),4)))*12+(VALUE(MID(F214,5,2))-VALUE(MID(TEXT(J214,"00000000"),5,2)))),""))</f>
        <v/>
      </c>
      <c r="AB214" s="20">
        <f>IFERROR((VALUE(LEFT(TEXT(K214,"00000000"),4))-VALUE(LEFT(F214,4)))*12+(VALUE(MID(TEXT(K214,"00000000"),5,2))-VALUE(MID(F214,5,2))),"")</f>
        <v/>
      </c>
      <c r="AC214" s="20">
        <f>IF(OR(L214="",NOT(ISNUMBER(L214))),0,MAX(0,MIN(60,(VALUE(LEFT(F214,4))-VALUE(LEFT(TEXT(L214,"00000000"),4)))*12+(VALUE(MID(F214,5,2))-VALUE(MID(TEXT(L214,"00000000"),5,2))))))</f>
        <v/>
      </c>
      <c r="AD214" s="20">
        <f>IF(OR(L214="",NOT(ISNUMBER(L214))),0,IF(VALUE(F214)&lt;VALUE(LEFT(TEXT(L214,"00000000"),6)),1,0))</f>
        <v/>
      </c>
      <c r="AE214" s="20">
        <f>IF(OR(M214="",NOT(ISNUMBER(M214))),0,IF(VALUE(F214)&lt;VALUE(LEFT(TEXT(M214,"00000000"),6)),1,0))</f>
        <v/>
      </c>
      <c r="AF214" s="20">
        <f>IF(AND(AD214=0,AE214=0),1,0)</f>
        <v/>
      </c>
      <c r="AG214" s="20">
        <f>IF(ISNUMBER(X214),X214,IFERROR(VALUE(LEFT(TEXT(J214,"00000000"),4)),""))</f>
        <v/>
      </c>
      <c r="AH214" s="20">
        <f>IFERROR(XLOOKUP(AG214,Vintage_Rates!$A$2:$A$1000,Vintage_Rates!$B$2:$B$1000,""),"")</f>
        <v/>
      </c>
      <c r="AI214" s="20">
        <f>IF(ISNUMBER(Y214),Y214,IFERROR((G214-AH214)*100,""))</f>
        <v/>
      </c>
      <c r="AJ214" s="20">
        <f>IF(ISNUMBER(V214),V214,IFERROR(XLOOKUP(VALUE(F214),PLC_Rates!$A$2:$A$1000,PLC_Rates!$B$2:$B$1000,""),""))</f>
        <v/>
      </c>
      <c r="AK214" s="20">
        <f>IF(ISNUMBER(Z214),Z214,IF(AE214=0,0,MAX(0,MIN(10,((VALUE(LEFT(TEXT(M214,"00000000"),4))-VALUE(LEFT(F214,4)))*12+(VALUE(MID(TEXT(M214,"00000000"),5,2))-VALUE(MID(F214,5,2))))/12))))</f>
        <v/>
      </c>
      <c r="AL214" s="20">
        <f>IFERROR(G214*100-AJ214,"")</f>
        <v/>
      </c>
      <c r="AM214" s="20">
        <f>IFERROR(G214*100-(AJ214+(1+AK214)*12.5),"")</f>
        <v/>
      </c>
      <c r="AN214" s="21">
        <f>IFERROR(MIN(H214/1000000,100),"")</f>
        <v/>
      </c>
      <c r="AO214" s="20">
        <f>IFERROR(INDEX(FHA_Lookup!$B$2:$B$11,MATCH(TRUE,ISNUMBER(SEARCH(FHA_Lookup!$A$2:$A$11,UPPER(SUBSTITUTE(O214," ","")))),0)),"OTHER")</f>
        <v/>
      </c>
      <c r="AP214" s="20">
        <f>IFERROR(INDEX(FHA_Lookup!$C$2:$C$11,MATCH(TRUE,ISNUMBER(SEARCH(FHA_Lookup!$A$2:$A$11,UPPER(SUBSTITUTE(O214," ","")))),0)),"OTHER")</f>
        <v/>
      </c>
      <c r="AQ214" s="20">
        <f>IF(AP214="NC",1,0)</f>
        <v/>
      </c>
      <c r="AR214" s="20">
        <f>IF(UPPER(TRIM(P214))="AFF",1,0)</f>
        <v/>
      </c>
      <c r="AS214" s="20">
        <f>IF(UPPER(TRIM(P214))="BAF",1,0)</f>
        <v/>
      </c>
      <c r="AT214" s="20">
        <f>IF(UPPER(TRIM(P214))="MKT",1,0)</f>
        <v/>
      </c>
      <c r="AU214" s="20">
        <f>IF(AO214="221d4",1,0)</f>
        <v/>
      </c>
      <c r="AV214" s="20">
        <f>IF(AO214="223a7",1,0)</f>
        <v/>
      </c>
      <c r="AW214" s="20">
        <f>IF(AO214="232",1,0)</f>
        <v/>
      </c>
      <c r="AX214" s="20">
        <f>IF(AO214="538",1,0)</f>
        <v/>
      </c>
      <c r="AY214" s="20">
        <f>IF(AO214="241",1,0)</f>
        <v/>
      </c>
      <c r="AZ214" s="20">
        <f>IF(AO214="220",1,0)</f>
        <v/>
      </c>
      <c r="BA214" s="20">
        <f>IF(AO214="OTHER",1,0)</f>
        <v/>
      </c>
      <c r="BB214" s="20">
        <f>IF(UPPER(TRIM(C214))="LM",1,0)</f>
        <v/>
      </c>
      <c r="BC214" s="20">
        <f>IF(UPPER(TRIM(C214))="PN",1,0)</f>
        <v/>
      </c>
      <c r="BD214" s="20">
        <f>IF(UPPER(TRIM(C214))="LS",1,0)</f>
        <v/>
      </c>
      <c r="BE214" s="20">
        <f>IF(UPPER(TRIM(C214))="RX",1,0)</f>
        <v/>
      </c>
      <c r="BF214" s="22">
        <f>IFERROR((Parameters!$C$6*AM214+Parameters!$C$7*MAX(AM214-(-150),0)+Parameters!$C$8*MAX(AM214-(-50),0)+Parameters!$C$9*MAX(AM214-(0),0)+Parameters!$C$10*MAX(AM214-(50),0)+Parameters!$C$11*MAX(AM214-(100),0)+Parameters!$C$12*MAX(AM214-(150),0)+Parameters!$C$13*MAX(AM214-(250),0)),0)</f>
        <v/>
      </c>
      <c r="BG214" s="22">
        <f>IFERROR((Parameters!$C$14*AA214+Parameters!$C$15*MAX(AA214-(12),0)+Parameters!$C$16*MAX(AA214-(36),0)+Parameters!$C$17*MAX(AA214-(60),0)+Parameters!$C$18*MAX(AA214-(84),0)+Parameters!$C$19*MAX(AA214-(120),0)+Parameters!$C$20*MAX(AA214-(180),0)),0)</f>
        <v/>
      </c>
      <c r="BH214" s="22">
        <f>IFERROR((Parameters!$C$21*AK214+Parameters!$C$22*MAX(AK214-(0),0)+Parameters!$C$23*MAX(AK214-(2),0)+Parameters!$C$24*MAX(AK214-(5),0)+Parameters!$C$25*MAX(AK214-(8),0)),0)</f>
        <v/>
      </c>
      <c r="BI214" s="22">
        <f>IFERROR((Parameters!$C$26*AI214+Parameters!$C$27*MAX(AI214-(-100),0)+Parameters!$C$28*MAX(AI214-(-25),0)+Parameters!$C$29*MAX(AI214-(25),0)+Parameters!$C$30*MAX(AI214-(100),0)),0)</f>
        <v/>
      </c>
      <c r="BJ214" s="22">
        <f>IFERROR((Parameters!$C$31*AN214+Parameters!$C$32*MAX(AN214-(2),0)+Parameters!$C$33*MAX(AN214-(10),0)+Parameters!$C$34*MAX(AN214-(25),0)),0)</f>
        <v/>
      </c>
      <c r="BK214" s="22">
        <f>IFERROR((Parameters!$C$35*AB214+Parameters!$C$36*MAX(AB214-(12),0)+Parameters!$C$37*MAX(AB214-(24),0)+Parameters!$C$38*MAX(AB214-(60),0)),0)</f>
        <v/>
      </c>
      <c r="BL214" s="22">
        <f>IFERROR((Parameters!$C$39*AC214+Parameters!$C$40*MAX(AC214-(6),0)+Parameters!$C$41*MAX(AC214-(12),0)+Parameters!$C$42*MAX(AC214-(24),0)),0)</f>
        <v/>
      </c>
      <c r="BM214" s="22">
        <f>IFERROR(Parameters!$C$43*(MAX(AM214,0)*MIN(MAX(AK214,0),10))/100,0)</f>
        <v/>
      </c>
      <c r="BN214" s="22">
        <f>Parameters!$C$44*AE214</f>
        <v/>
      </c>
      <c r="BO214" s="22">
        <f>Parameters!$C$45*AU214 + Parameters!$C$46*AV214 + Parameters!$C$47*AW214 + Parameters!$C$48*AX214 + Parameters!$C$49*AY214 + Parameters!$C$50*AZ214 + Parameters!$C$51*BA214</f>
        <v/>
      </c>
      <c r="BP214" s="22">
        <f>Parameters!$C$52*AQ214</f>
        <v/>
      </c>
      <c r="BQ214" s="22">
        <f>Parameters!$C$53*AR214+Parameters!$C$54*AS214+Parameters!$C$55*AT214</f>
        <v/>
      </c>
      <c r="BR214" s="22">
        <f>Parameters!$C$56*BB214+Parameters!$C$57*BC214+Parameters!$C$58*BD214+Parameters!$C$59*BE214</f>
        <v/>
      </c>
      <c r="BS214" s="23">
        <f>Parameters!$B$2</f>
        <v/>
      </c>
      <c r="BT214" s="23">
        <f>BS214+BF214 + BG214 + BH214 + BI214 + BJ214 + BK214 + BL214 + BM214 + BN214 + BO214 + BP214 + BQ214 + BR214</f>
        <v/>
      </c>
      <c r="BU214" s="24">
        <f>IF(AD214=1,0,1/(1+EXP(-BT214))*Parameters!$B$3)</f>
        <v/>
      </c>
      <c r="BV214" s="25">
        <f>(1-(1-BU214)^12)*100</f>
        <v/>
      </c>
      <c r="BW214" s="25">
        <f>IF(AD214=1,0,(1-(1-1/(1+EXP(-Parameters!$B$2)))^12)*100)</f>
        <v/>
      </c>
      <c r="BX214" s="25">
        <f>IF(AD214=1,0,BV214-(1-(1-(1/(1+EXP(-(BT214-BF214)))*Parameters!$B$3))^12)*100)</f>
        <v/>
      </c>
      <c r="BY214" s="25">
        <f>IF(AD214=1,0,BV214-(1-(1-(1/(1+EXP(-(BT214-BG214)))*Parameters!$B$3))^12)*100)</f>
        <v/>
      </c>
      <c r="BZ214" s="25">
        <f>IF(AD214=1,0,BV214-(1-(1-(1/(1+EXP(-(BT214-BH214)))*Parameters!$B$3))^12)*100)</f>
        <v/>
      </c>
      <c r="CA214" s="25">
        <f>IF(AD214=1,0,BV214-(1-(1-(1/(1+EXP(-(BT214-BI214)))*Parameters!$B$3))^12)*100)</f>
        <v/>
      </c>
      <c r="CB214" s="25">
        <f>IF(AD214=1,0,BV214-(1-(1-(1/(1+EXP(-(BT214-BJ214)))*Parameters!$B$3))^12)*100)</f>
        <v/>
      </c>
      <c r="CC214" s="25">
        <f>IF(AD214=1,0,BV214-(1-(1-(1/(1+EXP(-(BT214-BK214)))*Parameters!$B$3))^12)*100)</f>
        <v/>
      </c>
      <c r="CD214" s="25">
        <f>IF(AD214=1,0,BV214-(1-(1-(1/(1+EXP(-(BT214-BL214)))*Parameters!$B$3))^12)*100)</f>
        <v/>
      </c>
      <c r="CE214" s="25">
        <f>IF(AD214=1,0,BV214-(1-(1-(1/(1+EXP(-(BT214-BM214)))*Parameters!$B$3))^12)*100)</f>
        <v/>
      </c>
      <c r="CF214" s="25">
        <f>IF(AD214=1,0,BV214-(1-(1-(1/(1+EXP(-(BT214-BN214)))*Parameters!$B$3))^12)*100)</f>
        <v/>
      </c>
      <c r="CG214" s="25">
        <f>IF(AD214=1,0,BV214-(1-(1-(1/(1+EXP(-(BT214-BO214)))*Parameters!$B$3))^12)*100)</f>
        <v/>
      </c>
      <c r="CH214" s="25">
        <f>IF(AD214=1,0,BV214-(1-(1-(1/(1+EXP(-(BT214-BP214)))*Parameters!$B$3))^12)*100)</f>
        <v/>
      </c>
      <c r="CI214" s="25">
        <f>IF(AD214=1,0,BV214-(1-(1-(1/(1+EXP(-(BT214-BQ214)))*Parameters!$B$3))^12)*100)</f>
        <v/>
      </c>
      <c r="CJ214" s="25">
        <f>IF(AD214=1,0,BV214-(1-(1-(1/(1+EXP(-(BT214-BR214)))*Parameters!$B$3))^12)*100)</f>
        <v/>
      </c>
    </row>
    <row r="215">
      <c r="A215" s="17" t="inlineStr">
        <is>
          <t>GNR_DIVERSE</t>
        </is>
      </c>
      <c r="B215" s="17" t="inlineStr">
        <is>
          <t>3617NEBR2</t>
        </is>
      </c>
      <c r="C215" s="17" t="inlineStr">
        <is>
          <t>PN</t>
        </is>
      </c>
      <c r="D215" s="17" t="inlineStr">
        <is>
          <t>BERKADIA COMMERCIAL MORTGAGE, LLC</t>
        </is>
      </c>
      <c r="E215" s="17" t="inlineStr">
        <is>
          <t>3617NEBR2_000000012611244</t>
        </is>
      </c>
      <c r="F215" s="17" t="n">
        <v>202603</v>
      </c>
      <c r="G215" s="18" t="n">
        <v>4.75</v>
      </c>
      <c r="H215" s="19" t="n">
        <v>9799622.99</v>
      </c>
      <c r="I215" s="17" t="n">
        <v>420</v>
      </c>
      <c r="J215" s="17" t="n">
        <v>20220519</v>
      </c>
      <c r="K215" s="17" t="n">
        <v>20571001</v>
      </c>
      <c r="L215" s="17" t="n"/>
      <c r="M215" s="17" t="n">
        <v>20321101</v>
      </c>
      <c r="N215" s="17" t="n">
        <v>10</v>
      </c>
      <c r="O215" s="17" t="inlineStr">
        <is>
          <t>207/223(F)</t>
        </is>
      </c>
      <c r="P215" s="17" t="inlineStr">
        <is>
          <t>MKT</t>
        </is>
      </c>
      <c r="Q215" s="17" t="n"/>
      <c r="R215" s="17" t="n"/>
      <c r="S215" s="17" t="n"/>
      <c r="T215" s="17" t="inlineStr">
        <is>
          <t>OR</t>
        </is>
      </c>
      <c r="U215" s="17" t="n">
        <v>44</v>
      </c>
      <c r="V215" s="17" t="n">
        <v>490.5</v>
      </c>
      <c r="W215" s="17" t="n">
        <v>46</v>
      </c>
      <c r="X215" s="17" t="n">
        <v>2022</v>
      </c>
      <c r="Y215" s="17" t="n">
        <v>100</v>
      </c>
      <c r="Z215" s="17" t="n">
        <v>8</v>
      </c>
      <c r="AA215" s="20">
        <f>IF(ISNUMBER(W215),W215,IFERROR(MAX(0,(VALUE(LEFT(F215,4))-VALUE(LEFT(TEXT(J215,"00000000"),4)))*12+(VALUE(MID(F215,5,2))-VALUE(MID(TEXT(J215,"00000000"),5,2)))),""))</f>
        <v/>
      </c>
      <c r="AB215" s="20">
        <f>IFERROR((VALUE(LEFT(TEXT(K215,"00000000"),4))-VALUE(LEFT(F215,4)))*12+(VALUE(MID(TEXT(K215,"00000000"),5,2))-VALUE(MID(F215,5,2))),"")</f>
        <v/>
      </c>
      <c r="AC215" s="20">
        <f>IF(OR(L215="",NOT(ISNUMBER(L215))),0,MAX(0,MIN(60,(VALUE(LEFT(F215,4))-VALUE(LEFT(TEXT(L215,"00000000"),4)))*12+(VALUE(MID(F215,5,2))-VALUE(MID(TEXT(L215,"00000000"),5,2))))))</f>
        <v/>
      </c>
      <c r="AD215" s="20">
        <f>IF(OR(L215="",NOT(ISNUMBER(L215))),0,IF(VALUE(F215)&lt;VALUE(LEFT(TEXT(L215,"00000000"),6)),1,0))</f>
        <v/>
      </c>
      <c r="AE215" s="20">
        <f>IF(OR(M215="",NOT(ISNUMBER(M215))),0,IF(VALUE(F215)&lt;VALUE(LEFT(TEXT(M215,"00000000"),6)),1,0))</f>
        <v/>
      </c>
      <c r="AF215" s="20">
        <f>IF(AND(AD215=0,AE215=0),1,0)</f>
        <v/>
      </c>
      <c r="AG215" s="20">
        <f>IF(ISNUMBER(X215),X215,IFERROR(VALUE(LEFT(TEXT(J215,"00000000"),4)),""))</f>
        <v/>
      </c>
      <c r="AH215" s="20">
        <f>IFERROR(XLOOKUP(AG215,Vintage_Rates!$A$2:$A$1000,Vintage_Rates!$B$2:$B$1000,""),"")</f>
        <v/>
      </c>
      <c r="AI215" s="20">
        <f>IF(ISNUMBER(Y215),Y215,IFERROR((G215-AH215)*100,""))</f>
        <v/>
      </c>
      <c r="AJ215" s="20">
        <f>IF(ISNUMBER(V215),V215,IFERROR(XLOOKUP(VALUE(F215),PLC_Rates!$A$2:$A$1000,PLC_Rates!$B$2:$B$1000,""),""))</f>
        <v/>
      </c>
      <c r="AK215" s="20">
        <f>IF(ISNUMBER(Z215),Z215,IF(AE215=0,0,MAX(0,MIN(10,((VALUE(LEFT(TEXT(M215,"00000000"),4))-VALUE(LEFT(F215,4)))*12+(VALUE(MID(TEXT(M215,"00000000"),5,2))-VALUE(MID(F215,5,2))))/12))))</f>
        <v/>
      </c>
      <c r="AL215" s="20">
        <f>IFERROR(G215*100-AJ215,"")</f>
        <v/>
      </c>
      <c r="AM215" s="20">
        <f>IFERROR(G215*100-(AJ215+(1+AK215)*12.5),"")</f>
        <v/>
      </c>
      <c r="AN215" s="21">
        <f>IFERROR(MIN(H215/1000000,100),"")</f>
        <v/>
      </c>
      <c r="AO215" s="20">
        <f>IFERROR(INDEX(FHA_Lookup!$B$2:$B$11,MATCH(TRUE,ISNUMBER(SEARCH(FHA_Lookup!$A$2:$A$11,UPPER(SUBSTITUTE(O215," ","")))),0)),"OTHER")</f>
        <v/>
      </c>
      <c r="AP215" s="20">
        <f>IFERROR(INDEX(FHA_Lookup!$C$2:$C$11,MATCH(TRUE,ISNUMBER(SEARCH(FHA_Lookup!$A$2:$A$11,UPPER(SUBSTITUTE(O215," ","")))),0)),"OTHER")</f>
        <v/>
      </c>
      <c r="AQ215" s="20">
        <f>IF(AP215="NC",1,0)</f>
        <v/>
      </c>
      <c r="AR215" s="20">
        <f>IF(UPPER(TRIM(P215))="AFF",1,0)</f>
        <v/>
      </c>
      <c r="AS215" s="20">
        <f>IF(UPPER(TRIM(P215))="BAF",1,0)</f>
        <v/>
      </c>
      <c r="AT215" s="20">
        <f>IF(UPPER(TRIM(P215))="MKT",1,0)</f>
        <v/>
      </c>
      <c r="AU215" s="20">
        <f>IF(AO215="221d4",1,0)</f>
        <v/>
      </c>
      <c r="AV215" s="20">
        <f>IF(AO215="223a7",1,0)</f>
        <v/>
      </c>
      <c r="AW215" s="20">
        <f>IF(AO215="232",1,0)</f>
        <v/>
      </c>
      <c r="AX215" s="20">
        <f>IF(AO215="538",1,0)</f>
        <v/>
      </c>
      <c r="AY215" s="20">
        <f>IF(AO215="241",1,0)</f>
        <v/>
      </c>
      <c r="AZ215" s="20">
        <f>IF(AO215="220",1,0)</f>
        <v/>
      </c>
      <c r="BA215" s="20">
        <f>IF(AO215="OTHER",1,0)</f>
        <v/>
      </c>
      <c r="BB215" s="20">
        <f>IF(UPPER(TRIM(C215))="LM",1,0)</f>
        <v/>
      </c>
      <c r="BC215" s="20">
        <f>IF(UPPER(TRIM(C215))="PN",1,0)</f>
        <v/>
      </c>
      <c r="BD215" s="20">
        <f>IF(UPPER(TRIM(C215))="LS",1,0)</f>
        <v/>
      </c>
      <c r="BE215" s="20">
        <f>IF(UPPER(TRIM(C215))="RX",1,0)</f>
        <v/>
      </c>
      <c r="BF215" s="22">
        <f>IFERROR((Parameters!$C$6*AM215+Parameters!$C$7*MAX(AM215-(-150),0)+Parameters!$C$8*MAX(AM215-(-50),0)+Parameters!$C$9*MAX(AM215-(0),0)+Parameters!$C$10*MAX(AM215-(50),0)+Parameters!$C$11*MAX(AM215-(100),0)+Parameters!$C$12*MAX(AM215-(150),0)+Parameters!$C$13*MAX(AM215-(250),0)),0)</f>
        <v/>
      </c>
      <c r="BG215" s="22">
        <f>IFERROR((Parameters!$C$14*AA215+Parameters!$C$15*MAX(AA215-(12),0)+Parameters!$C$16*MAX(AA215-(36),0)+Parameters!$C$17*MAX(AA215-(60),0)+Parameters!$C$18*MAX(AA215-(84),0)+Parameters!$C$19*MAX(AA215-(120),0)+Parameters!$C$20*MAX(AA215-(180),0)),0)</f>
        <v/>
      </c>
      <c r="BH215" s="22">
        <f>IFERROR((Parameters!$C$21*AK215+Parameters!$C$22*MAX(AK215-(0),0)+Parameters!$C$23*MAX(AK215-(2),0)+Parameters!$C$24*MAX(AK215-(5),0)+Parameters!$C$25*MAX(AK215-(8),0)),0)</f>
        <v/>
      </c>
      <c r="BI215" s="22">
        <f>IFERROR((Parameters!$C$26*AI215+Parameters!$C$27*MAX(AI215-(-100),0)+Parameters!$C$28*MAX(AI215-(-25),0)+Parameters!$C$29*MAX(AI215-(25),0)+Parameters!$C$30*MAX(AI215-(100),0)),0)</f>
        <v/>
      </c>
      <c r="BJ215" s="22">
        <f>IFERROR((Parameters!$C$31*AN215+Parameters!$C$32*MAX(AN215-(2),0)+Parameters!$C$33*MAX(AN215-(10),0)+Parameters!$C$34*MAX(AN215-(25),0)),0)</f>
        <v/>
      </c>
      <c r="BK215" s="22">
        <f>IFERROR((Parameters!$C$35*AB215+Parameters!$C$36*MAX(AB215-(12),0)+Parameters!$C$37*MAX(AB215-(24),0)+Parameters!$C$38*MAX(AB215-(60),0)),0)</f>
        <v/>
      </c>
      <c r="BL215" s="22">
        <f>IFERROR((Parameters!$C$39*AC215+Parameters!$C$40*MAX(AC215-(6),0)+Parameters!$C$41*MAX(AC215-(12),0)+Parameters!$C$42*MAX(AC215-(24),0)),0)</f>
        <v/>
      </c>
      <c r="BM215" s="22">
        <f>IFERROR(Parameters!$C$43*(MAX(AM215,0)*MIN(MAX(AK215,0),10))/100,0)</f>
        <v/>
      </c>
      <c r="BN215" s="22">
        <f>Parameters!$C$44*AE215</f>
        <v/>
      </c>
      <c r="BO215" s="22">
        <f>Parameters!$C$45*AU215 + Parameters!$C$46*AV215 + Parameters!$C$47*AW215 + Parameters!$C$48*AX215 + Parameters!$C$49*AY215 + Parameters!$C$50*AZ215 + Parameters!$C$51*BA215</f>
        <v/>
      </c>
      <c r="BP215" s="22">
        <f>Parameters!$C$52*AQ215</f>
        <v/>
      </c>
      <c r="BQ215" s="22">
        <f>Parameters!$C$53*AR215+Parameters!$C$54*AS215+Parameters!$C$55*AT215</f>
        <v/>
      </c>
      <c r="BR215" s="22">
        <f>Parameters!$C$56*BB215+Parameters!$C$57*BC215+Parameters!$C$58*BD215+Parameters!$C$59*BE215</f>
        <v/>
      </c>
      <c r="BS215" s="23">
        <f>Parameters!$B$2</f>
        <v/>
      </c>
      <c r="BT215" s="23">
        <f>BS215+BF215 + BG215 + BH215 + BI215 + BJ215 + BK215 + BL215 + BM215 + BN215 + BO215 + BP215 + BQ215 + BR215</f>
        <v/>
      </c>
      <c r="BU215" s="24">
        <f>IF(AD215=1,0,1/(1+EXP(-BT215))*Parameters!$B$3)</f>
        <v/>
      </c>
      <c r="BV215" s="25">
        <f>(1-(1-BU215)^12)*100</f>
        <v/>
      </c>
      <c r="BW215" s="25">
        <f>IF(AD215=1,0,(1-(1-1/(1+EXP(-Parameters!$B$2)))^12)*100)</f>
        <v/>
      </c>
      <c r="BX215" s="25">
        <f>IF(AD215=1,0,BV215-(1-(1-(1/(1+EXP(-(BT215-BF215)))*Parameters!$B$3))^12)*100)</f>
        <v/>
      </c>
      <c r="BY215" s="25">
        <f>IF(AD215=1,0,BV215-(1-(1-(1/(1+EXP(-(BT215-BG215)))*Parameters!$B$3))^12)*100)</f>
        <v/>
      </c>
      <c r="BZ215" s="25">
        <f>IF(AD215=1,0,BV215-(1-(1-(1/(1+EXP(-(BT215-BH215)))*Parameters!$B$3))^12)*100)</f>
        <v/>
      </c>
      <c r="CA215" s="25">
        <f>IF(AD215=1,0,BV215-(1-(1-(1/(1+EXP(-(BT215-BI215)))*Parameters!$B$3))^12)*100)</f>
        <v/>
      </c>
      <c r="CB215" s="25">
        <f>IF(AD215=1,0,BV215-(1-(1-(1/(1+EXP(-(BT215-BJ215)))*Parameters!$B$3))^12)*100)</f>
        <v/>
      </c>
      <c r="CC215" s="25">
        <f>IF(AD215=1,0,BV215-(1-(1-(1/(1+EXP(-(BT215-BK215)))*Parameters!$B$3))^12)*100)</f>
        <v/>
      </c>
      <c r="CD215" s="25">
        <f>IF(AD215=1,0,BV215-(1-(1-(1/(1+EXP(-(BT215-BL215)))*Parameters!$B$3))^12)*100)</f>
        <v/>
      </c>
      <c r="CE215" s="25">
        <f>IF(AD215=1,0,BV215-(1-(1-(1/(1+EXP(-(BT215-BM215)))*Parameters!$B$3))^12)*100)</f>
        <v/>
      </c>
      <c r="CF215" s="25">
        <f>IF(AD215=1,0,BV215-(1-(1-(1/(1+EXP(-(BT215-BN215)))*Parameters!$B$3))^12)*100)</f>
        <v/>
      </c>
      <c r="CG215" s="25">
        <f>IF(AD215=1,0,BV215-(1-(1-(1/(1+EXP(-(BT215-BO215)))*Parameters!$B$3))^12)*100)</f>
        <v/>
      </c>
      <c r="CH215" s="25">
        <f>IF(AD215=1,0,BV215-(1-(1-(1/(1+EXP(-(BT215-BP215)))*Parameters!$B$3))^12)*100)</f>
        <v/>
      </c>
      <c r="CI215" s="25">
        <f>IF(AD215=1,0,BV215-(1-(1-(1/(1+EXP(-(BT215-BQ215)))*Parameters!$B$3))^12)*100)</f>
        <v/>
      </c>
      <c r="CJ215" s="25">
        <f>IF(AD215=1,0,BV215-(1-(1-(1/(1+EXP(-(BT215-BR215)))*Parameters!$B$3))^12)*100)</f>
        <v/>
      </c>
    </row>
    <row r="216">
      <c r="A216" s="17" t="inlineStr">
        <is>
          <t>GNR_DIVERSE</t>
        </is>
      </c>
      <c r="B216" s="17" t="inlineStr">
        <is>
          <t>3617XSCC2</t>
        </is>
      </c>
      <c r="C216" s="17" t="inlineStr">
        <is>
          <t>PN</t>
        </is>
      </c>
      <c r="D216" s="17" t="inlineStr">
        <is>
          <t>PGIM REAL ESTATE AGENCY FINANCING, LLC.</t>
        </is>
      </c>
      <c r="E216" s="17" t="inlineStr">
        <is>
          <t>3617XSCC2_000000003111149</t>
        </is>
      </c>
      <c r="F216" s="17" t="n">
        <v>202603</v>
      </c>
      <c r="G216" s="18" t="n">
        <v>4.65</v>
      </c>
      <c r="H216" s="19" t="n">
        <v>25886497.58</v>
      </c>
      <c r="I216" s="17" t="n">
        <v>420</v>
      </c>
      <c r="J216" s="17" t="n">
        <v>20221110</v>
      </c>
      <c r="K216" s="17" t="n">
        <v>20571201</v>
      </c>
      <c r="L216" s="17" t="n"/>
      <c r="M216" s="17" t="n">
        <v>20321231</v>
      </c>
      <c r="N216" s="17" t="n">
        <v>10</v>
      </c>
      <c r="O216" s="17" t="inlineStr">
        <is>
          <t>207/223(F)</t>
        </is>
      </c>
      <c r="P216" s="17" t="inlineStr">
        <is>
          <t>BAF</t>
        </is>
      </c>
      <c r="Q216" s="17" t="n"/>
      <c r="R216" s="17" t="n"/>
      <c r="S216" s="17" t="n"/>
      <c r="T216" s="17" t="inlineStr">
        <is>
          <t>NJ</t>
        </is>
      </c>
      <c r="U216" s="17" t="n">
        <v>354</v>
      </c>
      <c r="V216" s="17" t="n">
        <v>490.5</v>
      </c>
      <c r="W216" s="17" t="n">
        <v>40</v>
      </c>
      <c r="X216" s="17" t="n">
        <v>2022</v>
      </c>
      <c r="Y216" s="17" t="n">
        <v>90</v>
      </c>
      <c r="Z216" s="17" t="n">
        <v>8</v>
      </c>
      <c r="AA216" s="20">
        <f>IF(ISNUMBER(W216),W216,IFERROR(MAX(0,(VALUE(LEFT(F216,4))-VALUE(LEFT(TEXT(J216,"00000000"),4)))*12+(VALUE(MID(F216,5,2))-VALUE(MID(TEXT(J216,"00000000"),5,2)))),""))</f>
        <v/>
      </c>
      <c r="AB216" s="20">
        <f>IFERROR((VALUE(LEFT(TEXT(K216,"00000000"),4))-VALUE(LEFT(F216,4)))*12+(VALUE(MID(TEXT(K216,"00000000"),5,2))-VALUE(MID(F216,5,2))),"")</f>
        <v/>
      </c>
      <c r="AC216" s="20">
        <f>IF(OR(L216="",NOT(ISNUMBER(L216))),0,MAX(0,MIN(60,(VALUE(LEFT(F216,4))-VALUE(LEFT(TEXT(L216,"00000000"),4)))*12+(VALUE(MID(F216,5,2))-VALUE(MID(TEXT(L216,"00000000"),5,2))))))</f>
        <v/>
      </c>
      <c r="AD216" s="20">
        <f>IF(OR(L216="",NOT(ISNUMBER(L216))),0,IF(VALUE(F216)&lt;VALUE(LEFT(TEXT(L216,"00000000"),6)),1,0))</f>
        <v/>
      </c>
      <c r="AE216" s="20">
        <f>IF(OR(M216="",NOT(ISNUMBER(M216))),0,IF(VALUE(F216)&lt;VALUE(LEFT(TEXT(M216,"00000000"),6)),1,0))</f>
        <v/>
      </c>
      <c r="AF216" s="20">
        <f>IF(AND(AD216=0,AE216=0),1,0)</f>
        <v/>
      </c>
      <c r="AG216" s="20">
        <f>IF(ISNUMBER(X216),X216,IFERROR(VALUE(LEFT(TEXT(J216,"00000000"),4)),""))</f>
        <v/>
      </c>
      <c r="AH216" s="20">
        <f>IFERROR(XLOOKUP(AG216,Vintage_Rates!$A$2:$A$1000,Vintage_Rates!$B$2:$B$1000,""),"")</f>
        <v/>
      </c>
      <c r="AI216" s="20">
        <f>IF(ISNUMBER(Y216),Y216,IFERROR((G216-AH216)*100,""))</f>
        <v/>
      </c>
      <c r="AJ216" s="20">
        <f>IF(ISNUMBER(V216),V216,IFERROR(XLOOKUP(VALUE(F216),PLC_Rates!$A$2:$A$1000,PLC_Rates!$B$2:$B$1000,""),""))</f>
        <v/>
      </c>
      <c r="AK216" s="20">
        <f>IF(ISNUMBER(Z216),Z216,IF(AE216=0,0,MAX(0,MIN(10,((VALUE(LEFT(TEXT(M216,"00000000"),4))-VALUE(LEFT(F216,4)))*12+(VALUE(MID(TEXT(M216,"00000000"),5,2))-VALUE(MID(F216,5,2))))/12))))</f>
        <v/>
      </c>
      <c r="AL216" s="20">
        <f>IFERROR(G216*100-AJ216,"")</f>
        <v/>
      </c>
      <c r="AM216" s="20">
        <f>IFERROR(G216*100-(AJ216+(1+AK216)*12.5),"")</f>
        <v/>
      </c>
      <c r="AN216" s="21">
        <f>IFERROR(MIN(H216/1000000,100),"")</f>
        <v/>
      </c>
      <c r="AO216" s="20">
        <f>IFERROR(INDEX(FHA_Lookup!$B$2:$B$11,MATCH(TRUE,ISNUMBER(SEARCH(FHA_Lookup!$A$2:$A$11,UPPER(SUBSTITUTE(O216," ","")))),0)),"OTHER")</f>
        <v/>
      </c>
      <c r="AP216" s="20">
        <f>IFERROR(INDEX(FHA_Lookup!$C$2:$C$11,MATCH(TRUE,ISNUMBER(SEARCH(FHA_Lookup!$A$2:$A$11,UPPER(SUBSTITUTE(O216," ","")))),0)),"OTHER")</f>
        <v/>
      </c>
      <c r="AQ216" s="20">
        <f>IF(AP216="NC",1,0)</f>
        <v/>
      </c>
      <c r="AR216" s="20">
        <f>IF(UPPER(TRIM(P216))="AFF",1,0)</f>
        <v/>
      </c>
      <c r="AS216" s="20">
        <f>IF(UPPER(TRIM(P216))="BAF",1,0)</f>
        <v/>
      </c>
      <c r="AT216" s="20">
        <f>IF(UPPER(TRIM(P216))="MKT",1,0)</f>
        <v/>
      </c>
      <c r="AU216" s="20">
        <f>IF(AO216="221d4",1,0)</f>
        <v/>
      </c>
      <c r="AV216" s="20">
        <f>IF(AO216="223a7",1,0)</f>
        <v/>
      </c>
      <c r="AW216" s="20">
        <f>IF(AO216="232",1,0)</f>
        <v/>
      </c>
      <c r="AX216" s="20">
        <f>IF(AO216="538",1,0)</f>
        <v/>
      </c>
      <c r="AY216" s="20">
        <f>IF(AO216="241",1,0)</f>
        <v/>
      </c>
      <c r="AZ216" s="20">
        <f>IF(AO216="220",1,0)</f>
        <v/>
      </c>
      <c r="BA216" s="20">
        <f>IF(AO216="OTHER",1,0)</f>
        <v/>
      </c>
      <c r="BB216" s="20">
        <f>IF(UPPER(TRIM(C216))="LM",1,0)</f>
        <v/>
      </c>
      <c r="BC216" s="20">
        <f>IF(UPPER(TRIM(C216))="PN",1,0)</f>
        <v/>
      </c>
      <c r="BD216" s="20">
        <f>IF(UPPER(TRIM(C216))="LS",1,0)</f>
        <v/>
      </c>
      <c r="BE216" s="20">
        <f>IF(UPPER(TRIM(C216))="RX",1,0)</f>
        <v/>
      </c>
      <c r="BF216" s="22">
        <f>IFERROR((Parameters!$C$6*AM216+Parameters!$C$7*MAX(AM216-(-150),0)+Parameters!$C$8*MAX(AM216-(-50),0)+Parameters!$C$9*MAX(AM216-(0),0)+Parameters!$C$10*MAX(AM216-(50),0)+Parameters!$C$11*MAX(AM216-(100),0)+Parameters!$C$12*MAX(AM216-(150),0)+Parameters!$C$13*MAX(AM216-(250),0)),0)</f>
        <v/>
      </c>
      <c r="BG216" s="22">
        <f>IFERROR((Parameters!$C$14*AA216+Parameters!$C$15*MAX(AA216-(12),0)+Parameters!$C$16*MAX(AA216-(36),0)+Parameters!$C$17*MAX(AA216-(60),0)+Parameters!$C$18*MAX(AA216-(84),0)+Parameters!$C$19*MAX(AA216-(120),0)+Parameters!$C$20*MAX(AA216-(180),0)),0)</f>
        <v/>
      </c>
      <c r="BH216" s="22">
        <f>IFERROR((Parameters!$C$21*AK216+Parameters!$C$22*MAX(AK216-(0),0)+Parameters!$C$23*MAX(AK216-(2),0)+Parameters!$C$24*MAX(AK216-(5),0)+Parameters!$C$25*MAX(AK216-(8),0)),0)</f>
        <v/>
      </c>
      <c r="BI216" s="22">
        <f>IFERROR((Parameters!$C$26*AI216+Parameters!$C$27*MAX(AI216-(-100),0)+Parameters!$C$28*MAX(AI216-(-25),0)+Parameters!$C$29*MAX(AI216-(25),0)+Parameters!$C$30*MAX(AI216-(100),0)),0)</f>
        <v/>
      </c>
      <c r="BJ216" s="22">
        <f>IFERROR((Parameters!$C$31*AN216+Parameters!$C$32*MAX(AN216-(2),0)+Parameters!$C$33*MAX(AN216-(10),0)+Parameters!$C$34*MAX(AN216-(25),0)),0)</f>
        <v/>
      </c>
      <c r="BK216" s="22">
        <f>IFERROR((Parameters!$C$35*AB216+Parameters!$C$36*MAX(AB216-(12),0)+Parameters!$C$37*MAX(AB216-(24),0)+Parameters!$C$38*MAX(AB216-(60),0)),0)</f>
        <v/>
      </c>
      <c r="BL216" s="22">
        <f>IFERROR((Parameters!$C$39*AC216+Parameters!$C$40*MAX(AC216-(6),0)+Parameters!$C$41*MAX(AC216-(12),0)+Parameters!$C$42*MAX(AC216-(24),0)),0)</f>
        <v/>
      </c>
      <c r="BM216" s="22">
        <f>IFERROR(Parameters!$C$43*(MAX(AM216,0)*MIN(MAX(AK216,0),10))/100,0)</f>
        <v/>
      </c>
      <c r="BN216" s="22">
        <f>Parameters!$C$44*AE216</f>
        <v/>
      </c>
      <c r="BO216" s="22">
        <f>Parameters!$C$45*AU216 + Parameters!$C$46*AV216 + Parameters!$C$47*AW216 + Parameters!$C$48*AX216 + Parameters!$C$49*AY216 + Parameters!$C$50*AZ216 + Parameters!$C$51*BA216</f>
        <v/>
      </c>
      <c r="BP216" s="22">
        <f>Parameters!$C$52*AQ216</f>
        <v/>
      </c>
      <c r="BQ216" s="22">
        <f>Parameters!$C$53*AR216+Parameters!$C$54*AS216+Parameters!$C$55*AT216</f>
        <v/>
      </c>
      <c r="BR216" s="22">
        <f>Parameters!$C$56*BB216+Parameters!$C$57*BC216+Parameters!$C$58*BD216+Parameters!$C$59*BE216</f>
        <v/>
      </c>
      <c r="BS216" s="23">
        <f>Parameters!$B$2</f>
        <v/>
      </c>
      <c r="BT216" s="23">
        <f>BS216+BF216 + BG216 + BH216 + BI216 + BJ216 + BK216 + BL216 + BM216 + BN216 + BO216 + BP216 + BQ216 + BR216</f>
        <v/>
      </c>
      <c r="BU216" s="24">
        <f>IF(AD216=1,0,1/(1+EXP(-BT216))*Parameters!$B$3)</f>
        <v/>
      </c>
      <c r="BV216" s="25">
        <f>(1-(1-BU216)^12)*100</f>
        <v/>
      </c>
      <c r="BW216" s="25">
        <f>IF(AD216=1,0,(1-(1-1/(1+EXP(-Parameters!$B$2)))^12)*100)</f>
        <v/>
      </c>
      <c r="BX216" s="25">
        <f>IF(AD216=1,0,BV216-(1-(1-(1/(1+EXP(-(BT216-BF216)))*Parameters!$B$3))^12)*100)</f>
        <v/>
      </c>
      <c r="BY216" s="25">
        <f>IF(AD216=1,0,BV216-(1-(1-(1/(1+EXP(-(BT216-BG216)))*Parameters!$B$3))^12)*100)</f>
        <v/>
      </c>
      <c r="BZ216" s="25">
        <f>IF(AD216=1,0,BV216-(1-(1-(1/(1+EXP(-(BT216-BH216)))*Parameters!$B$3))^12)*100)</f>
        <v/>
      </c>
      <c r="CA216" s="25">
        <f>IF(AD216=1,0,BV216-(1-(1-(1/(1+EXP(-(BT216-BI216)))*Parameters!$B$3))^12)*100)</f>
        <v/>
      </c>
      <c r="CB216" s="25">
        <f>IF(AD216=1,0,BV216-(1-(1-(1/(1+EXP(-(BT216-BJ216)))*Parameters!$B$3))^12)*100)</f>
        <v/>
      </c>
      <c r="CC216" s="25">
        <f>IF(AD216=1,0,BV216-(1-(1-(1/(1+EXP(-(BT216-BK216)))*Parameters!$B$3))^12)*100)</f>
        <v/>
      </c>
      <c r="CD216" s="25">
        <f>IF(AD216=1,0,BV216-(1-(1-(1/(1+EXP(-(BT216-BL216)))*Parameters!$B$3))^12)*100)</f>
        <v/>
      </c>
      <c r="CE216" s="25">
        <f>IF(AD216=1,0,BV216-(1-(1-(1/(1+EXP(-(BT216-BM216)))*Parameters!$B$3))^12)*100)</f>
        <v/>
      </c>
      <c r="CF216" s="25">
        <f>IF(AD216=1,0,BV216-(1-(1-(1/(1+EXP(-(BT216-BN216)))*Parameters!$B$3))^12)*100)</f>
        <v/>
      </c>
      <c r="CG216" s="25">
        <f>IF(AD216=1,0,BV216-(1-(1-(1/(1+EXP(-(BT216-BO216)))*Parameters!$B$3))^12)*100)</f>
        <v/>
      </c>
      <c r="CH216" s="25">
        <f>IF(AD216=1,0,BV216-(1-(1-(1/(1+EXP(-(BT216-BP216)))*Parameters!$B$3))^12)*100)</f>
        <v/>
      </c>
      <c r="CI216" s="25">
        <f>IF(AD216=1,0,BV216-(1-(1-(1/(1+EXP(-(BT216-BQ216)))*Parameters!$B$3))^12)*100)</f>
        <v/>
      </c>
      <c r="CJ216" s="25">
        <f>IF(AD216=1,0,BV216-(1-(1-(1/(1+EXP(-(BT216-BR216)))*Parameters!$B$3))^12)*100)</f>
        <v/>
      </c>
    </row>
    <row r="217">
      <c r="A217" s="17" t="inlineStr">
        <is>
          <t>GNR_DIVERSE</t>
        </is>
      </c>
      <c r="B217" s="17" t="inlineStr">
        <is>
          <t>3617X2L96</t>
        </is>
      </c>
      <c r="C217" s="17" t="inlineStr">
        <is>
          <t>LM</t>
        </is>
      </c>
      <c r="D217" s="17" t="inlineStr">
        <is>
          <t>GREYSTONE FUNDING COMPANY LLC</t>
        </is>
      </c>
      <c r="E217" s="17" t="inlineStr">
        <is>
          <t>3617X2L96_000000005336299</t>
        </is>
      </c>
      <c r="F217" s="17" t="n">
        <v>202603</v>
      </c>
      <c r="G217" s="18" t="n">
        <v>3.44</v>
      </c>
      <c r="H217" s="19" t="n">
        <v>14620590.68</v>
      </c>
      <c r="I217" s="17" t="n">
        <v>474</v>
      </c>
      <c r="J217" s="17" t="n">
        <v>20190701</v>
      </c>
      <c r="K217" s="17" t="n">
        <v>20610501</v>
      </c>
      <c r="L217" s="17" t="n"/>
      <c r="M217" s="17" t="n">
        <v>20311201</v>
      </c>
      <c r="N217" s="17" t="n">
        <v>10</v>
      </c>
      <c r="O217" s="17" t="inlineStr">
        <is>
          <t>221(D)(4)</t>
        </is>
      </c>
      <c r="P217" s="17" t="inlineStr">
        <is>
          <t>MKT</t>
        </is>
      </c>
      <c r="Q217" s="17" t="inlineStr">
        <is>
          <t>M</t>
        </is>
      </c>
      <c r="R217" s="17" t="n"/>
      <c r="S217" s="17" t="n">
        <v>1</v>
      </c>
      <c r="T217" s="17" t="inlineStr">
        <is>
          <t>NC</t>
        </is>
      </c>
      <c r="U217" s="17" t="n">
        <v>113</v>
      </c>
      <c r="V217" s="17" t="n">
        <v>490.5</v>
      </c>
      <c r="W217" s="17" t="n">
        <v>80</v>
      </c>
      <c r="X217" s="17" t="n">
        <v>2019</v>
      </c>
      <c r="Y217" s="17" t="n">
        <v>-23</v>
      </c>
      <c r="Z217" s="17" t="n">
        <v>6</v>
      </c>
      <c r="AA217" s="20">
        <f>IF(ISNUMBER(W217),W217,IFERROR(MAX(0,(VALUE(LEFT(F217,4))-VALUE(LEFT(TEXT(J217,"00000000"),4)))*12+(VALUE(MID(F217,5,2))-VALUE(MID(TEXT(J217,"00000000"),5,2)))),""))</f>
        <v/>
      </c>
      <c r="AB217" s="20">
        <f>IFERROR((VALUE(LEFT(TEXT(K217,"00000000"),4))-VALUE(LEFT(F217,4)))*12+(VALUE(MID(TEXT(K217,"00000000"),5,2))-VALUE(MID(F217,5,2))),"")</f>
        <v/>
      </c>
      <c r="AC217" s="20">
        <f>IF(OR(L217="",NOT(ISNUMBER(L217))),0,MAX(0,MIN(60,(VALUE(LEFT(F217,4))-VALUE(LEFT(TEXT(L217,"00000000"),4)))*12+(VALUE(MID(F217,5,2))-VALUE(MID(TEXT(L217,"00000000"),5,2))))))</f>
        <v/>
      </c>
      <c r="AD217" s="20">
        <f>IF(OR(L217="",NOT(ISNUMBER(L217))),0,IF(VALUE(F217)&lt;VALUE(LEFT(TEXT(L217,"00000000"),6)),1,0))</f>
        <v/>
      </c>
      <c r="AE217" s="20">
        <f>IF(OR(M217="",NOT(ISNUMBER(M217))),0,IF(VALUE(F217)&lt;VALUE(LEFT(TEXT(M217,"00000000"),6)),1,0))</f>
        <v/>
      </c>
      <c r="AF217" s="20">
        <f>IF(AND(AD217=0,AE217=0),1,0)</f>
        <v/>
      </c>
      <c r="AG217" s="20">
        <f>IF(ISNUMBER(X217),X217,IFERROR(VALUE(LEFT(TEXT(J217,"00000000"),4)),""))</f>
        <v/>
      </c>
      <c r="AH217" s="20">
        <f>IFERROR(XLOOKUP(AG217,Vintage_Rates!$A$2:$A$1000,Vintage_Rates!$B$2:$B$1000,""),"")</f>
        <v/>
      </c>
      <c r="AI217" s="20">
        <f>IF(ISNUMBER(Y217),Y217,IFERROR((G217-AH217)*100,""))</f>
        <v/>
      </c>
      <c r="AJ217" s="20">
        <f>IF(ISNUMBER(V217),V217,IFERROR(XLOOKUP(VALUE(F217),PLC_Rates!$A$2:$A$1000,PLC_Rates!$B$2:$B$1000,""),""))</f>
        <v/>
      </c>
      <c r="AK217" s="20">
        <f>IF(ISNUMBER(Z217),Z217,IF(AE217=0,0,MAX(0,MIN(10,((VALUE(LEFT(TEXT(M217,"00000000"),4))-VALUE(LEFT(F217,4)))*12+(VALUE(MID(TEXT(M217,"00000000"),5,2))-VALUE(MID(F217,5,2))))/12))))</f>
        <v/>
      </c>
      <c r="AL217" s="20">
        <f>IFERROR(G217*100-AJ217,"")</f>
        <v/>
      </c>
      <c r="AM217" s="20">
        <f>IFERROR(G217*100-(AJ217+(1+AK217)*12.5),"")</f>
        <v/>
      </c>
      <c r="AN217" s="21">
        <f>IFERROR(MIN(H217/1000000,100),"")</f>
        <v/>
      </c>
      <c r="AO217" s="20">
        <f>IFERROR(INDEX(FHA_Lookup!$B$2:$B$11,MATCH(TRUE,ISNUMBER(SEARCH(FHA_Lookup!$A$2:$A$11,UPPER(SUBSTITUTE(O217," ","")))),0)),"OTHER")</f>
        <v/>
      </c>
      <c r="AP217" s="20">
        <f>IFERROR(INDEX(FHA_Lookup!$C$2:$C$11,MATCH(TRUE,ISNUMBER(SEARCH(FHA_Lookup!$A$2:$A$11,UPPER(SUBSTITUTE(O217," ","")))),0)),"OTHER")</f>
        <v/>
      </c>
      <c r="AQ217" s="20">
        <f>IF(AP217="NC",1,0)</f>
        <v/>
      </c>
      <c r="AR217" s="20">
        <f>IF(UPPER(TRIM(P217))="AFF",1,0)</f>
        <v/>
      </c>
      <c r="AS217" s="20">
        <f>IF(UPPER(TRIM(P217))="BAF",1,0)</f>
        <v/>
      </c>
      <c r="AT217" s="20">
        <f>IF(UPPER(TRIM(P217))="MKT",1,0)</f>
        <v/>
      </c>
      <c r="AU217" s="20">
        <f>IF(AO217="221d4",1,0)</f>
        <v/>
      </c>
      <c r="AV217" s="20">
        <f>IF(AO217="223a7",1,0)</f>
        <v/>
      </c>
      <c r="AW217" s="20">
        <f>IF(AO217="232",1,0)</f>
        <v/>
      </c>
      <c r="AX217" s="20">
        <f>IF(AO217="538",1,0)</f>
        <v/>
      </c>
      <c r="AY217" s="20">
        <f>IF(AO217="241",1,0)</f>
        <v/>
      </c>
      <c r="AZ217" s="20">
        <f>IF(AO217="220",1,0)</f>
        <v/>
      </c>
      <c r="BA217" s="20">
        <f>IF(AO217="OTHER",1,0)</f>
        <v/>
      </c>
      <c r="BB217" s="20">
        <f>IF(UPPER(TRIM(C217))="LM",1,0)</f>
        <v/>
      </c>
      <c r="BC217" s="20">
        <f>IF(UPPER(TRIM(C217))="PN",1,0)</f>
        <v/>
      </c>
      <c r="BD217" s="20">
        <f>IF(UPPER(TRIM(C217))="LS",1,0)</f>
        <v/>
      </c>
      <c r="BE217" s="20">
        <f>IF(UPPER(TRIM(C217))="RX",1,0)</f>
        <v/>
      </c>
      <c r="BF217" s="22">
        <f>IFERROR((Parameters!$C$6*AM217+Parameters!$C$7*MAX(AM217-(-150),0)+Parameters!$C$8*MAX(AM217-(-50),0)+Parameters!$C$9*MAX(AM217-(0),0)+Parameters!$C$10*MAX(AM217-(50),0)+Parameters!$C$11*MAX(AM217-(100),0)+Parameters!$C$12*MAX(AM217-(150),0)+Parameters!$C$13*MAX(AM217-(250),0)),0)</f>
        <v/>
      </c>
      <c r="BG217" s="22">
        <f>IFERROR((Parameters!$C$14*AA217+Parameters!$C$15*MAX(AA217-(12),0)+Parameters!$C$16*MAX(AA217-(36),0)+Parameters!$C$17*MAX(AA217-(60),0)+Parameters!$C$18*MAX(AA217-(84),0)+Parameters!$C$19*MAX(AA217-(120),0)+Parameters!$C$20*MAX(AA217-(180),0)),0)</f>
        <v/>
      </c>
      <c r="BH217" s="22">
        <f>IFERROR((Parameters!$C$21*AK217+Parameters!$C$22*MAX(AK217-(0),0)+Parameters!$C$23*MAX(AK217-(2),0)+Parameters!$C$24*MAX(AK217-(5),0)+Parameters!$C$25*MAX(AK217-(8),0)),0)</f>
        <v/>
      </c>
      <c r="BI217" s="22">
        <f>IFERROR((Parameters!$C$26*AI217+Parameters!$C$27*MAX(AI217-(-100),0)+Parameters!$C$28*MAX(AI217-(-25),0)+Parameters!$C$29*MAX(AI217-(25),0)+Parameters!$C$30*MAX(AI217-(100),0)),0)</f>
        <v/>
      </c>
      <c r="BJ217" s="22">
        <f>IFERROR((Parameters!$C$31*AN217+Parameters!$C$32*MAX(AN217-(2),0)+Parameters!$C$33*MAX(AN217-(10),0)+Parameters!$C$34*MAX(AN217-(25),0)),0)</f>
        <v/>
      </c>
      <c r="BK217" s="22">
        <f>IFERROR((Parameters!$C$35*AB217+Parameters!$C$36*MAX(AB217-(12),0)+Parameters!$C$37*MAX(AB217-(24),0)+Parameters!$C$38*MAX(AB217-(60),0)),0)</f>
        <v/>
      </c>
      <c r="BL217" s="22">
        <f>IFERROR((Parameters!$C$39*AC217+Parameters!$C$40*MAX(AC217-(6),0)+Parameters!$C$41*MAX(AC217-(12),0)+Parameters!$C$42*MAX(AC217-(24),0)),0)</f>
        <v/>
      </c>
      <c r="BM217" s="22">
        <f>IFERROR(Parameters!$C$43*(MAX(AM217,0)*MIN(MAX(AK217,0),10))/100,0)</f>
        <v/>
      </c>
      <c r="BN217" s="22">
        <f>Parameters!$C$44*AE217</f>
        <v/>
      </c>
      <c r="BO217" s="22">
        <f>Parameters!$C$45*AU217 + Parameters!$C$46*AV217 + Parameters!$C$47*AW217 + Parameters!$C$48*AX217 + Parameters!$C$49*AY217 + Parameters!$C$50*AZ217 + Parameters!$C$51*BA217</f>
        <v/>
      </c>
      <c r="BP217" s="22">
        <f>Parameters!$C$52*AQ217</f>
        <v/>
      </c>
      <c r="BQ217" s="22">
        <f>Parameters!$C$53*AR217+Parameters!$C$54*AS217+Parameters!$C$55*AT217</f>
        <v/>
      </c>
      <c r="BR217" s="22">
        <f>Parameters!$C$56*BB217+Parameters!$C$57*BC217+Parameters!$C$58*BD217+Parameters!$C$59*BE217</f>
        <v/>
      </c>
      <c r="BS217" s="23">
        <f>Parameters!$B$2</f>
        <v/>
      </c>
      <c r="BT217" s="23">
        <f>BS217+BF217 + BG217 + BH217 + BI217 + BJ217 + BK217 + BL217 + BM217 + BN217 + BO217 + BP217 + BQ217 + BR217</f>
        <v/>
      </c>
      <c r="BU217" s="24">
        <f>IF(AD217=1,0,1/(1+EXP(-BT217))*Parameters!$B$3)</f>
        <v/>
      </c>
      <c r="BV217" s="25">
        <f>(1-(1-BU217)^12)*100</f>
        <v/>
      </c>
      <c r="BW217" s="25">
        <f>IF(AD217=1,0,(1-(1-1/(1+EXP(-Parameters!$B$2)))^12)*100)</f>
        <v/>
      </c>
      <c r="BX217" s="25">
        <f>IF(AD217=1,0,BV217-(1-(1-(1/(1+EXP(-(BT217-BF217)))*Parameters!$B$3))^12)*100)</f>
        <v/>
      </c>
      <c r="BY217" s="25">
        <f>IF(AD217=1,0,BV217-(1-(1-(1/(1+EXP(-(BT217-BG217)))*Parameters!$B$3))^12)*100)</f>
        <v/>
      </c>
      <c r="BZ217" s="25">
        <f>IF(AD217=1,0,BV217-(1-(1-(1/(1+EXP(-(BT217-BH217)))*Parameters!$B$3))^12)*100)</f>
        <v/>
      </c>
      <c r="CA217" s="25">
        <f>IF(AD217=1,0,BV217-(1-(1-(1/(1+EXP(-(BT217-BI217)))*Parameters!$B$3))^12)*100)</f>
        <v/>
      </c>
      <c r="CB217" s="25">
        <f>IF(AD217=1,0,BV217-(1-(1-(1/(1+EXP(-(BT217-BJ217)))*Parameters!$B$3))^12)*100)</f>
        <v/>
      </c>
      <c r="CC217" s="25">
        <f>IF(AD217=1,0,BV217-(1-(1-(1/(1+EXP(-(BT217-BK217)))*Parameters!$B$3))^12)*100)</f>
        <v/>
      </c>
      <c r="CD217" s="25">
        <f>IF(AD217=1,0,BV217-(1-(1-(1/(1+EXP(-(BT217-BL217)))*Parameters!$B$3))^12)*100)</f>
        <v/>
      </c>
      <c r="CE217" s="25">
        <f>IF(AD217=1,0,BV217-(1-(1-(1/(1+EXP(-(BT217-BM217)))*Parameters!$B$3))^12)*100)</f>
        <v/>
      </c>
      <c r="CF217" s="25">
        <f>IF(AD217=1,0,BV217-(1-(1-(1/(1+EXP(-(BT217-BN217)))*Parameters!$B$3))^12)*100)</f>
        <v/>
      </c>
      <c r="CG217" s="25">
        <f>IF(AD217=1,0,BV217-(1-(1-(1/(1+EXP(-(BT217-BO217)))*Parameters!$B$3))^12)*100)</f>
        <v/>
      </c>
      <c r="CH217" s="25">
        <f>IF(AD217=1,0,BV217-(1-(1-(1/(1+EXP(-(BT217-BP217)))*Parameters!$B$3))^12)*100)</f>
        <v/>
      </c>
      <c r="CI217" s="25">
        <f>IF(AD217=1,0,BV217-(1-(1-(1/(1+EXP(-(BT217-BQ217)))*Parameters!$B$3))^12)*100)</f>
        <v/>
      </c>
      <c r="CJ217" s="25">
        <f>IF(AD217=1,0,BV217-(1-(1-(1/(1+EXP(-(BT217-BR217)))*Parameters!$B$3))^12)*100)</f>
        <v/>
      </c>
    </row>
    <row r="218">
      <c r="A218" s="17" t="inlineStr">
        <is>
          <t>GNR_DIVERSE</t>
        </is>
      </c>
      <c r="B218" s="17" t="inlineStr">
        <is>
          <t>3617Q5YE2</t>
        </is>
      </c>
      <c r="C218" s="17" t="inlineStr">
        <is>
          <t>PN</t>
        </is>
      </c>
      <c r="D218" s="17" t="inlineStr">
        <is>
          <t>LUMENT REAL ESTATE CAPITAL,LLC</t>
        </is>
      </c>
      <c r="E218" s="17" t="inlineStr">
        <is>
          <t>3617Q5YE2_000000005311476</t>
        </is>
      </c>
      <c r="F218" s="17" t="n">
        <v>202603</v>
      </c>
      <c r="G218" s="18" t="n">
        <v>2.35</v>
      </c>
      <c r="H218" s="19" t="n">
        <v>2929786.18</v>
      </c>
      <c r="I218" s="17" t="n">
        <v>420</v>
      </c>
      <c r="J218" s="17" t="n">
        <v>20201021</v>
      </c>
      <c r="K218" s="17" t="n">
        <v>20551101</v>
      </c>
      <c r="L218" s="17" t="n"/>
      <c r="M218" s="17" t="n">
        <v>20301201</v>
      </c>
      <c r="N218" s="17" t="n">
        <v>10</v>
      </c>
      <c r="O218" s="17" t="inlineStr">
        <is>
          <t>207/223(F)</t>
        </is>
      </c>
      <c r="P218" s="17" t="inlineStr">
        <is>
          <t>BAF</t>
        </is>
      </c>
      <c r="Q218" s="17" t="n"/>
      <c r="R218" s="17" t="n"/>
      <c r="S218" s="17" t="n"/>
      <c r="T218" s="17" t="inlineStr">
        <is>
          <t>NC</t>
        </is>
      </c>
      <c r="U218" s="17" t="n">
        <v>60</v>
      </c>
      <c r="V218" s="17" t="n">
        <v>490.5</v>
      </c>
      <c r="W218" s="17" t="n">
        <v>65</v>
      </c>
      <c r="X218" s="17" t="n">
        <v>2020</v>
      </c>
      <c r="Y218" s="17" t="n">
        <v>-50</v>
      </c>
      <c r="Z218" s="17" t="n">
        <v>5</v>
      </c>
      <c r="AA218" s="20">
        <f>IF(ISNUMBER(W218),W218,IFERROR(MAX(0,(VALUE(LEFT(F218,4))-VALUE(LEFT(TEXT(J218,"00000000"),4)))*12+(VALUE(MID(F218,5,2))-VALUE(MID(TEXT(J218,"00000000"),5,2)))),""))</f>
        <v/>
      </c>
      <c r="AB218" s="20">
        <f>IFERROR((VALUE(LEFT(TEXT(K218,"00000000"),4))-VALUE(LEFT(F218,4)))*12+(VALUE(MID(TEXT(K218,"00000000"),5,2))-VALUE(MID(F218,5,2))),"")</f>
        <v/>
      </c>
      <c r="AC218" s="20">
        <f>IF(OR(L218="",NOT(ISNUMBER(L218))),0,MAX(0,MIN(60,(VALUE(LEFT(F218,4))-VALUE(LEFT(TEXT(L218,"00000000"),4)))*12+(VALUE(MID(F218,5,2))-VALUE(MID(TEXT(L218,"00000000"),5,2))))))</f>
        <v/>
      </c>
      <c r="AD218" s="20">
        <f>IF(OR(L218="",NOT(ISNUMBER(L218))),0,IF(VALUE(F218)&lt;VALUE(LEFT(TEXT(L218,"00000000"),6)),1,0))</f>
        <v/>
      </c>
      <c r="AE218" s="20">
        <f>IF(OR(M218="",NOT(ISNUMBER(M218))),0,IF(VALUE(F218)&lt;VALUE(LEFT(TEXT(M218,"00000000"),6)),1,0))</f>
        <v/>
      </c>
      <c r="AF218" s="20">
        <f>IF(AND(AD218=0,AE218=0),1,0)</f>
        <v/>
      </c>
      <c r="AG218" s="20">
        <f>IF(ISNUMBER(X218),X218,IFERROR(VALUE(LEFT(TEXT(J218,"00000000"),4)),""))</f>
        <v/>
      </c>
      <c r="AH218" s="20">
        <f>IFERROR(XLOOKUP(AG218,Vintage_Rates!$A$2:$A$1000,Vintage_Rates!$B$2:$B$1000,""),"")</f>
        <v/>
      </c>
      <c r="AI218" s="20">
        <f>IF(ISNUMBER(Y218),Y218,IFERROR((G218-AH218)*100,""))</f>
        <v/>
      </c>
      <c r="AJ218" s="20">
        <f>IF(ISNUMBER(V218),V218,IFERROR(XLOOKUP(VALUE(F218),PLC_Rates!$A$2:$A$1000,PLC_Rates!$B$2:$B$1000,""),""))</f>
        <v/>
      </c>
      <c r="AK218" s="20">
        <f>IF(ISNUMBER(Z218),Z218,IF(AE218=0,0,MAX(0,MIN(10,((VALUE(LEFT(TEXT(M218,"00000000"),4))-VALUE(LEFT(F218,4)))*12+(VALUE(MID(TEXT(M218,"00000000"),5,2))-VALUE(MID(F218,5,2))))/12))))</f>
        <v/>
      </c>
      <c r="AL218" s="20">
        <f>IFERROR(G218*100-AJ218,"")</f>
        <v/>
      </c>
      <c r="AM218" s="20">
        <f>IFERROR(G218*100-(AJ218+(1+AK218)*12.5),"")</f>
        <v/>
      </c>
      <c r="AN218" s="21">
        <f>IFERROR(MIN(H218/1000000,100),"")</f>
        <v/>
      </c>
      <c r="AO218" s="20">
        <f>IFERROR(INDEX(FHA_Lookup!$B$2:$B$11,MATCH(TRUE,ISNUMBER(SEARCH(FHA_Lookup!$A$2:$A$11,UPPER(SUBSTITUTE(O218," ","")))),0)),"OTHER")</f>
        <v/>
      </c>
      <c r="AP218" s="20">
        <f>IFERROR(INDEX(FHA_Lookup!$C$2:$C$11,MATCH(TRUE,ISNUMBER(SEARCH(FHA_Lookup!$A$2:$A$11,UPPER(SUBSTITUTE(O218," ","")))),0)),"OTHER")</f>
        <v/>
      </c>
      <c r="AQ218" s="20">
        <f>IF(AP218="NC",1,0)</f>
        <v/>
      </c>
      <c r="AR218" s="20">
        <f>IF(UPPER(TRIM(P218))="AFF",1,0)</f>
        <v/>
      </c>
      <c r="AS218" s="20">
        <f>IF(UPPER(TRIM(P218))="BAF",1,0)</f>
        <v/>
      </c>
      <c r="AT218" s="20">
        <f>IF(UPPER(TRIM(P218))="MKT",1,0)</f>
        <v/>
      </c>
      <c r="AU218" s="20">
        <f>IF(AO218="221d4",1,0)</f>
        <v/>
      </c>
      <c r="AV218" s="20">
        <f>IF(AO218="223a7",1,0)</f>
        <v/>
      </c>
      <c r="AW218" s="20">
        <f>IF(AO218="232",1,0)</f>
        <v/>
      </c>
      <c r="AX218" s="20">
        <f>IF(AO218="538",1,0)</f>
        <v/>
      </c>
      <c r="AY218" s="20">
        <f>IF(AO218="241",1,0)</f>
        <v/>
      </c>
      <c r="AZ218" s="20">
        <f>IF(AO218="220",1,0)</f>
        <v/>
      </c>
      <c r="BA218" s="20">
        <f>IF(AO218="OTHER",1,0)</f>
        <v/>
      </c>
      <c r="BB218" s="20">
        <f>IF(UPPER(TRIM(C218))="LM",1,0)</f>
        <v/>
      </c>
      <c r="BC218" s="20">
        <f>IF(UPPER(TRIM(C218))="PN",1,0)</f>
        <v/>
      </c>
      <c r="BD218" s="20">
        <f>IF(UPPER(TRIM(C218))="LS",1,0)</f>
        <v/>
      </c>
      <c r="BE218" s="20">
        <f>IF(UPPER(TRIM(C218))="RX",1,0)</f>
        <v/>
      </c>
      <c r="BF218" s="22">
        <f>IFERROR((Parameters!$C$6*AM218+Parameters!$C$7*MAX(AM218-(-150),0)+Parameters!$C$8*MAX(AM218-(-50),0)+Parameters!$C$9*MAX(AM218-(0),0)+Parameters!$C$10*MAX(AM218-(50),0)+Parameters!$C$11*MAX(AM218-(100),0)+Parameters!$C$12*MAX(AM218-(150),0)+Parameters!$C$13*MAX(AM218-(250),0)),0)</f>
        <v/>
      </c>
      <c r="BG218" s="22">
        <f>IFERROR((Parameters!$C$14*AA218+Parameters!$C$15*MAX(AA218-(12),0)+Parameters!$C$16*MAX(AA218-(36),0)+Parameters!$C$17*MAX(AA218-(60),0)+Parameters!$C$18*MAX(AA218-(84),0)+Parameters!$C$19*MAX(AA218-(120),0)+Parameters!$C$20*MAX(AA218-(180),0)),0)</f>
        <v/>
      </c>
      <c r="BH218" s="22">
        <f>IFERROR((Parameters!$C$21*AK218+Parameters!$C$22*MAX(AK218-(0),0)+Parameters!$C$23*MAX(AK218-(2),0)+Parameters!$C$24*MAX(AK218-(5),0)+Parameters!$C$25*MAX(AK218-(8),0)),0)</f>
        <v/>
      </c>
      <c r="BI218" s="22">
        <f>IFERROR((Parameters!$C$26*AI218+Parameters!$C$27*MAX(AI218-(-100),0)+Parameters!$C$28*MAX(AI218-(-25),0)+Parameters!$C$29*MAX(AI218-(25),0)+Parameters!$C$30*MAX(AI218-(100),0)),0)</f>
        <v/>
      </c>
      <c r="BJ218" s="22">
        <f>IFERROR((Parameters!$C$31*AN218+Parameters!$C$32*MAX(AN218-(2),0)+Parameters!$C$33*MAX(AN218-(10),0)+Parameters!$C$34*MAX(AN218-(25),0)),0)</f>
        <v/>
      </c>
      <c r="BK218" s="22">
        <f>IFERROR((Parameters!$C$35*AB218+Parameters!$C$36*MAX(AB218-(12),0)+Parameters!$C$37*MAX(AB218-(24),0)+Parameters!$C$38*MAX(AB218-(60),0)),0)</f>
        <v/>
      </c>
      <c r="BL218" s="22">
        <f>IFERROR((Parameters!$C$39*AC218+Parameters!$C$40*MAX(AC218-(6),0)+Parameters!$C$41*MAX(AC218-(12),0)+Parameters!$C$42*MAX(AC218-(24),0)),0)</f>
        <v/>
      </c>
      <c r="BM218" s="22">
        <f>IFERROR(Parameters!$C$43*(MAX(AM218,0)*MIN(MAX(AK218,0),10))/100,0)</f>
        <v/>
      </c>
      <c r="BN218" s="22">
        <f>Parameters!$C$44*AE218</f>
        <v/>
      </c>
      <c r="BO218" s="22">
        <f>Parameters!$C$45*AU218 + Parameters!$C$46*AV218 + Parameters!$C$47*AW218 + Parameters!$C$48*AX218 + Parameters!$C$49*AY218 + Parameters!$C$50*AZ218 + Parameters!$C$51*BA218</f>
        <v/>
      </c>
      <c r="BP218" s="22">
        <f>Parameters!$C$52*AQ218</f>
        <v/>
      </c>
      <c r="BQ218" s="22">
        <f>Parameters!$C$53*AR218+Parameters!$C$54*AS218+Parameters!$C$55*AT218</f>
        <v/>
      </c>
      <c r="BR218" s="22">
        <f>Parameters!$C$56*BB218+Parameters!$C$57*BC218+Parameters!$C$58*BD218+Parameters!$C$59*BE218</f>
        <v/>
      </c>
      <c r="BS218" s="23">
        <f>Parameters!$B$2</f>
        <v/>
      </c>
      <c r="BT218" s="23">
        <f>BS218+BF218 + BG218 + BH218 + BI218 + BJ218 + BK218 + BL218 + BM218 + BN218 + BO218 + BP218 + BQ218 + BR218</f>
        <v/>
      </c>
      <c r="BU218" s="24">
        <f>IF(AD218=1,0,1/(1+EXP(-BT218))*Parameters!$B$3)</f>
        <v/>
      </c>
      <c r="BV218" s="25">
        <f>(1-(1-BU218)^12)*100</f>
        <v/>
      </c>
      <c r="BW218" s="25">
        <f>IF(AD218=1,0,(1-(1-1/(1+EXP(-Parameters!$B$2)))^12)*100)</f>
        <v/>
      </c>
      <c r="BX218" s="25">
        <f>IF(AD218=1,0,BV218-(1-(1-(1/(1+EXP(-(BT218-BF218)))*Parameters!$B$3))^12)*100)</f>
        <v/>
      </c>
      <c r="BY218" s="25">
        <f>IF(AD218=1,0,BV218-(1-(1-(1/(1+EXP(-(BT218-BG218)))*Parameters!$B$3))^12)*100)</f>
        <v/>
      </c>
      <c r="BZ218" s="25">
        <f>IF(AD218=1,0,BV218-(1-(1-(1/(1+EXP(-(BT218-BH218)))*Parameters!$B$3))^12)*100)</f>
        <v/>
      </c>
      <c r="CA218" s="25">
        <f>IF(AD218=1,0,BV218-(1-(1-(1/(1+EXP(-(BT218-BI218)))*Parameters!$B$3))^12)*100)</f>
        <v/>
      </c>
      <c r="CB218" s="25">
        <f>IF(AD218=1,0,BV218-(1-(1-(1/(1+EXP(-(BT218-BJ218)))*Parameters!$B$3))^12)*100)</f>
        <v/>
      </c>
      <c r="CC218" s="25">
        <f>IF(AD218=1,0,BV218-(1-(1-(1/(1+EXP(-(BT218-BK218)))*Parameters!$B$3))^12)*100)</f>
        <v/>
      </c>
      <c r="CD218" s="25">
        <f>IF(AD218=1,0,BV218-(1-(1-(1/(1+EXP(-(BT218-BL218)))*Parameters!$B$3))^12)*100)</f>
        <v/>
      </c>
      <c r="CE218" s="25">
        <f>IF(AD218=1,0,BV218-(1-(1-(1/(1+EXP(-(BT218-BM218)))*Parameters!$B$3))^12)*100)</f>
        <v/>
      </c>
      <c r="CF218" s="25">
        <f>IF(AD218=1,0,BV218-(1-(1-(1/(1+EXP(-(BT218-BN218)))*Parameters!$B$3))^12)*100)</f>
        <v/>
      </c>
      <c r="CG218" s="25">
        <f>IF(AD218=1,0,BV218-(1-(1-(1/(1+EXP(-(BT218-BO218)))*Parameters!$B$3))^12)*100)</f>
        <v/>
      </c>
      <c r="CH218" s="25">
        <f>IF(AD218=1,0,BV218-(1-(1-(1/(1+EXP(-(BT218-BP218)))*Parameters!$B$3))^12)*100)</f>
        <v/>
      </c>
      <c r="CI218" s="25">
        <f>IF(AD218=1,0,BV218-(1-(1-(1/(1+EXP(-(BT218-BQ218)))*Parameters!$B$3))^12)*100)</f>
        <v/>
      </c>
      <c r="CJ218" s="25">
        <f>IF(AD218=1,0,BV218-(1-(1-(1/(1+EXP(-(BT218-BR218)))*Parameters!$B$3))^12)*100)</f>
        <v/>
      </c>
    </row>
    <row r="219">
      <c r="A219" s="17" t="inlineStr">
        <is>
          <t>GNR_DIVERSE</t>
        </is>
      </c>
      <c r="B219" s="17" t="inlineStr">
        <is>
          <t>3617QRF47</t>
        </is>
      </c>
      <c r="C219" s="17" t="inlineStr">
        <is>
          <t>LM</t>
        </is>
      </c>
      <c r="D219" s="17" t="inlineStr">
        <is>
          <t>LUMENT REAL ESTATE CAPITAL,LLC</t>
        </is>
      </c>
      <c r="E219" s="17" t="inlineStr">
        <is>
          <t>3617QRF47_000000006135887</t>
        </is>
      </c>
      <c r="F219" s="17" t="n">
        <v>202603</v>
      </c>
      <c r="G219" s="18" t="n">
        <v>3.85</v>
      </c>
      <c r="H219" s="19" t="n">
        <v>1319548.92</v>
      </c>
      <c r="I219" s="17" t="n">
        <v>496</v>
      </c>
      <c r="J219" s="17" t="n">
        <v>20180823</v>
      </c>
      <c r="K219" s="17" t="n">
        <v>20600101</v>
      </c>
      <c r="L219" s="17" t="n">
        <v>20211201</v>
      </c>
      <c r="M219" s="17" t="n">
        <v>20301201</v>
      </c>
      <c r="N219" s="17" t="n">
        <v>9</v>
      </c>
      <c r="O219" s="17" t="inlineStr">
        <is>
          <t>221(d)(4)</t>
        </is>
      </c>
      <c r="P219" s="17" t="inlineStr">
        <is>
          <t>AFF</t>
        </is>
      </c>
      <c r="Q219" s="17" t="inlineStr">
        <is>
          <t>M</t>
        </is>
      </c>
      <c r="R219" s="17" t="n"/>
      <c r="S219" s="17" t="n">
        <v>1</v>
      </c>
      <c r="T219" s="17" t="inlineStr">
        <is>
          <t>GA</t>
        </is>
      </c>
      <c r="U219" s="17" t="n">
        <v>50</v>
      </c>
      <c r="V219" s="17" t="n">
        <v>490.5</v>
      </c>
      <c r="W219" s="17" t="n">
        <v>91</v>
      </c>
      <c r="X219" s="17" t="n">
        <v>2018</v>
      </c>
      <c r="Y219" s="17" t="n">
        <v>-17</v>
      </c>
      <c r="Z219" s="17" t="n">
        <v>6</v>
      </c>
      <c r="AA219" s="20">
        <f>IF(ISNUMBER(W219),W219,IFERROR(MAX(0,(VALUE(LEFT(F219,4))-VALUE(LEFT(TEXT(J219,"00000000"),4)))*12+(VALUE(MID(F219,5,2))-VALUE(MID(TEXT(J219,"00000000"),5,2)))),""))</f>
        <v/>
      </c>
      <c r="AB219" s="20">
        <f>IFERROR((VALUE(LEFT(TEXT(K219,"00000000"),4))-VALUE(LEFT(F219,4)))*12+(VALUE(MID(TEXT(K219,"00000000"),5,2))-VALUE(MID(F219,5,2))),"")</f>
        <v/>
      </c>
      <c r="AC219" s="20">
        <f>IF(OR(L219="",NOT(ISNUMBER(L219))),0,MAX(0,MIN(60,(VALUE(LEFT(F219,4))-VALUE(LEFT(TEXT(L219,"00000000"),4)))*12+(VALUE(MID(F219,5,2))-VALUE(MID(TEXT(L219,"00000000"),5,2))))))</f>
        <v/>
      </c>
      <c r="AD219" s="20">
        <f>IF(OR(L219="",NOT(ISNUMBER(L219))),0,IF(VALUE(F219)&lt;VALUE(LEFT(TEXT(L219,"00000000"),6)),1,0))</f>
        <v/>
      </c>
      <c r="AE219" s="20">
        <f>IF(OR(M219="",NOT(ISNUMBER(M219))),0,IF(VALUE(F219)&lt;VALUE(LEFT(TEXT(M219,"00000000"),6)),1,0))</f>
        <v/>
      </c>
      <c r="AF219" s="20">
        <f>IF(AND(AD219=0,AE219=0),1,0)</f>
        <v/>
      </c>
      <c r="AG219" s="20">
        <f>IF(ISNUMBER(X219),X219,IFERROR(VALUE(LEFT(TEXT(J219,"00000000"),4)),""))</f>
        <v/>
      </c>
      <c r="AH219" s="20">
        <f>IFERROR(XLOOKUP(AG219,Vintage_Rates!$A$2:$A$1000,Vintage_Rates!$B$2:$B$1000,""),"")</f>
        <v/>
      </c>
      <c r="AI219" s="20">
        <f>IF(ISNUMBER(Y219),Y219,IFERROR((G219-AH219)*100,""))</f>
        <v/>
      </c>
      <c r="AJ219" s="20">
        <f>IF(ISNUMBER(V219),V219,IFERROR(XLOOKUP(VALUE(F219),PLC_Rates!$A$2:$A$1000,PLC_Rates!$B$2:$B$1000,""),""))</f>
        <v/>
      </c>
      <c r="AK219" s="20">
        <f>IF(ISNUMBER(Z219),Z219,IF(AE219=0,0,MAX(0,MIN(10,((VALUE(LEFT(TEXT(M219,"00000000"),4))-VALUE(LEFT(F219,4)))*12+(VALUE(MID(TEXT(M219,"00000000"),5,2))-VALUE(MID(F219,5,2))))/12))))</f>
        <v/>
      </c>
      <c r="AL219" s="20">
        <f>IFERROR(G219*100-AJ219,"")</f>
        <v/>
      </c>
      <c r="AM219" s="20">
        <f>IFERROR(G219*100-(AJ219+(1+AK219)*12.5),"")</f>
        <v/>
      </c>
      <c r="AN219" s="21">
        <f>IFERROR(MIN(H219/1000000,100),"")</f>
        <v/>
      </c>
      <c r="AO219" s="20">
        <f>IFERROR(INDEX(FHA_Lookup!$B$2:$B$11,MATCH(TRUE,ISNUMBER(SEARCH(FHA_Lookup!$A$2:$A$11,UPPER(SUBSTITUTE(O219," ","")))),0)),"OTHER")</f>
        <v/>
      </c>
      <c r="AP219" s="20">
        <f>IFERROR(INDEX(FHA_Lookup!$C$2:$C$11,MATCH(TRUE,ISNUMBER(SEARCH(FHA_Lookup!$A$2:$A$11,UPPER(SUBSTITUTE(O219," ","")))),0)),"OTHER")</f>
        <v/>
      </c>
      <c r="AQ219" s="20">
        <f>IF(AP219="NC",1,0)</f>
        <v/>
      </c>
      <c r="AR219" s="20">
        <f>IF(UPPER(TRIM(P219))="AFF",1,0)</f>
        <v/>
      </c>
      <c r="AS219" s="20">
        <f>IF(UPPER(TRIM(P219))="BAF",1,0)</f>
        <v/>
      </c>
      <c r="AT219" s="20">
        <f>IF(UPPER(TRIM(P219))="MKT",1,0)</f>
        <v/>
      </c>
      <c r="AU219" s="20">
        <f>IF(AO219="221d4",1,0)</f>
        <v/>
      </c>
      <c r="AV219" s="20">
        <f>IF(AO219="223a7",1,0)</f>
        <v/>
      </c>
      <c r="AW219" s="20">
        <f>IF(AO219="232",1,0)</f>
        <v/>
      </c>
      <c r="AX219" s="20">
        <f>IF(AO219="538",1,0)</f>
        <v/>
      </c>
      <c r="AY219" s="20">
        <f>IF(AO219="241",1,0)</f>
        <v/>
      </c>
      <c r="AZ219" s="20">
        <f>IF(AO219="220",1,0)</f>
        <v/>
      </c>
      <c r="BA219" s="20">
        <f>IF(AO219="OTHER",1,0)</f>
        <v/>
      </c>
      <c r="BB219" s="20">
        <f>IF(UPPER(TRIM(C219))="LM",1,0)</f>
        <v/>
      </c>
      <c r="BC219" s="20">
        <f>IF(UPPER(TRIM(C219))="PN",1,0)</f>
        <v/>
      </c>
      <c r="BD219" s="20">
        <f>IF(UPPER(TRIM(C219))="LS",1,0)</f>
        <v/>
      </c>
      <c r="BE219" s="20">
        <f>IF(UPPER(TRIM(C219))="RX",1,0)</f>
        <v/>
      </c>
      <c r="BF219" s="22">
        <f>IFERROR((Parameters!$C$6*AM219+Parameters!$C$7*MAX(AM219-(-150),0)+Parameters!$C$8*MAX(AM219-(-50),0)+Parameters!$C$9*MAX(AM219-(0),0)+Parameters!$C$10*MAX(AM219-(50),0)+Parameters!$C$11*MAX(AM219-(100),0)+Parameters!$C$12*MAX(AM219-(150),0)+Parameters!$C$13*MAX(AM219-(250),0)),0)</f>
        <v/>
      </c>
      <c r="BG219" s="22">
        <f>IFERROR((Parameters!$C$14*AA219+Parameters!$C$15*MAX(AA219-(12),0)+Parameters!$C$16*MAX(AA219-(36),0)+Parameters!$C$17*MAX(AA219-(60),0)+Parameters!$C$18*MAX(AA219-(84),0)+Parameters!$C$19*MAX(AA219-(120),0)+Parameters!$C$20*MAX(AA219-(180),0)),0)</f>
        <v/>
      </c>
      <c r="BH219" s="22">
        <f>IFERROR((Parameters!$C$21*AK219+Parameters!$C$22*MAX(AK219-(0),0)+Parameters!$C$23*MAX(AK219-(2),0)+Parameters!$C$24*MAX(AK219-(5),0)+Parameters!$C$25*MAX(AK219-(8),0)),0)</f>
        <v/>
      </c>
      <c r="BI219" s="22">
        <f>IFERROR((Parameters!$C$26*AI219+Parameters!$C$27*MAX(AI219-(-100),0)+Parameters!$C$28*MAX(AI219-(-25),0)+Parameters!$C$29*MAX(AI219-(25),0)+Parameters!$C$30*MAX(AI219-(100),0)),0)</f>
        <v/>
      </c>
      <c r="BJ219" s="22">
        <f>IFERROR((Parameters!$C$31*AN219+Parameters!$C$32*MAX(AN219-(2),0)+Parameters!$C$33*MAX(AN219-(10),0)+Parameters!$C$34*MAX(AN219-(25),0)),0)</f>
        <v/>
      </c>
      <c r="BK219" s="22">
        <f>IFERROR((Parameters!$C$35*AB219+Parameters!$C$36*MAX(AB219-(12),0)+Parameters!$C$37*MAX(AB219-(24),0)+Parameters!$C$38*MAX(AB219-(60),0)),0)</f>
        <v/>
      </c>
      <c r="BL219" s="22">
        <f>IFERROR((Parameters!$C$39*AC219+Parameters!$C$40*MAX(AC219-(6),0)+Parameters!$C$41*MAX(AC219-(12),0)+Parameters!$C$42*MAX(AC219-(24),0)),0)</f>
        <v/>
      </c>
      <c r="BM219" s="22">
        <f>IFERROR(Parameters!$C$43*(MAX(AM219,0)*MIN(MAX(AK219,0),10))/100,0)</f>
        <v/>
      </c>
      <c r="BN219" s="22">
        <f>Parameters!$C$44*AE219</f>
        <v/>
      </c>
      <c r="BO219" s="22">
        <f>Parameters!$C$45*AU219 + Parameters!$C$46*AV219 + Parameters!$C$47*AW219 + Parameters!$C$48*AX219 + Parameters!$C$49*AY219 + Parameters!$C$50*AZ219 + Parameters!$C$51*BA219</f>
        <v/>
      </c>
      <c r="BP219" s="22">
        <f>Parameters!$C$52*AQ219</f>
        <v/>
      </c>
      <c r="BQ219" s="22">
        <f>Parameters!$C$53*AR219+Parameters!$C$54*AS219+Parameters!$C$55*AT219</f>
        <v/>
      </c>
      <c r="BR219" s="22">
        <f>Parameters!$C$56*BB219+Parameters!$C$57*BC219+Parameters!$C$58*BD219+Parameters!$C$59*BE219</f>
        <v/>
      </c>
      <c r="BS219" s="23">
        <f>Parameters!$B$2</f>
        <v/>
      </c>
      <c r="BT219" s="23">
        <f>BS219+BF219 + BG219 + BH219 + BI219 + BJ219 + BK219 + BL219 + BM219 + BN219 + BO219 + BP219 + BQ219 + BR219</f>
        <v/>
      </c>
      <c r="BU219" s="24">
        <f>IF(AD219=1,0,1/(1+EXP(-BT219))*Parameters!$B$3)</f>
        <v/>
      </c>
      <c r="BV219" s="25">
        <f>(1-(1-BU219)^12)*100</f>
        <v/>
      </c>
      <c r="BW219" s="25">
        <f>IF(AD219=1,0,(1-(1-1/(1+EXP(-Parameters!$B$2)))^12)*100)</f>
        <v/>
      </c>
      <c r="BX219" s="25">
        <f>IF(AD219=1,0,BV219-(1-(1-(1/(1+EXP(-(BT219-BF219)))*Parameters!$B$3))^12)*100)</f>
        <v/>
      </c>
      <c r="BY219" s="25">
        <f>IF(AD219=1,0,BV219-(1-(1-(1/(1+EXP(-(BT219-BG219)))*Parameters!$B$3))^12)*100)</f>
        <v/>
      </c>
      <c r="BZ219" s="25">
        <f>IF(AD219=1,0,BV219-(1-(1-(1/(1+EXP(-(BT219-BH219)))*Parameters!$B$3))^12)*100)</f>
        <v/>
      </c>
      <c r="CA219" s="25">
        <f>IF(AD219=1,0,BV219-(1-(1-(1/(1+EXP(-(BT219-BI219)))*Parameters!$B$3))^12)*100)</f>
        <v/>
      </c>
      <c r="CB219" s="25">
        <f>IF(AD219=1,0,BV219-(1-(1-(1/(1+EXP(-(BT219-BJ219)))*Parameters!$B$3))^12)*100)</f>
        <v/>
      </c>
      <c r="CC219" s="25">
        <f>IF(AD219=1,0,BV219-(1-(1-(1/(1+EXP(-(BT219-BK219)))*Parameters!$B$3))^12)*100)</f>
        <v/>
      </c>
      <c r="CD219" s="25">
        <f>IF(AD219=1,0,BV219-(1-(1-(1/(1+EXP(-(BT219-BL219)))*Parameters!$B$3))^12)*100)</f>
        <v/>
      </c>
      <c r="CE219" s="25">
        <f>IF(AD219=1,0,BV219-(1-(1-(1/(1+EXP(-(BT219-BM219)))*Parameters!$B$3))^12)*100)</f>
        <v/>
      </c>
      <c r="CF219" s="25">
        <f>IF(AD219=1,0,BV219-(1-(1-(1/(1+EXP(-(BT219-BN219)))*Parameters!$B$3))^12)*100)</f>
        <v/>
      </c>
      <c r="CG219" s="25">
        <f>IF(AD219=1,0,BV219-(1-(1-(1/(1+EXP(-(BT219-BO219)))*Parameters!$B$3))^12)*100)</f>
        <v/>
      </c>
      <c r="CH219" s="25">
        <f>IF(AD219=1,0,BV219-(1-(1-(1/(1+EXP(-(BT219-BP219)))*Parameters!$B$3))^12)*100)</f>
        <v/>
      </c>
      <c r="CI219" s="25">
        <f>IF(AD219=1,0,BV219-(1-(1-(1/(1+EXP(-(BT219-BQ219)))*Parameters!$B$3))^12)*100)</f>
        <v/>
      </c>
      <c r="CJ219" s="25">
        <f>IF(AD219=1,0,BV219-(1-(1-(1/(1+EXP(-(BT219-BR219)))*Parameters!$B$3))^12)*100)</f>
        <v/>
      </c>
    </row>
    <row r="220">
      <c r="A220" s="17" t="inlineStr">
        <is>
          <t>GNR_DIVERSE</t>
        </is>
      </c>
      <c r="B220" s="17" t="inlineStr">
        <is>
          <t>3617FQGH1</t>
        </is>
      </c>
      <c r="C220" s="17" t="inlineStr">
        <is>
          <t>PN</t>
        </is>
      </c>
      <c r="D220" s="17" t="inlineStr">
        <is>
          <t>DWIGHT CAPITAL LLC</t>
        </is>
      </c>
      <c r="E220" s="17" t="inlineStr">
        <is>
          <t>3617FQGH1_000000006611288</t>
        </is>
      </c>
      <c r="F220" s="17" t="n">
        <v>202603</v>
      </c>
      <c r="G220" s="18" t="n">
        <v>5.97</v>
      </c>
      <c r="H220" s="19" t="n">
        <v>10985959.89</v>
      </c>
      <c r="I220" s="17" t="n">
        <v>420</v>
      </c>
      <c r="J220" s="17" t="n">
        <v>20221201</v>
      </c>
      <c r="K220" s="17" t="n">
        <v>20580101</v>
      </c>
      <c r="L220" s="17" t="n"/>
      <c r="M220" s="17" t="n">
        <v>20330201</v>
      </c>
      <c r="N220" s="17" t="n">
        <v>10</v>
      </c>
      <c r="O220" s="17" t="inlineStr">
        <is>
          <t>207/223(F)</t>
        </is>
      </c>
      <c r="P220" s="17" t="inlineStr">
        <is>
          <t>MKT</t>
        </is>
      </c>
      <c r="Q220" s="17" t="n"/>
      <c r="R220" s="17" t="n"/>
      <c r="S220" s="17" t="n"/>
      <c r="T220" s="17" t="inlineStr">
        <is>
          <t>FL</t>
        </is>
      </c>
      <c r="U220" s="17" t="n">
        <v>54</v>
      </c>
      <c r="V220" s="17" t="n">
        <v>490.5</v>
      </c>
      <c r="W220" s="17" t="n">
        <v>39</v>
      </c>
      <c r="X220" s="17" t="n">
        <v>2022</v>
      </c>
      <c r="Y220" s="17" t="n">
        <v>222</v>
      </c>
      <c r="Z220" s="17" t="n">
        <v>8</v>
      </c>
      <c r="AA220" s="20">
        <f>IF(ISNUMBER(W220),W220,IFERROR(MAX(0,(VALUE(LEFT(F220,4))-VALUE(LEFT(TEXT(J220,"00000000"),4)))*12+(VALUE(MID(F220,5,2))-VALUE(MID(TEXT(J220,"00000000"),5,2)))),""))</f>
        <v/>
      </c>
      <c r="AB220" s="20">
        <f>IFERROR((VALUE(LEFT(TEXT(K220,"00000000"),4))-VALUE(LEFT(F220,4)))*12+(VALUE(MID(TEXT(K220,"00000000"),5,2))-VALUE(MID(F220,5,2))),"")</f>
        <v/>
      </c>
      <c r="AC220" s="20">
        <f>IF(OR(L220="",NOT(ISNUMBER(L220))),0,MAX(0,MIN(60,(VALUE(LEFT(F220,4))-VALUE(LEFT(TEXT(L220,"00000000"),4)))*12+(VALUE(MID(F220,5,2))-VALUE(MID(TEXT(L220,"00000000"),5,2))))))</f>
        <v/>
      </c>
      <c r="AD220" s="20">
        <f>IF(OR(L220="",NOT(ISNUMBER(L220))),0,IF(VALUE(F220)&lt;VALUE(LEFT(TEXT(L220,"00000000"),6)),1,0))</f>
        <v/>
      </c>
      <c r="AE220" s="20">
        <f>IF(OR(M220="",NOT(ISNUMBER(M220))),0,IF(VALUE(F220)&lt;VALUE(LEFT(TEXT(M220,"00000000"),6)),1,0))</f>
        <v/>
      </c>
      <c r="AF220" s="20">
        <f>IF(AND(AD220=0,AE220=0),1,0)</f>
        <v/>
      </c>
      <c r="AG220" s="20">
        <f>IF(ISNUMBER(X220),X220,IFERROR(VALUE(LEFT(TEXT(J220,"00000000"),4)),""))</f>
        <v/>
      </c>
      <c r="AH220" s="20">
        <f>IFERROR(XLOOKUP(AG220,Vintage_Rates!$A$2:$A$1000,Vintage_Rates!$B$2:$B$1000,""),"")</f>
        <v/>
      </c>
      <c r="AI220" s="20">
        <f>IF(ISNUMBER(Y220),Y220,IFERROR((G220-AH220)*100,""))</f>
        <v/>
      </c>
      <c r="AJ220" s="20">
        <f>IF(ISNUMBER(V220),V220,IFERROR(XLOOKUP(VALUE(F220),PLC_Rates!$A$2:$A$1000,PLC_Rates!$B$2:$B$1000,""),""))</f>
        <v/>
      </c>
      <c r="AK220" s="20">
        <f>IF(ISNUMBER(Z220),Z220,IF(AE220=0,0,MAX(0,MIN(10,((VALUE(LEFT(TEXT(M220,"00000000"),4))-VALUE(LEFT(F220,4)))*12+(VALUE(MID(TEXT(M220,"00000000"),5,2))-VALUE(MID(F220,5,2))))/12))))</f>
        <v/>
      </c>
      <c r="AL220" s="20">
        <f>IFERROR(G220*100-AJ220,"")</f>
        <v/>
      </c>
      <c r="AM220" s="20">
        <f>IFERROR(G220*100-(AJ220+(1+AK220)*12.5),"")</f>
        <v/>
      </c>
      <c r="AN220" s="21">
        <f>IFERROR(MIN(H220/1000000,100),"")</f>
        <v/>
      </c>
      <c r="AO220" s="20">
        <f>IFERROR(INDEX(FHA_Lookup!$B$2:$B$11,MATCH(TRUE,ISNUMBER(SEARCH(FHA_Lookup!$A$2:$A$11,UPPER(SUBSTITUTE(O220," ","")))),0)),"OTHER")</f>
        <v/>
      </c>
      <c r="AP220" s="20">
        <f>IFERROR(INDEX(FHA_Lookup!$C$2:$C$11,MATCH(TRUE,ISNUMBER(SEARCH(FHA_Lookup!$A$2:$A$11,UPPER(SUBSTITUTE(O220," ","")))),0)),"OTHER")</f>
        <v/>
      </c>
      <c r="AQ220" s="20">
        <f>IF(AP220="NC",1,0)</f>
        <v/>
      </c>
      <c r="AR220" s="20">
        <f>IF(UPPER(TRIM(P220))="AFF",1,0)</f>
        <v/>
      </c>
      <c r="AS220" s="20">
        <f>IF(UPPER(TRIM(P220))="BAF",1,0)</f>
        <v/>
      </c>
      <c r="AT220" s="20">
        <f>IF(UPPER(TRIM(P220))="MKT",1,0)</f>
        <v/>
      </c>
      <c r="AU220" s="20">
        <f>IF(AO220="221d4",1,0)</f>
        <v/>
      </c>
      <c r="AV220" s="20">
        <f>IF(AO220="223a7",1,0)</f>
        <v/>
      </c>
      <c r="AW220" s="20">
        <f>IF(AO220="232",1,0)</f>
        <v/>
      </c>
      <c r="AX220" s="20">
        <f>IF(AO220="538",1,0)</f>
        <v/>
      </c>
      <c r="AY220" s="20">
        <f>IF(AO220="241",1,0)</f>
        <v/>
      </c>
      <c r="AZ220" s="20">
        <f>IF(AO220="220",1,0)</f>
        <v/>
      </c>
      <c r="BA220" s="20">
        <f>IF(AO220="OTHER",1,0)</f>
        <v/>
      </c>
      <c r="BB220" s="20">
        <f>IF(UPPER(TRIM(C220))="LM",1,0)</f>
        <v/>
      </c>
      <c r="BC220" s="20">
        <f>IF(UPPER(TRIM(C220))="PN",1,0)</f>
        <v/>
      </c>
      <c r="BD220" s="20">
        <f>IF(UPPER(TRIM(C220))="LS",1,0)</f>
        <v/>
      </c>
      <c r="BE220" s="20">
        <f>IF(UPPER(TRIM(C220))="RX",1,0)</f>
        <v/>
      </c>
      <c r="BF220" s="22">
        <f>IFERROR((Parameters!$C$6*AM220+Parameters!$C$7*MAX(AM220-(-150),0)+Parameters!$C$8*MAX(AM220-(-50),0)+Parameters!$C$9*MAX(AM220-(0),0)+Parameters!$C$10*MAX(AM220-(50),0)+Parameters!$C$11*MAX(AM220-(100),0)+Parameters!$C$12*MAX(AM220-(150),0)+Parameters!$C$13*MAX(AM220-(250),0)),0)</f>
        <v/>
      </c>
      <c r="BG220" s="22">
        <f>IFERROR((Parameters!$C$14*AA220+Parameters!$C$15*MAX(AA220-(12),0)+Parameters!$C$16*MAX(AA220-(36),0)+Parameters!$C$17*MAX(AA220-(60),0)+Parameters!$C$18*MAX(AA220-(84),0)+Parameters!$C$19*MAX(AA220-(120),0)+Parameters!$C$20*MAX(AA220-(180),0)),0)</f>
        <v/>
      </c>
      <c r="BH220" s="22">
        <f>IFERROR((Parameters!$C$21*AK220+Parameters!$C$22*MAX(AK220-(0),0)+Parameters!$C$23*MAX(AK220-(2),0)+Parameters!$C$24*MAX(AK220-(5),0)+Parameters!$C$25*MAX(AK220-(8),0)),0)</f>
        <v/>
      </c>
      <c r="BI220" s="22">
        <f>IFERROR((Parameters!$C$26*AI220+Parameters!$C$27*MAX(AI220-(-100),0)+Parameters!$C$28*MAX(AI220-(-25),0)+Parameters!$C$29*MAX(AI220-(25),0)+Parameters!$C$30*MAX(AI220-(100),0)),0)</f>
        <v/>
      </c>
      <c r="BJ220" s="22">
        <f>IFERROR((Parameters!$C$31*AN220+Parameters!$C$32*MAX(AN220-(2),0)+Parameters!$C$33*MAX(AN220-(10),0)+Parameters!$C$34*MAX(AN220-(25),0)),0)</f>
        <v/>
      </c>
      <c r="BK220" s="22">
        <f>IFERROR((Parameters!$C$35*AB220+Parameters!$C$36*MAX(AB220-(12),0)+Parameters!$C$37*MAX(AB220-(24),0)+Parameters!$C$38*MAX(AB220-(60),0)),0)</f>
        <v/>
      </c>
      <c r="BL220" s="22">
        <f>IFERROR((Parameters!$C$39*AC220+Parameters!$C$40*MAX(AC220-(6),0)+Parameters!$C$41*MAX(AC220-(12),0)+Parameters!$C$42*MAX(AC220-(24),0)),0)</f>
        <v/>
      </c>
      <c r="BM220" s="22">
        <f>IFERROR(Parameters!$C$43*(MAX(AM220,0)*MIN(MAX(AK220,0),10))/100,0)</f>
        <v/>
      </c>
      <c r="BN220" s="22">
        <f>Parameters!$C$44*AE220</f>
        <v/>
      </c>
      <c r="BO220" s="22">
        <f>Parameters!$C$45*AU220 + Parameters!$C$46*AV220 + Parameters!$C$47*AW220 + Parameters!$C$48*AX220 + Parameters!$C$49*AY220 + Parameters!$C$50*AZ220 + Parameters!$C$51*BA220</f>
        <v/>
      </c>
      <c r="BP220" s="22">
        <f>Parameters!$C$52*AQ220</f>
        <v/>
      </c>
      <c r="BQ220" s="22">
        <f>Parameters!$C$53*AR220+Parameters!$C$54*AS220+Parameters!$C$55*AT220</f>
        <v/>
      </c>
      <c r="BR220" s="22">
        <f>Parameters!$C$56*BB220+Parameters!$C$57*BC220+Parameters!$C$58*BD220+Parameters!$C$59*BE220</f>
        <v/>
      </c>
      <c r="BS220" s="23">
        <f>Parameters!$B$2</f>
        <v/>
      </c>
      <c r="BT220" s="23">
        <f>BS220+BF220 + BG220 + BH220 + BI220 + BJ220 + BK220 + BL220 + BM220 + BN220 + BO220 + BP220 + BQ220 + BR220</f>
        <v/>
      </c>
      <c r="BU220" s="24">
        <f>IF(AD220=1,0,1/(1+EXP(-BT220))*Parameters!$B$3)</f>
        <v/>
      </c>
      <c r="BV220" s="25">
        <f>(1-(1-BU220)^12)*100</f>
        <v/>
      </c>
      <c r="BW220" s="25">
        <f>IF(AD220=1,0,(1-(1-1/(1+EXP(-Parameters!$B$2)))^12)*100)</f>
        <v/>
      </c>
      <c r="BX220" s="25">
        <f>IF(AD220=1,0,BV220-(1-(1-(1/(1+EXP(-(BT220-BF220)))*Parameters!$B$3))^12)*100)</f>
        <v/>
      </c>
      <c r="BY220" s="25">
        <f>IF(AD220=1,0,BV220-(1-(1-(1/(1+EXP(-(BT220-BG220)))*Parameters!$B$3))^12)*100)</f>
        <v/>
      </c>
      <c r="BZ220" s="25">
        <f>IF(AD220=1,0,BV220-(1-(1-(1/(1+EXP(-(BT220-BH220)))*Parameters!$B$3))^12)*100)</f>
        <v/>
      </c>
      <c r="CA220" s="25">
        <f>IF(AD220=1,0,BV220-(1-(1-(1/(1+EXP(-(BT220-BI220)))*Parameters!$B$3))^12)*100)</f>
        <v/>
      </c>
      <c r="CB220" s="25">
        <f>IF(AD220=1,0,BV220-(1-(1-(1/(1+EXP(-(BT220-BJ220)))*Parameters!$B$3))^12)*100)</f>
        <v/>
      </c>
      <c r="CC220" s="25">
        <f>IF(AD220=1,0,BV220-(1-(1-(1/(1+EXP(-(BT220-BK220)))*Parameters!$B$3))^12)*100)</f>
        <v/>
      </c>
      <c r="CD220" s="25">
        <f>IF(AD220=1,0,BV220-(1-(1-(1/(1+EXP(-(BT220-BL220)))*Parameters!$B$3))^12)*100)</f>
        <v/>
      </c>
      <c r="CE220" s="25">
        <f>IF(AD220=1,0,BV220-(1-(1-(1/(1+EXP(-(BT220-BM220)))*Parameters!$B$3))^12)*100)</f>
        <v/>
      </c>
      <c r="CF220" s="25">
        <f>IF(AD220=1,0,BV220-(1-(1-(1/(1+EXP(-(BT220-BN220)))*Parameters!$B$3))^12)*100)</f>
        <v/>
      </c>
      <c r="CG220" s="25">
        <f>IF(AD220=1,0,BV220-(1-(1-(1/(1+EXP(-(BT220-BO220)))*Parameters!$B$3))^12)*100)</f>
        <v/>
      </c>
      <c r="CH220" s="25">
        <f>IF(AD220=1,0,BV220-(1-(1-(1/(1+EXP(-(BT220-BP220)))*Parameters!$B$3))^12)*100)</f>
        <v/>
      </c>
      <c r="CI220" s="25">
        <f>IF(AD220=1,0,BV220-(1-(1-(1/(1+EXP(-(BT220-BQ220)))*Parameters!$B$3))^12)*100)</f>
        <v/>
      </c>
      <c r="CJ220" s="25">
        <f>IF(AD220=1,0,BV220-(1-(1-(1/(1+EXP(-(BT220-BR220)))*Parameters!$B$3))^12)*100)</f>
        <v/>
      </c>
    </row>
    <row r="221">
      <c r="A221" s="17" t="inlineStr">
        <is>
          <t>GNR_DIVERSE</t>
        </is>
      </c>
      <c r="B221" s="17" t="inlineStr">
        <is>
          <t>3617J9YC6</t>
        </is>
      </c>
      <c r="C221" s="17" t="inlineStr">
        <is>
          <t>PN</t>
        </is>
      </c>
      <c r="D221" s="17" t="inlineStr">
        <is>
          <t>AGM FINANCIAL SERVICES, INC.</t>
        </is>
      </c>
      <c r="E221" s="17" t="inlineStr">
        <is>
          <t>3617J9YC6_000000011411474</t>
        </is>
      </c>
      <c r="F221" s="17" t="n">
        <v>202603</v>
      </c>
      <c r="G221" s="18" t="n">
        <v>4.25</v>
      </c>
      <c r="H221" s="19" t="n">
        <v>4167554.45</v>
      </c>
      <c r="I221" s="17" t="n">
        <v>420</v>
      </c>
      <c r="J221" s="17" t="n">
        <v>20190306</v>
      </c>
      <c r="K221" s="17" t="n">
        <v>20540401</v>
      </c>
      <c r="L221" s="17" t="n"/>
      <c r="M221" s="17" t="n">
        <v>20290501</v>
      </c>
      <c r="N221" s="17" t="n">
        <v>10</v>
      </c>
      <c r="O221" s="17" t="inlineStr">
        <is>
          <t>207 PURSUANT 223(F)</t>
        </is>
      </c>
      <c r="P221" s="17" t="inlineStr">
        <is>
          <t>AFF</t>
        </is>
      </c>
      <c r="Q221" s="17" t="n"/>
      <c r="R221" s="17" t="n"/>
      <c r="S221" s="17" t="n"/>
      <c r="T221" s="17" t="inlineStr">
        <is>
          <t>TX</t>
        </is>
      </c>
      <c r="U221" s="17" t="n">
        <v>88</v>
      </c>
      <c r="V221" s="17" t="n">
        <v>490.5</v>
      </c>
      <c r="W221" s="17" t="n">
        <v>84</v>
      </c>
      <c r="X221" s="17" t="n">
        <v>2019</v>
      </c>
      <c r="Y221" s="17" t="n">
        <v>58</v>
      </c>
      <c r="Z221" s="17" t="n">
        <v>4</v>
      </c>
      <c r="AA221" s="20">
        <f>IF(ISNUMBER(W221),W221,IFERROR(MAX(0,(VALUE(LEFT(F221,4))-VALUE(LEFT(TEXT(J221,"00000000"),4)))*12+(VALUE(MID(F221,5,2))-VALUE(MID(TEXT(J221,"00000000"),5,2)))),""))</f>
        <v/>
      </c>
      <c r="AB221" s="20">
        <f>IFERROR((VALUE(LEFT(TEXT(K221,"00000000"),4))-VALUE(LEFT(F221,4)))*12+(VALUE(MID(TEXT(K221,"00000000"),5,2))-VALUE(MID(F221,5,2))),"")</f>
        <v/>
      </c>
      <c r="AC221" s="20">
        <f>IF(OR(L221="",NOT(ISNUMBER(L221))),0,MAX(0,MIN(60,(VALUE(LEFT(F221,4))-VALUE(LEFT(TEXT(L221,"00000000"),4)))*12+(VALUE(MID(F221,5,2))-VALUE(MID(TEXT(L221,"00000000"),5,2))))))</f>
        <v/>
      </c>
      <c r="AD221" s="20">
        <f>IF(OR(L221="",NOT(ISNUMBER(L221))),0,IF(VALUE(F221)&lt;VALUE(LEFT(TEXT(L221,"00000000"),6)),1,0))</f>
        <v/>
      </c>
      <c r="AE221" s="20">
        <f>IF(OR(M221="",NOT(ISNUMBER(M221))),0,IF(VALUE(F221)&lt;VALUE(LEFT(TEXT(M221,"00000000"),6)),1,0))</f>
        <v/>
      </c>
      <c r="AF221" s="20">
        <f>IF(AND(AD221=0,AE221=0),1,0)</f>
        <v/>
      </c>
      <c r="AG221" s="20">
        <f>IF(ISNUMBER(X221),X221,IFERROR(VALUE(LEFT(TEXT(J221,"00000000"),4)),""))</f>
        <v/>
      </c>
      <c r="AH221" s="20">
        <f>IFERROR(XLOOKUP(AG221,Vintage_Rates!$A$2:$A$1000,Vintage_Rates!$B$2:$B$1000,""),"")</f>
        <v/>
      </c>
      <c r="AI221" s="20">
        <f>IF(ISNUMBER(Y221),Y221,IFERROR((G221-AH221)*100,""))</f>
        <v/>
      </c>
      <c r="AJ221" s="20">
        <f>IF(ISNUMBER(V221),V221,IFERROR(XLOOKUP(VALUE(F221),PLC_Rates!$A$2:$A$1000,PLC_Rates!$B$2:$B$1000,""),""))</f>
        <v/>
      </c>
      <c r="AK221" s="20">
        <f>IF(ISNUMBER(Z221),Z221,IF(AE221=0,0,MAX(0,MIN(10,((VALUE(LEFT(TEXT(M221,"00000000"),4))-VALUE(LEFT(F221,4)))*12+(VALUE(MID(TEXT(M221,"00000000"),5,2))-VALUE(MID(F221,5,2))))/12))))</f>
        <v/>
      </c>
      <c r="AL221" s="20">
        <f>IFERROR(G221*100-AJ221,"")</f>
        <v/>
      </c>
      <c r="AM221" s="20">
        <f>IFERROR(G221*100-(AJ221+(1+AK221)*12.5),"")</f>
        <v/>
      </c>
      <c r="AN221" s="21">
        <f>IFERROR(MIN(H221/1000000,100),"")</f>
        <v/>
      </c>
      <c r="AO221" s="20">
        <f>IFERROR(INDEX(FHA_Lookup!$B$2:$B$11,MATCH(TRUE,ISNUMBER(SEARCH(FHA_Lookup!$A$2:$A$11,UPPER(SUBSTITUTE(O221," ","")))),0)),"OTHER")</f>
        <v/>
      </c>
      <c r="AP221" s="20">
        <f>IFERROR(INDEX(FHA_Lookup!$C$2:$C$11,MATCH(TRUE,ISNUMBER(SEARCH(FHA_Lookup!$A$2:$A$11,UPPER(SUBSTITUTE(O221," ","")))),0)),"OTHER")</f>
        <v/>
      </c>
      <c r="AQ221" s="20">
        <f>IF(AP221="NC",1,0)</f>
        <v/>
      </c>
      <c r="AR221" s="20">
        <f>IF(UPPER(TRIM(P221))="AFF",1,0)</f>
        <v/>
      </c>
      <c r="AS221" s="20">
        <f>IF(UPPER(TRIM(P221))="BAF",1,0)</f>
        <v/>
      </c>
      <c r="AT221" s="20">
        <f>IF(UPPER(TRIM(P221))="MKT",1,0)</f>
        <v/>
      </c>
      <c r="AU221" s="20">
        <f>IF(AO221="221d4",1,0)</f>
        <v/>
      </c>
      <c r="AV221" s="20">
        <f>IF(AO221="223a7",1,0)</f>
        <v/>
      </c>
      <c r="AW221" s="20">
        <f>IF(AO221="232",1,0)</f>
        <v/>
      </c>
      <c r="AX221" s="20">
        <f>IF(AO221="538",1,0)</f>
        <v/>
      </c>
      <c r="AY221" s="20">
        <f>IF(AO221="241",1,0)</f>
        <v/>
      </c>
      <c r="AZ221" s="20">
        <f>IF(AO221="220",1,0)</f>
        <v/>
      </c>
      <c r="BA221" s="20">
        <f>IF(AO221="OTHER",1,0)</f>
        <v/>
      </c>
      <c r="BB221" s="20">
        <f>IF(UPPER(TRIM(C221))="LM",1,0)</f>
        <v/>
      </c>
      <c r="BC221" s="20">
        <f>IF(UPPER(TRIM(C221))="PN",1,0)</f>
        <v/>
      </c>
      <c r="BD221" s="20">
        <f>IF(UPPER(TRIM(C221))="LS",1,0)</f>
        <v/>
      </c>
      <c r="BE221" s="20">
        <f>IF(UPPER(TRIM(C221))="RX",1,0)</f>
        <v/>
      </c>
      <c r="BF221" s="22">
        <f>IFERROR((Parameters!$C$6*AM221+Parameters!$C$7*MAX(AM221-(-150),0)+Parameters!$C$8*MAX(AM221-(-50),0)+Parameters!$C$9*MAX(AM221-(0),0)+Parameters!$C$10*MAX(AM221-(50),0)+Parameters!$C$11*MAX(AM221-(100),0)+Parameters!$C$12*MAX(AM221-(150),0)+Parameters!$C$13*MAX(AM221-(250),0)),0)</f>
        <v/>
      </c>
      <c r="BG221" s="22">
        <f>IFERROR((Parameters!$C$14*AA221+Parameters!$C$15*MAX(AA221-(12),0)+Parameters!$C$16*MAX(AA221-(36),0)+Parameters!$C$17*MAX(AA221-(60),0)+Parameters!$C$18*MAX(AA221-(84),0)+Parameters!$C$19*MAX(AA221-(120),0)+Parameters!$C$20*MAX(AA221-(180),0)),0)</f>
        <v/>
      </c>
      <c r="BH221" s="22">
        <f>IFERROR((Parameters!$C$21*AK221+Parameters!$C$22*MAX(AK221-(0),0)+Parameters!$C$23*MAX(AK221-(2),0)+Parameters!$C$24*MAX(AK221-(5),0)+Parameters!$C$25*MAX(AK221-(8),0)),0)</f>
        <v/>
      </c>
      <c r="BI221" s="22">
        <f>IFERROR((Parameters!$C$26*AI221+Parameters!$C$27*MAX(AI221-(-100),0)+Parameters!$C$28*MAX(AI221-(-25),0)+Parameters!$C$29*MAX(AI221-(25),0)+Parameters!$C$30*MAX(AI221-(100),0)),0)</f>
        <v/>
      </c>
      <c r="BJ221" s="22">
        <f>IFERROR((Parameters!$C$31*AN221+Parameters!$C$32*MAX(AN221-(2),0)+Parameters!$C$33*MAX(AN221-(10),0)+Parameters!$C$34*MAX(AN221-(25),0)),0)</f>
        <v/>
      </c>
      <c r="BK221" s="22">
        <f>IFERROR((Parameters!$C$35*AB221+Parameters!$C$36*MAX(AB221-(12),0)+Parameters!$C$37*MAX(AB221-(24),0)+Parameters!$C$38*MAX(AB221-(60),0)),0)</f>
        <v/>
      </c>
      <c r="BL221" s="22">
        <f>IFERROR((Parameters!$C$39*AC221+Parameters!$C$40*MAX(AC221-(6),0)+Parameters!$C$41*MAX(AC221-(12),0)+Parameters!$C$42*MAX(AC221-(24),0)),0)</f>
        <v/>
      </c>
      <c r="BM221" s="22">
        <f>IFERROR(Parameters!$C$43*(MAX(AM221,0)*MIN(MAX(AK221,0),10))/100,0)</f>
        <v/>
      </c>
      <c r="BN221" s="22">
        <f>Parameters!$C$44*AE221</f>
        <v/>
      </c>
      <c r="BO221" s="22">
        <f>Parameters!$C$45*AU221 + Parameters!$C$46*AV221 + Parameters!$C$47*AW221 + Parameters!$C$48*AX221 + Parameters!$C$49*AY221 + Parameters!$C$50*AZ221 + Parameters!$C$51*BA221</f>
        <v/>
      </c>
      <c r="BP221" s="22">
        <f>Parameters!$C$52*AQ221</f>
        <v/>
      </c>
      <c r="BQ221" s="22">
        <f>Parameters!$C$53*AR221+Parameters!$C$54*AS221+Parameters!$C$55*AT221</f>
        <v/>
      </c>
      <c r="BR221" s="22">
        <f>Parameters!$C$56*BB221+Parameters!$C$57*BC221+Parameters!$C$58*BD221+Parameters!$C$59*BE221</f>
        <v/>
      </c>
      <c r="BS221" s="23">
        <f>Parameters!$B$2</f>
        <v/>
      </c>
      <c r="BT221" s="23">
        <f>BS221+BF221 + BG221 + BH221 + BI221 + BJ221 + BK221 + BL221 + BM221 + BN221 + BO221 + BP221 + BQ221 + BR221</f>
        <v/>
      </c>
      <c r="BU221" s="24">
        <f>IF(AD221=1,0,1/(1+EXP(-BT221))*Parameters!$B$3)</f>
        <v/>
      </c>
      <c r="BV221" s="25">
        <f>(1-(1-BU221)^12)*100</f>
        <v/>
      </c>
      <c r="BW221" s="25">
        <f>IF(AD221=1,0,(1-(1-1/(1+EXP(-Parameters!$B$2)))^12)*100)</f>
        <v/>
      </c>
      <c r="BX221" s="25">
        <f>IF(AD221=1,0,BV221-(1-(1-(1/(1+EXP(-(BT221-BF221)))*Parameters!$B$3))^12)*100)</f>
        <v/>
      </c>
      <c r="BY221" s="25">
        <f>IF(AD221=1,0,BV221-(1-(1-(1/(1+EXP(-(BT221-BG221)))*Parameters!$B$3))^12)*100)</f>
        <v/>
      </c>
      <c r="BZ221" s="25">
        <f>IF(AD221=1,0,BV221-(1-(1-(1/(1+EXP(-(BT221-BH221)))*Parameters!$B$3))^12)*100)</f>
        <v/>
      </c>
      <c r="CA221" s="25">
        <f>IF(AD221=1,0,BV221-(1-(1-(1/(1+EXP(-(BT221-BI221)))*Parameters!$B$3))^12)*100)</f>
        <v/>
      </c>
      <c r="CB221" s="25">
        <f>IF(AD221=1,0,BV221-(1-(1-(1/(1+EXP(-(BT221-BJ221)))*Parameters!$B$3))^12)*100)</f>
        <v/>
      </c>
      <c r="CC221" s="25">
        <f>IF(AD221=1,0,BV221-(1-(1-(1/(1+EXP(-(BT221-BK221)))*Parameters!$B$3))^12)*100)</f>
        <v/>
      </c>
      <c r="CD221" s="25">
        <f>IF(AD221=1,0,BV221-(1-(1-(1/(1+EXP(-(BT221-BL221)))*Parameters!$B$3))^12)*100)</f>
        <v/>
      </c>
      <c r="CE221" s="25">
        <f>IF(AD221=1,0,BV221-(1-(1-(1/(1+EXP(-(BT221-BM221)))*Parameters!$B$3))^12)*100)</f>
        <v/>
      </c>
      <c r="CF221" s="25">
        <f>IF(AD221=1,0,BV221-(1-(1-(1/(1+EXP(-(BT221-BN221)))*Parameters!$B$3))^12)*100)</f>
        <v/>
      </c>
      <c r="CG221" s="25">
        <f>IF(AD221=1,0,BV221-(1-(1-(1/(1+EXP(-(BT221-BO221)))*Parameters!$B$3))^12)*100)</f>
        <v/>
      </c>
      <c r="CH221" s="25">
        <f>IF(AD221=1,0,BV221-(1-(1-(1/(1+EXP(-(BT221-BP221)))*Parameters!$B$3))^12)*100)</f>
        <v/>
      </c>
      <c r="CI221" s="25">
        <f>IF(AD221=1,0,BV221-(1-(1-(1/(1+EXP(-(BT221-BQ221)))*Parameters!$B$3))^12)*100)</f>
        <v/>
      </c>
      <c r="CJ221" s="25">
        <f>IF(AD221=1,0,BV221-(1-(1-(1/(1+EXP(-(BT221-BR221)))*Parameters!$B$3))^12)*100)</f>
        <v/>
      </c>
    </row>
    <row r="222">
      <c r="A222" s="17" t="inlineStr">
        <is>
          <t>GNR_DIVERSE</t>
        </is>
      </c>
      <c r="B222" s="17" t="inlineStr">
        <is>
          <t>3617VBYY9</t>
        </is>
      </c>
      <c r="C222" s="17" t="inlineStr">
        <is>
          <t>PN</t>
        </is>
      </c>
      <c r="D222" s="17" t="inlineStr">
        <is>
          <t>CAPITAL ONE, N.A.</t>
        </is>
      </c>
      <c r="E222" s="17" t="inlineStr">
        <is>
          <t>3617VBYY9_000000005111497</t>
        </is>
      </c>
      <c r="F222" s="17" t="n">
        <v>202603</v>
      </c>
      <c r="G222" s="18" t="n">
        <v>2.31</v>
      </c>
      <c r="H222" s="19" t="n">
        <v>39470846.11</v>
      </c>
      <c r="I222" s="17" t="n">
        <v>420</v>
      </c>
      <c r="J222" s="17" t="n">
        <v>20211001</v>
      </c>
      <c r="K222" s="17" t="n">
        <v>20561101</v>
      </c>
      <c r="L222" s="17" t="n"/>
      <c r="M222" s="17" t="n">
        <v>20311201</v>
      </c>
      <c r="N222" s="17" t="n">
        <v>10</v>
      </c>
      <c r="O222" s="17" t="inlineStr">
        <is>
          <t>223(A)(7)/207/223(F)</t>
        </is>
      </c>
      <c r="P222" s="17" t="inlineStr">
        <is>
          <t>MKT</t>
        </is>
      </c>
      <c r="Q222" s="17" t="n"/>
      <c r="R222" s="17" t="n"/>
      <c r="S222" s="17" t="n"/>
      <c r="T222" s="17" t="inlineStr">
        <is>
          <t>VA</t>
        </is>
      </c>
      <c r="U222" s="17" t="n">
        <v>328</v>
      </c>
      <c r="V222" s="17" t="n">
        <v>490.5</v>
      </c>
      <c r="W222" s="17" t="n">
        <v>53</v>
      </c>
      <c r="X222" s="17" t="n">
        <v>2021</v>
      </c>
      <c r="Y222" s="17" t="n">
        <v>-27</v>
      </c>
      <c r="Z222" s="17" t="n">
        <v>6</v>
      </c>
      <c r="AA222" s="20">
        <f>IF(ISNUMBER(W222),W222,IFERROR(MAX(0,(VALUE(LEFT(F222,4))-VALUE(LEFT(TEXT(J222,"00000000"),4)))*12+(VALUE(MID(F222,5,2))-VALUE(MID(TEXT(J222,"00000000"),5,2)))),""))</f>
        <v/>
      </c>
      <c r="AB222" s="20">
        <f>IFERROR((VALUE(LEFT(TEXT(K222,"00000000"),4))-VALUE(LEFT(F222,4)))*12+(VALUE(MID(TEXT(K222,"00000000"),5,2))-VALUE(MID(F222,5,2))),"")</f>
        <v/>
      </c>
      <c r="AC222" s="20">
        <f>IF(OR(L222="",NOT(ISNUMBER(L222))),0,MAX(0,MIN(60,(VALUE(LEFT(F222,4))-VALUE(LEFT(TEXT(L222,"00000000"),4)))*12+(VALUE(MID(F222,5,2))-VALUE(MID(TEXT(L222,"00000000"),5,2))))))</f>
        <v/>
      </c>
      <c r="AD222" s="20">
        <f>IF(OR(L222="",NOT(ISNUMBER(L222))),0,IF(VALUE(F222)&lt;VALUE(LEFT(TEXT(L222,"00000000"),6)),1,0))</f>
        <v/>
      </c>
      <c r="AE222" s="20">
        <f>IF(OR(M222="",NOT(ISNUMBER(M222))),0,IF(VALUE(F222)&lt;VALUE(LEFT(TEXT(M222,"00000000"),6)),1,0))</f>
        <v/>
      </c>
      <c r="AF222" s="20">
        <f>IF(AND(AD222=0,AE222=0),1,0)</f>
        <v/>
      </c>
      <c r="AG222" s="20">
        <f>IF(ISNUMBER(X222),X222,IFERROR(VALUE(LEFT(TEXT(J222,"00000000"),4)),""))</f>
        <v/>
      </c>
      <c r="AH222" s="20">
        <f>IFERROR(XLOOKUP(AG222,Vintage_Rates!$A$2:$A$1000,Vintage_Rates!$B$2:$B$1000,""),"")</f>
        <v/>
      </c>
      <c r="AI222" s="20">
        <f>IF(ISNUMBER(Y222),Y222,IFERROR((G222-AH222)*100,""))</f>
        <v/>
      </c>
      <c r="AJ222" s="20">
        <f>IF(ISNUMBER(V222),V222,IFERROR(XLOOKUP(VALUE(F222),PLC_Rates!$A$2:$A$1000,PLC_Rates!$B$2:$B$1000,""),""))</f>
        <v/>
      </c>
      <c r="AK222" s="20">
        <f>IF(ISNUMBER(Z222),Z222,IF(AE222=0,0,MAX(0,MIN(10,((VALUE(LEFT(TEXT(M222,"00000000"),4))-VALUE(LEFT(F222,4)))*12+(VALUE(MID(TEXT(M222,"00000000"),5,2))-VALUE(MID(F222,5,2))))/12))))</f>
        <v/>
      </c>
      <c r="AL222" s="20">
        <f>IFERROR(G222*100-AJ222,"")</f>
        <v/>
      </c>
      <c r="AM222" s="20">
        <f>IFERROR(G222*100-(AJ222+(1+AK222)*12.5),"")</f>
        <v/>
      </c>
      <c r="AN222" s="21">
        <f>IFERROR(MIN(H222/1000000,100),"")</f>
        <v/>
      </c>
      <c r="AO222" s="20">
        <f>IFERROR(INDEX(FHA_Lookup!$B$2:$B$11,MATCH(TRUE,ISNUMBER(SEARCH(FHA_Lookup!$A$2:$A$11,UPPER(SUBSTITUTE(O222," ","")))),0)),"OTHER")</f>
        <v/>
      </c>
      <c r="AP222" s="20">
        <f>IFERROR(INDEX(FHA_Lookup!$C$2:$C$11,MATCH(TRUE,ISNUMBER(SEARCH(FHA_Lookup!$A$2:$A$11,UPPER(SUBSTITUTE(O222," ","")))),0)),"OTHER")</f>
        <v/>
      </c>
      <c r="AQ222" s="20">
        <f>IF(AP222="NC",1,0)</f>
        <v/>
      </c>
      <c r="AR222" s="20">
        <f>IF(UPPER(TRIM(P222))="AFF",1,0)</f>
        <v/>
      </c>
      <c r="AS222" s="20">
        <f>IF(UPPER(TRIM(P222))="BAF",1,0)</f>
        <v/>
      </c>
      <c r="AT222" s="20">
        <f>IF(UPPER(TRIM(P222))="MKT",1,0)</f>
        <v/>
      </c>
      <c r="AU222" s="20">
        <f>IF(AO222="221d4",1,0)</f>
        <v/>
      </c>
      <c r="AV222" s="20">
        <f>IF(AO222="223a7",1,0)</f>
        <v/>
      </c>
      <c r="AW222" s="20">
        <f>IF(AO222="232",1,0)</f>
        <v/>
      </c>
      <c r="AX222" s="20">
        <f>IF(AO222="538",1,0)</f>
        <v/>
      </c>
      <c r="AY222" s="20">
        <f>IF(AO222="241",1,0)</f>
        <v/>
      </c>
      <c r="AZ222" s="20">
        <f>IF(AO222="220",1,0)</f>
        <v/>
      </c>
      <c r="BA222" s="20">
        <f>IF(AO222="OTHER",1,0)</f>
        <v/>
      </c>
      <c r="BB222" s="20">
        <f>IF(UPPER(TRIM(C222))="LM",1,0)</f>
        <v/>
      </c>
      <c r="BC222" s="20">
        <f>IF(UPPER(TRIM(C222))="PN",1,0)</f>
        <v/>
      </c>
      <c r="BD222" s="20">
        <f>IF(UPPER(TRIM(C222))="LS",1,0)</f>
        <v/>
      </c>
      <c r="BE222" s="20">
        <f>IF(UPPER(TRIM(C222))="RX",1,0)</f>
        <v/>
      </c>
      <c r="BF222" s="22">
        <f>IFERROR((Parameters!$C$6*AM222+Parameters!$C$7*MAX(AM222-(-150),0)+Parameters!$C$8*MAX(AM222-(-50),0)+Parameters!$C$9*MAX(AM222-(0),0)+Parameters!$C$10*MAX(AM222-(50),0)+Parameters!$C$11*MAX(AM222-(100),0)+Parameters!$C$12*MAX(AM222-(150),0)+Parameters!$C$13*MAX(AM222-(250),0)),0)</f>
        <v/>
      </c>
      <c r="BG222" s="22">
        <f>IFERROR((Parameters!$C$14*AA222+Parameters!$C$15*MAX(AA222-(12),0)+Parameters!$C$16*MAX(AA222-(36),0)+Parameters!$C$17*MAX(AA222-(60),0)+Parameters!$C$18*MAX(AA222-(84),0)+Parameters!$C$19*MAX(AA222-(120),0)+Parameters!$C$20*MAX(AA222-(180),0)),0)</f>
        <v/>
      </c>
      <c r="BH222" s="22">
        <f>IFERROR((Parameters!$C$21*AK222+Parameters!$C$22*MAX(AK222-(0),0)+Parameters!$C$23*MAX(AK222-(2),0)+Parameters!$C$24*MAX(AK222-(5),0)+Parameters!$C$25*MAX(AK222-(8),0)),0)</f>
        <v/>
      </c>
      <c r="BI222" s="22">
        <f>IFERROR((Parameters!$C$26*AI222+Parameters!$C$27*MAX(AI222-(-100),0)+Parameters!$C$28*MAX(AI222-(-25),0)+Parameters!$C$29*MAX(AI222-(25),0)+Parameters!$C$30*MAX(AI222-(100),0)),0)</f>
        <v/>
      </c>
      <c r="BJ222" s="22">
        <f>IFERROR((Parameters!$C$31*AN222+Parameters!$C$32*MAX(AN222-(2),0)+Parameters!$C$33*MAX(AN222-(10),0)+Parameters!$C$34*MAX(AN222-(25),0)),0)</f>
        <v/>
      </c>
      <c r="BK222" s="22">
        <f>IFERROR((Parameters!$C$35*AB222+Parameters!$C$36*MAX(AB222-(12),0)+Parameters!$C$37*MAX(AB222-(24),0)+Parameters!$C$38*MAX(AB222-(60),0)),0)</f>
        <v/>
      </c>
      <c r="BL222" s="22">
        <f>IFERROR((Parameters!$C$39*AC222+Parameters!$C$40*MAX(AC222-(6),0)+Parameters!$C$41*MAX(AC222-(12),0)+Parameters!$C$42*MAX(AC222-(24),0)),0)</f>
        <v/>
      </c>
      <c r="BM222" s="22">
        <f>IFERROR(Parameters!$C$43*(MAX(AM222,0)*MIN(MAX(AK222,0),10))/100,0)</f>
        <v/>
      </c>
      <c r="BN222" s="22">
        <f>Parameters!$C$44*AE222</f>
        <v/>
      </c>
      <c r="BO222" s="22">
        <f>Parameters!$C$45*AU222 + Parameters!$C$46*AV222 + Parameters!$C$47*AW222 + Parameters!$C$48*AX222 + Parameters!$C$49*AY222 + Parameters!$C$50*AZ222 + Parameters!$C$51*BA222</f>
        <v/>
      </c>
      <c r="BP222" s="22">
        <f>Parameters!$C$52*AQ222</f>
        <v/>
      </c>
      <c r="BQ222" s="22">
        <f>Parameters!$C$53*AR222+Parameters!$C$54*AS222+Parameters!$C$55*AT222</f>
        <v/>
      </c>
      <c r="BR222" s="22">
        <f>Parameters!$C$56*BB222+Parameters!$C$57*BC222+Parameters!$C$58*BD222+Parameters!$C$59*BE222</f>
        <v/>
      </c>
      <c r="BS222" s="23">
        <f>Parameters!$B$2</f>
        <v/>
      </c>
      <c r="BT222" s="23">
        <f>BS222+BF222 + BG222 + BH222 + BI222 + BJ222 + BK222 + BL222 + BM222 + BN222 + BO222 + BP222 + BQ222 + BR222</f>
        <v/>
      </c>
      <c r="BU222" s="24">
        <f>IF(AD222=1,0,1/(1+EXP(-BT222))*Parameters!$B$3)</f>
        <v/>
      </c>
      <c r="BV222" s="25">
        <f>(1-(1-BU222)^12)*100</f>
        <v/>
      </c>
      <c r="BW222" s="25">
        <f>IF(AD222=1,0,(1-(1-1/(1+EXP(-Parameters!$B$2)))^12)*100)</f>
        <v/>
      </c>
      <c r="BX222" s="25">
        <f>IF(AD222=1,0,BV222-(1-(1-(1/(1+EXP(-(BT222-BF222)))*Parameters!$B$3))^12)*100)</f>
        <v/>
      </c>
      <c r="BY222" s="25">
        <f>IF(AD222=1,0,BV222-(1-(1-(1/(1+EXP(-(BT222-BG222)))*Parameters!$B$3))^12)*100)</f>
        <v/>
      </c>
      <c r="BZ222" s="25">
        <f>IF(AD222=1,0,BV222-(1-(1-(1/(1+EXP(-(BT222-BH222)))*Parameters!$B$3))^12)*100)</f>
        <v/>
      </c>
      <c r="CA222" s="25">
        <f>IF(AD222=1,0,BV222-(1-(1-(1/(1+EXP(-(BT222-BI222)))*Parameters!$B$3))^12)*100)</f>
        <v/>
      </c>
      <c r="CB222" s="25">
        <f>IF(AD222=1,0,BV222-(1-(1-(1/(1+EXP(-(BT222-BJ222)))*Parameters!$B$3))^12)*100)</f>
        <v/>
      </c>
      <c r="CC222" s="25">
        <f>IF(AD222=1,0,BV222-(1-(1-(1/(1+EXP(-(BT222-BK222)))*Parameters!$B$3))^12)*100)</f>
        <v/>
      </c>
      <c r="CD222" s="25">
        <f>IF(AD222=1,0,BV222-(1-(1-(1/(1+EXP(-(BT222-BL222)))*Parameters!$B$3))^12)*100)</f>
        <v/>
      </c>
      <c r="CE222" s="25">
        <f>IF(AD222=1,0,BV222-(1-(1-(1/(1+EXP(-(BT222-BM222)))*Parameters!$B$3))^12)*100)</f>
        <v/>
      </c>
      <c r="CF222" s="25">
        <f>IF(AD222=1,0,BV222-(1-(1-(1/(1+EXP(-(BT222-BN222)))*Parameters!$B$3))^12)*100)</f>
        <v/>
      </c>
      <c r="CG222" s="25">
        <f>IF(AD222=1,0,BV222-(1-(1-(1/(1+EXP(-(BT222-BO222)))*Parameters!$B$3))^12)*100)</f>
        <v/>
      </c>
      <c r="CH222" s="25">
        <f>IF(AD222=1,0,BV222-(1-(1-(1/(1+EXP(-(BT222-BP222)))*Parameters!$B$3))^12)*100)</f>
        <v/>
      </c>
      <c r="CI222" s="25">
        <f>IF(AD222=1,0,BV222-(1-(1-(1/(1+EXP(-(BT222-BQ222)))*Parameters!$B$3))^12)*100)</f>
        <v/>
      </c>
      <c r="CJ222" s="25">
        <f>IF(AD222=1,0,BV222-(1-(1-(1/(1+EXP(-(BT222-BR222)))*Parameters!$B$3))^12)*100)</f>
        <v/>
      </c>
    </row>
    <row r="223">
      <c r="A223" s="17" t="inlineStr">
        <is>
          <t>GNR_DIVERSE</t>
        </is>
      </c>
      <c r="B223" s="17" t="inlineStr">
        <is>
          <t>3617WT6H7</t>
        </is>
      </c>
      <c r="C223" s="17" t="inlineStr">
        <is>
          <t>PN</t>
        </is>
      </c>
      <c r="D223" s="17" t="inlineStr">
        <is>
          <t>MERCHANTS CAPITAL SERVICING LLC</t>
        </is>
      </c>
      <c r="E223" s="17" t="inlineStr">
        <is>
          <t>3617WT6H7_000000007111503</t>
        </is>
      </c>
      <c r="F223" s="17" t="n">
        <v>202603</v>
      </c>
      <c r="G223" s="18" t="n">
        <v>2.65</v>
      </c>
      <c r="H223" s="19" t="n">
        <v>10771551.14</v>
      </c>
      <c r="I223" s="17" t="n">
        <v>420</v>
      </c>
      <c r="J223" s="17" t="n">
        <v>20211201</v>
      </c>
      <c r="K223" s="17" t="n">
        <v>20570101</v>
      </c>
      <c r="L223" s="17" t="n"/>
      <c r="M223" s="17" t="n">
        <v>20270131</v>
      </c>
      <c r="N223" s="17" t="n">
        <v>5</v>
      </c>
      <c r="O223" s="17" t="inlineStr">
        <is>
          <t>207/223(F)</t>
        </is>
      </c>
      <c r="P223" s="17" t="inlineStr">
        <is>
          <t>BAF</t>
        </is>
      </c>
      <c r="Q223" s="17" t="n"/>
      <c r="R223" s="17" t="n"/>
      <c r="S223" s="17" t="n"/>
      <c r="T223" s="17" t="inlineStr">
        <is>
          <t>IL</t>
        </is>
      </c>
      <c r="U223" s="17" t="n">
        <v>292</v>
      </c>
      <c r="V223" s="17" t="n">
        <v>490.5</v>
      </c>
      <c r="W223" s="17" t="n">
        <v>51</v>
      </c>
      <c r="X223" s="17" t="n">
        <v>2021</v>
      </c>
      <c r="Y223" s="17" t="n">
        <v>7</v>
      </c>
      <c r="Z223" s="17" t="n">
        <v>10</v>
      </c>
      <c r="AA223" s="20">
        <f>IF(ISNUMBER(W223),W223,IFERROR(MAX(0,(VALUE(LEFT(F223,4))-VALUE(LEFT(TEXT(J223,"00000000"),4)))*12+(VALUE(MID(F223,5,2))-VALUE(MID(TEXT(J223,"00000000"),5,2)))),""))</f>
        <v/>
      </c>
      <c r="AB223" s="20">
        <f>IFERROR((VALUE(LEFT(TEXT(K223,"00000000"),4))-VALUE(LEFT(F223,4)))*12+(VALUE(MID(TEXT(K223,"00000000"),5,2))-VALUE(MID(F223,5,2))),"")</f>
        <v/>
      </c>
      <c r="AC223" s="20">
        <f>IF(OR(L223="",NOT(ISNUMBER(L223))),0,MAX(0,MIN(60,(VALUE(LEFT(F223,4))-VALUE(LEFT(TEXT(L223,"00000000"),4)))*12+(VALUE(MID(F223,5,2))-VALUE(MID(TEXT(L223,"00000000"),5,2))))))</f>
        <v/>
      </c>
      <c r="AD223" s="20">
        <f>IF(OR(L223="",NOT(ISNUMBER(L223))),0,IF(VALUE(F223)&lt;VALUE(LEFT(TEXT(L223,"00000000"),6)),1,0))</f>
        <v/>
      </c>
      <c r="AE223" s="20">
        <f>IF(OR(M223="",NOT(ISNUMBER(M223))),0,IF(VALUE(F223)&lt;VALUE(LEFT(TEXT(M223,"00000000"),6)),1,0))</f>
        <v/>
      </c>
      <c r="AF223" s="20">
        <f>IF(AND(AD223=0,AE223=0),1,0)</f>
        <v/>
      </c>
      <c r="AG223" s="20">
        <f>IF(ISNUMBER(X223),X223,IFERROR(VALUE(LEFT(TEXT(J223,"00000000"),4)),""))</f>
        <v/>
      </c>
      <c r="AH223" s="20">
        <f>IFERROR(XLOOKUP(AG223,Vintage_Rates!$A$2:$A$1000,Vintage_Rates!$B$2:$B$1000,""),"")</f>
        <v/>
      </c>
      <c r="AI223" s="20">
        <f>IF(ISNUMBER(Y223),Y223,IFERROR((G223-AH223)*100,""))</f>
        <v/>
      </c>
      <c r="AJ223" s="20">
        <f>IF(ISNUMBER(V223),V223,IFERROR(XLOOKUP(VALUE(F223),PLC_Rates!$A$2:$A$1000,PLC_Rates!$B$2:$B$1000,""),""))</f>
        <v/>
      </c>
      <c r="AK223" s="20">
        <f>IF(ISNUMBER(Z223),Z223,IF(AE223=0,0,MAX(0,MIN(10,((VALUE(LEFT(TEXT(M223,"00000000"),4))-VALUE(LEFT(F223,4)))*12+(VALUE(MID(TEXT(M223,"00000000"),5,2))-VALUE(MID(F223,5,2))))/12))))</f>
        <v/>
      </c>
      <c r="AL223" s="20">
        <f>IFERROR(G223*100-AJ223,"")</f>
        <v/>
      </c>
      <c r="AM223" s="20">
        <f>IFERROR(G223*100-(AJ223+(1+AK223)*12.5),"")</f>
        <v/>
      </c>
      <c r="AN223" s="21">
        <f>IFERROR(MIN(H223/1000000,100),"")</f>
        <v/>
      </c>
      <c r="AO223" s="20">
        <f>IFERROR(INDEX(FHA_Lookup!$B$2:$B$11,MATCH(TRUE,ISNUMBER(SEARCH(FHA_Lookup!$A$2:$A$11,UPPER(SUBSTITUTE(O223," ","")))),0)),"OTHER")</f>
        <v/>
      </c>
      <c r="AP223" s="20">
        <f>IFERROR(INDEX(FHA_Lookup!$C$2:$C$11,MATCH(TRUE,ISNUMBER(SEARCH(FHA_Lookup!$A$2:$A$11,UPPER(SUBSTITUTE(O223," ","")))),0)),"OTHER")</f>
        <v/>
      </c>
      <c r="AQ223" s="20">
        <f>IF(AP223="NC",1,0)</f>
        <v/>
      </c>
      <c r="AR223" s="20">
        <f>IF(UPPER(TRIM(P223))="AFF",1,0)</f>
        <v/>
      </c>
      <c r="AS223" s="20">
        <f>IF(UPPER(TRIM(P223))="BAF",1,0)</f>
        <v/>
      </c>
      <c r="AT223" s="20">
        <f>IF(UPPER(TRIM(P223))="MKT",1,0)</f>
        <v/>
      </c>
      <c r="AU223" s="20">
        <f>IF(AO223="221d4",1,0)</f>
        <v/>
      </c>
      <c r="AV223" s="20">
        <f>IF(AO223="223a7",1,0)</f>
        <v/>
      </c>
      <c r="AW223" s="20">
        <f>IF(AO223="232",1,0)</f>
        <v/>
      </c>
      <c r="AX223" s="20">
        <f>IF(AO223="538",1,0)</f>
        <v/>
      </c>
      <c r="AY223" s="20">
        <f>IF(AO223="241",1,0)</f>
        <v/>
      </c>
      <c r="AZ223" s="20">
        <f>IF(AO223="220",1,0)</f>
        <v/>
      </c>
      <c r="BA223" s="20">
        <f>IF(AO223="OTHER",1,0)</f>
        <v/>
      </c>
      <c r="BB223" s="20">
        <f>IF(UPPER(TRIM(C223))="LM",1,0)</f>
        <v/>
      </c>
      <c r="BC223" s="20">
        <f>IF(UPPER(TRIM(C223))="PN",1,0)</f>
        <v/>
      </c>
      <c r="BD223" s="20">
        <f>IF(UPPER(TRIM(C223))="LS",1,0)</f>
        <v/>
      </c>
      <c r="BE223" s="20">
        <f>IF(UPPER(TRIM(C223))="RX",1,0)</f>
        <v/>
      </c>
      <c r="BF223" s="22">
        <f>IFERROR((Parameters!$C$6*AM223+Parameters!$C$7*MAX(AM223-(-150),0)+Parameters!$C$8*MAX(AM223-(-50),0)+Parameters!$C$9*MAX(AM223-(0),0)+Parameters!$C$10*MAX(AM223-(50),0)+Parameters!$C$11*MAX(AM223-(100),0)+Parameters!$C$12*MAX(AM223-(150),0)+Parameters!$C$13*MAX(AM223-(250),0)),0)</f>
        <v/>
      </c>
      <c r="BG223" s="22">
        <f>IFERROR((Parameters!$C$14*AA223+Parameters!$C$15*MAX(AA223-(12),0)+Parameters!$C$16*MAX(AA223-(36),0)+Parameters!$C$17*MAX(AA223-(60),0)+Parameters!$C$18*MAX(AA223-(84),0)+Parameters!$C$19*MAX(AA223-(120),0)+Parameters!$C$20*MAX(AA223-(180),0)),0)</f>
        <v/>
      </c>
      <c r="BH223" s="22">
        <f>IFERROR((Parameters!$C$21*AK223+Parameters!$C$22*MAX(AK223-(0),0)+Parameters!$C$23*MAX(AK223-(2),0)+Parameters!$C$24*MAX(AK223-(5),0)+Parameters!$C$25*MAX(AK223-(8),0)),0)</f>
        <v/>
      </c>
      <c r="BI223" s="22">
        <f>IFERROR((Parameters!$C$26*AI223+Parameters!$C$27*MAX(AI223-(-100),0)+Parameters!$C$28*MAX(AI223-(-25),0)+Parameters!$C$29*MAX(AI223-(25),0)+Parameters!$C$30*MAX(AI223-(100),0)),0)</f>
        <v/>
      </c>
      <c r="BJ223" s="22">
        <f>IFERROR((Parameters!$C$31*AN223+Parameters!$C$32*MAX(AN223-(2),0)+Parameters!$C$33*MAX(AN223-(10),0)+Parameters!$C$34*MAX(AN223-(25),0)),0)</f>
        <v/>
      </c>
      <c r="BK223" s="22">
        <f>IFERROR((Parameters!$C$35*AB223+Parameters!$C$36*MAX(AB223-(12),0)+Parameters!$C$37*MAX(AB223-(24),0)+Parameters!$C$38*MAX(AB223-(60),0)),0)</f>
        <v/>
      </c>
      <c r="BL223" s="22">
        <f>IFERROR((Parameters!$C$39*AC223+Parameters!$C$40*MAX(AC223-(6),0)+Parameters!$C$41*MAX(AC223-(12),0)+Parameters!$C$42*MAX(AC223-(24),0)),0)</f>
        <v/>
      </c>
      <c r="BM223" s="22">
        <f>IFERROR(Parameters!$C$43*(MAX(AM223,0)*MIN(MAX(AK223,0),10))/100,0)</f>
        <v/>
      </c>
      <c r="BN223" s="22">
        <f>Parameters!$C$44*AE223</f>
        <v/>
      </c>
      <c r="BO223" s="22">
        <f>Parameters!$C$45*AU223 + Parameters!$C$46*AV223 + Parameters!$C$47*AW223 + Parameters!$C$48*AX223 + Parameters!$C$49*AY223 + Parameters!$C$50*AZ223 + Parameters!$C$51*BA223</f>
        <v/>
      </c>
      <c r="BP223" s="22">
        <f>Parameters!$C$52*AQ223</f>
        <v/>
      </c>
      <c r="BQ223" s="22">
        <f>Parameters!$C$53*AR223+Parameters!$C$54*AS223+Parameters!$C$55*AT223</f>
        <v/>
      </c>
      <c r="BR223" s="22">
        <f>Parameters!$C$56*BB223+Parameters!$C$57*BC223+Parameters!$C$58*BD223+Parameters!$C$59*BE223</f>
        <v/>
      </c>
      <c r="BS223" s="23">
        <f>Parameters!$B$2</f>
        <v/>
      </c>
      <c r="BT223" s="23">
        <f>BS223+BF223 + BG223 + BH223 + BI223 + BJ223 + BK223 + BL223 + BM223 + BN223 + BO223 + BP223 + BQ223 + BR223</f>
        <v/>
      </c>
      <c r="BU223" s="24">
        <f>IF(AD223=1,0,1/(1+EXP(-BT223))*Parameters!$B$3)</f>
        <v/>
      </c>
      <c r="BV223" s="25">
        <f>(1-(1-BU223)^12)*100</f>
        <v/>
      </c>
      <c r="BW223" s="25">
        <f>IF(AD223=1,0,(1-(1-1/(1+EXP(-Parameters!$B$2)))^12)*100)</f>
        <v/>
      </c>
      <c r="BX223" s="25">
        <f>IF(AD223=1,0,BV223-(1-(1-(1/(1+EXP(-(BT223-BF223)))*Parameters!$B$3))^12)*100)</f>
        <v/>
      </c>
      <c r="BY223" s="25">
        <f>IF(AD223=1,0,BV223-(1-(1-(1/(1+EXP(-(BT223-BG223)))*Parameters!$B$3))^12)*100)</f>
        <v/>
      </c>
      <c r="BZ223" s="25">
        <f>IF(AD223=1,0,BV223-(1-(1-(1/(1+EXP(-(BT223-BH223)))*Parameters!$B$3))^12)*100)</f>
        <v/>
      </c>
      <c r="CA223" s="25">
        <f>IF(AD223=1,0,BV223-(1-(1-(1/(1+EXP(-(BT223-BI223)))*Parameters!$B$3))^12)*100)</f>
        <v/>
      </c>
      <c r="CB223" s="25">
        <f>IF(AD223=1,0,BV223-(1-(1-(1/(1+EXP(-(BT223-BJ223)))*Parameters!$B$3))^12)*100)</f>
        <v/>
      </c>
      <c r="CC223" s="25">
        <f>IF(AD223=1,0,BV223-(1-(1-(1/(1+EXP(-(BT223-BK223)))*Parameters!$B$3))^12)*100)</f>
        <v/>
      </c>
      <c r="CD223" s="25">
        <f>IF(AD223=1,0,BV223-(1-(1-(1/(1+EXP(-(BT223-BL223)))*Parameters!$B$3))^12)*100)</f>
        <v/>
      </c>
      <c r="CE223" s="25">
        <f>IF(AD223=1,0,BV223-(1-(1-(1/(1+EXP(-(BT223-BM223)))*Parameters!$B$3))^12)*100)</f>
        <v/>
      </c>
      <c r="CF223" s="25">
        <f>IF(AD223=1,0,BV223-(1-(1-(1/(1+EXP(-(BT223-BN223)))*Parameters!$B$3))^12)*100)</f>
        <v/>
      </c>
      <c r="CG223" s="25">
        <f>IF(AD223=1,0,BV223-(1-(1-(1/(1+EXP(-(BT223-BO223)))*Parameters!$B$3))^12)*100)</f>
        <v/>
      </c>
      <c r="CH223" s="25">
        <f>IF(AD223=1,0,BV223-(1-(1-(1/(1+EXP(-(BT223-BP223)))*Parameters!$B$3))^12)*100)</f>
        <v/>
      </c>
      <c r="CI223" s="25">
        <f>IF(AD223=1,0,BV223-(1-(1-(1/(1+EXP(-(BT223-BQ223)))*Parameters!$B$3))^12)*100)</f>
        <v/>
      </c>
      <c r="CJ223" s="25">
        <f>IF(AD223=1,0,BV223-(1-(1-(1/(1+EXP(-(BT223-BR223)))*Parameters!$B$3))^12)*100)</f>
        <v/>
      </c>
    </row>
    <row r="224">
      <c r="A224" s="17" t="inlineStr">
        <is>
          <t>GNR_DIVERSE</t>
        </is>
      </c>
      <c r="B224" s="17" t="inlineStr">
        <is>
          <t>3617UEU69</t>
        </is>
      </c>
      <c r="C224" s="17" t="inlineStr">
        <is>
          <t>PN</t>
        </is>
      </c>
      <c r="D224" s="17" t="inlineStr">
        <is>
          <t>CENTENNIAL MORTGAGE, INC</t>
        </is>
      </c>
      <c r="E224" s="17" t="inlineStr">
        <is>
          <t>3617UEU69_000000011411519</t>
        </is>
      </c>
      <c r="F224" s="17" t="n">
        <v>202603</v>
      </c>
      <c r="G224" s="18" t="n">
        <v>2.52</v>
      </c>
      <c r="H224" s="19" t="n">
        <v>5536811.65</v>
      </c>
      <c r="I224" s="17" t="n">
        <v>415</v>
      </c>
      <c r="J224" s="17" t="n">
        <v>20210322</v>
      </c>
      <c r="K224" s="17" t="n">
        <v>20560201</v>
      </c>
      <c r="L224" s="17" t="n"/>
      <c r="M224" s="17" t="n">
        <v>20310801</v>
      </c>
      <c r="N224" s="17" t="n">
        <v>10</v>
      </c>
      <c r="O224" s="17" t="inlineStr">
        <is>
          <t>223(A)(7)/207/223(F)</t>
        </is>
      </c>
      <c r="P224" s="17" t="inlineStr">
        <is>
          <t>MKT</t>
        </is>
      </c>
      <c r="Q224" s="17" t="n"/>
      <c r="R224" s="17" t="n"/>
      <c r="S224" s="17" t="n"/>
      <c r="T224" s="17" t="inlineStr">
        <is>
          <t>TX</t>
        </is>
      </c>
      <c r="U224" s="17" t="n">
        <v>175</v>
      </c>
      <c r="V224" s="17" t="n">
        <v>490.5</v>
      </c>
      <c r="W224" s="17" t="n">
        <v>60</v>
      </c>
      <c r="X224" s="17" t="n">
        <v>2021</v>
      </c>
      <c r="Y224" s="17" t="n">
        <v>-6</v>
      </c>
      <c r="Z224" s="17" t="n">
        <v>6</v>
      </c>
      <c r="AA224" s="20">
        <f>IF(ISNUMBER(W224),W224,IFERROR(MAX(0,(VALUE(LEFT(F224,4))-VALUE(LEFT(TEXT(J224,"00000000"),4)))*12+(VALUE(MID(F224,5,2))-VALUE(MID(TEXT(J224,"00000000"),5,2)))),""))</f>
        <v/>
      </c>
      <c r="AB224" s="20">
        <f>IFERROR((VALUE(LEFT(TEXT(K224,"00000000"),4))-VALUE(LEFT(F224,4)))*12+(VALUE(MID(TEXT(K224,"00000000"),5,2))-VALUE(MID(F224,5,2))),"")</f>
        <v/>
      </c>
      <c r="AC224" s="20">
        <f>IF(OR(L224="",NOT(ISNUMBER(L224))),0,MAX(0,MIN(60,(VALUE(LEFT(F224,4))-VALUE(LEFT(TEXT(L224,"00000000"),4)))*12+(VALUE(MID(F224,5,2))-VALUE(MID(TEXT(L224,"00000000"),5,2))))))</f>
        <v/>
      </c>
      <c r="AD224" s="20">
        <f>IF(OR(L224="",NOT(ISNUMBER(L224))),0,IF(VALUE(F224)&lt;VALUE(LEFT(TEXT(L224,"00000000"),6)),1,0))</f>
        <v/>
      </c>
      <c r="AE224" s="20">
        <f>IF(OR(M224="",NOT(ISNUMBER(M224))),0,IF(VALUE(F224)&lt;VALUE(LEFT(TEXT(M224,"00000000"),6)),1,0))</f>
        <v/>
      </c>
      <c r="AF224" s="20">
        <f>IF(AND(AD224=0,AE224=0),1,0)</f>
        <v/>
      </c>
      <c r="AG224" s="20">
        <f>IF(ISNUMBER(X224),X224,IFERROR(VALUE(LEFT(TEXT(J224,"00000000"),4)),""))</f>
        <v/>
      </c>
      <c r="AH224" s="20">
        <f>IFERROR(XLOOKUP(AG224,Vintage_Rates!$A$2:$A$1000,Vintage_Rates!$B$2:$B$1000,""),"")</f>
        <v/>
      </c>
      <c r="AI224" s="20">
        <f>IF(ISNUMBER(Y224),Y224,IFERROR((G224-AH224)*100,""))</f>
        <v/>
      </c>
      <c r="AJ224" s="20">
        <f>IF(ISNUMBER(V224),V224,IFERROR(XLOOKUP(VALUE(F224),PLC_Rates!$A$2:$A$1000,PLC_Rates!$B$2:$B$1000,""),""))</f>
        <v/>
      </c>
      <c r="AK224" s="20">
        <f>IF(ISNUMBER(Z224),Z224,IF(AE224=0,0,MAX(0,MIN(10,((VALUE(LEFT(TEXT(M224,"00000000"),4))-VALUE(LEFT(F224,4)))*12+(VALUE(MID(TEXT(M224,"00000000"),5,2))-VALUE(MID(F224,5,2))))/12))))</f>
        <v/>
      </c>
      <c r="AL224" s="20">
        <f>IFERROR(G224*100-AJ224,"")</f>
        <v/>
      </c>
      <c r="AM224" s="20">
        <f>IFERROR(G224*100-(AJ224+(1+AK224)*12.5),"")</f>
        <v/>
      </c>
      <c r="AN224" s="21">
        <f>IFERROR(MIN(H224/1000000,100),"")</f>
        <v/>
      </c>
      <c r="AO224" s="20">
        <f>IFERROR(INDEX(FHA_Lookup!$B$2:$B$11,MATCH(TRUE,ISNUMBER(SEARCH(FHA_Lookup!$A$2:$A$11,UPPER(SUBSTITUTE(O224," ","")))),0)),"OTHER")</f>
        <v/>
      </c>
      <c r="AP224" s="20">
        <f>IFERROR(INDEX(FHA_Lookup!$C$2:$C$11,MATCH(TRUE,ISNUMBER(SEARCH(FHA_Lookup!$A$2:$A$11,UPPER(SUBSTITUTE(O224," ","")))),0)),"OTHER")</f>
        <v/>
      </c>
      <c r="AQ224" s="20">
        <f>IF(AP224="NC",1,0)</f>
        <v/>
      </c>
      <c r="AR224" s="20">
        <f>IF(UPPER(TRIM(P224))="AFF",1,0)</f>
        <v/>
      </c>
      <c r="AS224" s="20">
        <f>IF(UPPER(TRIM(P224))="BAF",1,0)</f>
        <v/>
      </c>
      <c r="AT224" s="20">
        <f>IF(UPPER(TRIM(P224))="MKT",1,0)</f>
        <v/>
      </c>
      <c r="AU224" s="20">
        <f>IF(AO224="221d4",1,0)</f>
        <v/>
      </c>
      <c r="AV224" s="20">
        <f>IF(AO224="223a7",1,0)</f>
        <v/>
      </c>
      <c r="AW224" s="20">
        <f>IF(AO224="232",1,0)</f>
        <v/>
      </c>
      <c r="AX224" s="20">
        <f>IF(AO224="538",1,0)</f>
        <v/>
      </c>
      <c r="AY224" s="20">
        <f>IF(AO224="241",1,0)</f>
        <v/>
      </c>
      <c r="AZ224" s="20">
        <f>IF(AO224="220",1,0)</f>
        <v/>
      </c>
      <c r="BA224" s="20">
        <f>IF(AO224="OTHER",1,0)</f>
        <v/>
      </c>
      <c r="BB224" s="20">
        <f>IF(UPPER(TRIM(C224))="LM",1,0)</f>
        <v/>
      </c>
      <c r="BC224" s="20">
        <f>IF(UPPER(TRIM(C224))="PN",1,0)</f>
        <v/>
      </c>
      <c r="BD224" s="20">
        <f>IF(UPPER(TRIM(C224))="LS",1,0)</f>
        <v/>
      </c>
      <c r="BE224" s="20">
        <f>IF(UPPER(TRIM(C224))="RX",1,0)</f>
        <v/>
      </c>
      <c r="BF224" s="22">
        <f>IFERROR((Parameters!$C$6*AM224+Parameters!$C$7*MAX(AM224-(-150),0)+Parameters!$C$8*MAX(AM224-(-50),0)+Parameters!$C$9*MAX(AM224-(0),0)+Parameters!$C$10*MAX(AM224-(50),0)+Parameters!$C$11*MAX(AM224-(100),0)+Parameters!$C$12*MAX(AM224-(150),0)+Parameters!$C$13*MAX(AM224-(250),0)),0)</f>
        <v/>
      </c>
      <c r="BG224" s="22">
        <f>IFERROR((Parameters!$C$14*AA224+Parameters!$C$15*MAX(AA224-(12),0)+Parameters!$C$16*MAX(AA224-(36),0)+Parameters!$C$17*MAX(AA224-(60),0)+Parameters!$C$18*MAX(AA224-(84),0)+Parameters!$C$19*MAX(AA224-(120),0)+Parameters!$C$20*MAX(AA224-(180),0)),0)</f>
        <v/>
      </c>
      <c r="BH224" s="22">
        <f>IFERROR((Parameters!$C$21*AK224+Parameters!$C$22*MAX(AK224-(0),0)+Parameters!$C$23*MAX(AK224-(2),0)+Parameters!$C$24*MAX(AK224-(5),0)+Parameters!$C$25*MAX(AK224-(8),0)),0)</f>
        <v/>
      </c>
      <c r="BI224" s="22">
        <f>IFERROR((Parameters!$C$26*AI224+Parameters!$C$27*MAX(AI224-(-100),0)+Parameters!$C$28*MAX(AI224-(-25),0)+Parameters!$C$29*MAX(AI224-(25),0)+Parameters!$C$30*MAX(AI224-(100),0)),0)</f>
        <v/>
      </c>
      <c r="BJ224" s="22">
        <f>IFERROR((Parameters!$C$31*AN224+Parameters!$C$32*MAX(AN224-(2),0)+Parameters!$C$33*MAX(AN224-(10),0)+Parameters!$C$34*MAX(AN224-(25),0)),0)</f>
        <v/>
      </c>
      <c r="BK224" s="22">
        <f>IFERROR((Parameters!$C$35*AB224+Parameters!$C$36*MAX(AB224-(12),0)+Parameters!$C$37*MAX(AB224-(24),0)+Parameters!$C$38*MAX(AB224-(60),0)),0)</f>
        <v/>
      </c>
      <c r="BL224" s="22">
        <f>IFERROR((Parameters!$C$39*AC224+Parameters!$C$40*MAX(AC224-(6),0)+Parameters!$C$41*MAX(AC224-(12),0)+Parameters!$C$42*MAX(AC224-(24),0)),0)</f>
        <v/>
      </c>
      <c r="BM224" s="22">
        <f>IFERROR(Parameters!$C$43*(MAX(AM224,0)*MIN(MAX(AK224,0),10))/100,0)</f>
        <v/>
      </c>
      <c r="BN224" s="22">
        <f>Parameters!$C$44*AE224</f>
        <v/>
      </c>
      <c r="BO224" s="22">
        <f>Parameters!$C$45*AU224 + Parameters!$C$46*AV224 + Parameters!$C$47*AW224 + Parameters!$C$48*AX224 + Parameters!$C$49*AY224 + Parameters!$C$50*AZ224 + Parameters!$C$51*BA224</f>
        <v/>
      </c>
      <c r="BP224" s="22">
        <f>Parameters!$C$52*AQ224</f>
        <v/>
      </c>
      <c r="BQ224" s="22">
        <f>Parameters!$C$53*AR224+Parameters!$C$54*AS224+Parameters!$C$55*AT224</f>
        <v/>
      </c>
      <c r="BR224" s="22">
        <f>Parameters!$C$56*BB224+Parameters!$C$57*BC224+Parameters!$C$58*BD224+Parameters!$C$59*BE224</f>
        <v/>
      </c>
      <c r="BS224" s="23">
        <f>Parameters!$B$2</f>
        <v/>
      </c>
      <c r="BT224" s="23">
        <f>BS224+BF224 + BG224 + BH224 + BI224 + BJ224 + BK224 + BL224 + BM224 + BN224 + BO224 + BP224 + BQ224 + BR224</f>
        <v/>
      </c>
      <c r="BU224" s="24">
        <f>IF(AD224=1,0,1/(1+EXP(-BT224))*Parameters!$B$3)</f>
        <v/>
      </c>
      <c r="BV224" s="25">
        <f>(1-(1-BU224)^12)*100</f>
        <v/>
      </c>
      <c r="BW224" s="25">
        <f>IF(AD224=1,0,(1-(1-1/(1+EXP(-Parameters!$B$2)))^12)*100)</f>
        <v/>
      </c>
      <c r="BX224" s="25">
        <f>IF(AD224=1,0,BV224-(1-(1-(1/(1+EXP(-(BT224-BF224)))*Parameters!$B$3))^12)*100)</f>
        <v/>
      </c>
      <c r="BY224" s="25">
        <f>IF(AD224=1,0,BV224-(1-(1-(1/(1+EXP(-(BT224-BG224)))*Parameters!$B$3))^12)*100)</f>
        <v/>
      </c>
      <c r="BZ224" s="25">
        <f>IF(AD224=1,0,BV224-(1-(1-(1/(1+EXP(-(BT224-BH224)))*Parameters!$B$3))^12)*100)</f>
        <v/>
      </c>
      <c r="CA224" s="25">
        <f>IF(AD224=1,0,BV224-(1-(1-(1/(1+EXP(-(BT224-BI224)))*Parameters!$B$3))^12)*100)</f>
        <v/>
      </c>
      <c r="CB224" s="25">
        <f>IF(AD224=1,0,BV224-(1-(1-(1/(1+EXP(-(BT224-BJ224)))*Parameters!$B$3))^12)*100)</f>
        <v/>
      </c>
      <c r="CC224" s="25">
        <f>IF(AD224=1,0,BV224-(1-(1-(1/(1+EXP(-(BT224-BK224)))*Parameters!$B$3))^12)*100)</f>
        <v/>
      </c>
      <c r="CD224" s="25">
        <f>IF(AD224=1,0,BV224-(1-(1-(1/(1+EXP(-(BT224-BL224)))*Parameters!$B$3))^12)*100)</f>
        <v/>
      </c>
      <c r="CE224" s="25">
        <f>IF(AD224=1,0,BV224-(1-(1-(1/(1+EXP(-(BT224-BM224)))*Parameters!$B$3))^12)*100)</f>
        <v/>
      </c>
      <c r="CF224" s="25">
        <f>IF(AD224=1,0,BV224-(1-(1-(1/(1+EXP(-(BT224-BN224)))*Parameters!$B$3))^12)*100)</f>
        <v/>
      </c>
      <c r="CG224" s="25">
        <f>IF(AD224=1,0,BV224-(1-(1-(1/(1+EXP(-(BT224-BO224)))*Parameters!$B$3))^12)*100)</f>
        <v/>
      </c>
      <c r="CH224" s="25">
        <f>IF(AD224=1,0,BV224-(1-(1-(1/(1+EXP(-(BT224-BP224)))*Parameters!$B$3))^12)*100)</f>
        <v/>
      </c>
      <c r="CI224" s="25">
        <f>IF(AD224=1,0,BV224-(1-(1-(1/(1+EXP(-(BT224-BQ224)))*Parameters!$B$3))^12)*100)</f>
        <v/>
      </c>
      <c r="CJ224" s="25">
        <f>IF(AD224=1,0,BV224-(1-(1-(1/(1+EXP(-(BT224-BR224)))*Parameters!$B$3))^12)*100)</f>
        <v/>
      </c>
    </row>
    <row r="225">
      <c r="A225" s="17" t="inlineStr">
        <is>
          <t>GNR_DIVERSE</t>
        </is>
      </c>
      <c r="B225" s="17" t="inlineStr">
        <is>
          <t>3617NDKQ6</t>
        </is>
      </c>
      <c r="C225" s="17" t="inlineStr">
        <is>
          <t>PN</t>
        </is>
      </c>
      <c r="D225" s="17" t="inlineStr">
        <is>
          <t>WALKER &amp; DUNLOP, LLC</t>
        </is>
      </c>
      <c r="E225" s="17" t="inlineStr">
        <is>
          <t>3617NDKQ6_000000008635450</t>
        </is>
      </c>
      <c r="F225" s="17" t="n">
        <v>202603</v>
      </c>
      <c r="G225" s="18" t="n">
        <v>3.07</v>
      </c>
      <c r="H225" s="19" t="n">
        <v>29938865.72</v>
      </c>
      <c r="I225" s="17" t="n">
        <v>480</v>
      </c>
      <c r="J225" s="17" t="n">
        <v>20200527</v>
      </c>
      <c r="K225" s="17" t="n">
        <v>20600601</v>
      </c>
      <c r="L225" s="17" t="n"/>
      <c r="M225" s="17" t="n">
        <v>20300701</v>
      </c>
      <c r="N225" s="17" t="n">
        <v>10</v>
      </c>
      <c r="O225" s="17" t="inlineStr">
        <is>
          <t>221(D)(4)/223(A)(7)</t>
        </is>
      </c>
      <c r="P225" s="17" t="inlineStr">
        <is>
          <t>MKT</t>
        </is>
      </c>
      <c r="Q225" s="17" t="n"/>
      <c r="R225" s="17" t="n"/>
      <c r="S225" s="17" t="n"/>
      <c r="T225" s="17" t="inlineStr">
        <is>
          <t>TN</t>
        </is>
      </c>
      <c r="U225" s="17" t="n">
        <v>244</v>
      </c>
      <c r="V225" s="17" t="n">
        <v>490.5</v>
      </c>
      <c r="W225" s="17" t="n">
        <v>70</v>
      </c>
      <c r="X225" s="17" t="n">
        <v>2020</v>
      </c>
      <c r="Y225" s="17" t="n">
        <v>22</v>
      </c>
      <c r="Z225" s="17" t="n">
        <v>5</v>
      </c>
      <c r="AA225" s="20">
        <f>IF(ISNUMBER(W225),W225,IFERROR(MAX(0,(VALUE(LEFT(F225,4))-VALUE(LEFT(TEXT(J225,"00000000"),4)))*12+(VALUE(MID(F225,5,2))-VALUE(MID(TEXT(J225,"00000000"),5,2)))),""))</f>
        <v/>
      </c>
      <c r="AB225" s="20">
        <f>IFERROR((VALUE(LEFT(TEXT(K225,"00000000"),4))-VALUE(LEFT(F225,4)))*12+(VALUE(MID(TEXT(K225,"00000000"),5,2))-VALUE(MID(F225,5,2))),"")</f>
        <v/>
      </c>
      <c r="AC225" s="20">
        <f>IF(OR(L225="",NOT(ISNUMBER(L225))),0,MAX(0,MIN(60,(VALUE(LEFT(F225,4))-VALUE(LEFT(TEXT(L225,"00000000"),4)))*12+(VALUE(MID(F225,5,2))-VALUE(MID(TEXT(L225,"00000000"),5,2))))))</f>
        <v/>
      </c>
      <c r="AD225" s="20">
        <f>IF(OR(L225="",NOT(ISNUMBER(L225))),0,IF(VALUE(F225)&lt;VALUE(LEFT(TEXT(L225,"00000000"),6)),1,0))</f>
        <v/>
      </c>
      <c r="AE225" s="20">
        <f>IF(OR(M225="",NOT(ISNUMBER(M225))),0,IF(VALUE(F225)&lt;VALUE(LEFT(TEXT(M225,"00000000"),6)),1,0))</f>
        <v/>
      </c>
      <c r="AF225" s="20">
        <f>IF(AND(AD225=0,AE225=0),1,0)</f>
        <v/>
      </c>
      <c r="AG225" s="20">
        <f>IF(ISNUMBER(X225),X225,IFERROR(VALUE(LEFT(TEXT(J225,"00000000"),4)),""))</f>
        <v/>
      </c>
      <c r="AH225" s="20">
        <f>IFERROR(XLOOKUP(AG225,Vintage_Rates!$A$2:$A$1000,Vintage_Rates!$B$2:$B$1000,""),"")</f>
        <v/>
      </c>
      <c r="AI225" s="20">
        <f>IF(ISNUMBER(Y225),Y225,IFERROR((G225-AH225)*100,""))</f>
        <v/>
      </c>
      <c r="AJ225" s="20">
        <f>IF(ISNUMBER(V225),V225,IFERROR(XLOOKUP(VALUE(F225),PLC_Rates!$A$2:$A$1000,PLC_Rates!$B$2:$B$1000,""),""))</f>
        <v/>
      </c>
      <c r="AK225" s="20">
        <f>IF(ISNUMBER(Z225),Z225,IF(AE225=0,0,MAX(0,MIN(10,((VALUE(LEFT(TEXT(M225,"00000000"),4))-VALUE(LEFT(F225,4)))*12+(VALUE(MID(TEXT(M225,"00000000"),5,2))-VALUE(MID(F225,5,2))))/12))))</f>
        <v/>
      </c>
      <c r="AL225" s="20">
        <f>IFERROR(G225*100-AJ225,"")</f>
        <v/>
      </c>
      <c r="AM225" s="20">
        <f>IFERROR(G225*100-(AJ225+(1+AK225)*12.5),"")</f>
        <v/>
      </c>
      <c r="AN225" s="21">
        <f>IFERROR(MIN(H225/1000000,100),"")</f>
        <v/>
      </c>
      <c r="AO225" s="20">
        <f>IFERROR(INDEX(FHA_Lookup!$B$2:$B$11,MATCH(TRUE,ISNUMBER(SEARCH(FHA_Lookup!$A$2:$A$11,UPPER(SUBSTITUTE(O225," ","")))),0)),"OTHER")</f>
        <v/>
      </c>
      <c r="AP225" s="20">
        <f>IFERROR(INDEX(FHA_Lookup!$C$2:$C$11,MATCH(TRUE,ISNUMBER(SEARCH(FHA_Lookup!$A$2:$A$11,UPPER(SUBSTITUTE(O225," ","")))),0)),"OTHER")</f>
        <v/>
      </c>
      <c r="AQ225" s="20">
        <f>IF(AP225="NC",1,0)</f>
        <v/>
      </c>
      <c r="AR225" s="20">
        <f>IF(UPPER(TRIM(P225))="AFF",1,0)</f>
        <v/>
      </c>
      <c r="AS225" s="20">
        <f>IF(UPPER(TRIM(P225))="BAF",1,0)</f>
        <v/>
      </c>
      <c r="AT225" s="20">
        <f>IF(UPPER(TRIM(P225))="MKT",1,0)</f>
        <v/>
      </c>
      <c r="AU225" s="20">
        <f>IF(AO225="221d4",1,0)</f>
        <v/>
      </c>
      <c r="AV225" s="20">
        <f>IF(AO225="223a7",1,0)</f>
        <v/>
      </c>
      <c r="AW225" s="20">
        <f>IF(AO225="232",1,0)</f>
        <v/>
      </c>
      <c r="AX225" s="20">
        <f>IF(AO225="538",1,0)</f>
        <v/>
      </c>
      <c r="AY225" s="20">
        <f>IF(AO225="241",1,0)</f>
        <v/>
      </c>
      <c r="AZ225" s="20">
        <f>IF(AO225="220",1,0)</f>
        <v/>
      </c>
      <c r="BA225" s="20">
        <f>IF(AO225="OTHER",1,0)</f>
        <v/>
      </c>
      <c r="BB225" s="20">
        <f>IF(UPPER(TRIM(C225))="LM",1,0)</f>
        <v/>
      </c>
      <c r="BC225" s="20">
        <f>IF(UPPER(TRIM(C225))="PN",1,0)</f>
        <v/>
      </c>
      <c r="BD225" s="20">
        <f>IF(UPPER(TRIM(C225))="LS",1,0)</f>
        <v/>
      </c>
      <c r="BE225" s="20">
        <f>IF(UPPER(TRIM(C225))="RX",1,0)</f>
        <v/>
      </c>
      <c r="BF225" s="22">
        <f>IFERROR((Parameters!$C$6*AM225+Parameters!$C$7*MAX(AM225-(-150),0)+Parameters!$C$8*MAX(AM225-(-50),0)+Parameters!$C$9*MAX(AM225-(0),0)+Parameters!$C$10*MAX(AM225-(50),0)+Parameters!$C$11*MAX(AM225-(100),0)+Parameters!$C$12*MAX(AM225-(150),0)+Parameters!$C$13*MAX(AM225-(250),0)),0)</f>
        <v/>
      </c>
      <c r="BG225" s="22">
        <f>IFERROR((Parameters!$C$14*AA225+Parameters!$C$15*MAX(AA225-(12),0)+Parameters!$C$16*MAX(AA225-(36),0)+Parameters!$C$17*MAX(AA225-(60),0)+Parameters!$C$18*MAX(AA225-(84),0)+Parameters!$C$19*MAX(AA225-(120),0)+Parameters!$C$20*MAX(AA225-(180),0)),0)</f>
        <v/>
      </c>
      <c r="BH225" s="22">
        <f>IFERROR((Parameters!$C$21*AK225+Parameters!$C$22*MAX(AK225-(0),0)+Parameters!$C$23*MAX(AK225-(2),0)+Parameters!$C$24*MAX(AK225-(5),0)+Parameters!$C$25*MAX(AK225-(8),0)),0)</f>
        <v/>
      </c>
      <c r="BI225" s="22">
        <f>IFERROR((Parameters!$C$26*AI225+Parameters!$C$27*MAX(AI225-(-100),0)+Parameters!$C$28*MAX(AI225-(-25),0)+Parameters!$C$29*MAX(AI225-(25),0)+Parameters!$C$30*MAX(AI225-(100),0)),0)</f>
        <v/>
      </c>
      <c r="BJ225" s="22">
        <f>IFERROR((Parameters!$C$31*AN225+Parameters!$C$32*MAX(AN225-(2),0)+Parameters!$C$33*MAX(AN225-(10),0)+Parameters!$C$34*MAX(AN225-(25),0)),0)</f>
        <v/>
      </c>
      <c r="BK225" s="22">
        <f>IFERROR((Parameters!$C$35*AB225+Parameters!$C$36*MAX(AB225-(12),0)+Parameters!$C$37*MAX(AB225-(24),0)+Parameters!$C$38*MAX(AB225-(60),0)),0)</f>
        <v/>
      </c>
      <c r="BL225" s="22">
        <f>IFERROR((Parameters!$C$39*AC225+Parameters!$C$40*MAX(AC225-(6),0)+Parameters!$C$41*MAX(AC225-(12),0)+Parameters!$C$42*MAX(AC225-(24),0)),0)</f>
        <v/>
      </c>
      <c r="BM225" s="22">
        <f>IFERROR(Parameters!$C$43*(MAX(AM225,0)*MIN(MAX(AK225,0),10))/100,0)</f>
        <v/>
      </c>
      <c r="BN225" s="22">
        <f>Parameters!$C$44*AE225</f>
        <v/>
      </c>
      <c r="BO225" s="22">
        <f>Parameters!$C$45*AU225 + Parameters!$C$46*AV225 + Parameters!$C$47*AW225 + Parameters!$C$48*AX225 + Parameters!$C$49*AY225 + Parameters!$C$50*AZ225 + Parameters!$C$51*BA225</f>
        <v/>
      </c>
      <c r="BP225" s="22">
        <f>Parameters!$C$52*AQ225</f>
        <v/>
      </c>
      <c r="BQ225" s="22">
        <f>Parameters!$C$53*AR225+Parameters!$C$54*AS225+Parameters!$C$55*AT225</f>
        <v/>
      </c>
      <c r="BR225" s="22">
        <f>Parameters!$C$56*BB225+Parameters!$C$57*BC225+Parameters!$C$58*BD225+Parameters!$C$59*BE225</f>
        <v/>
      </c>
      <c r="BS225" s="23">
        <f>Parameters!$B$2</f>
        <v/>
      </c>
      <c r="BT225" s="23">
        <f>BS225+BF225 + BG225 + BH225 + BI225 + BJ225 + BK225 + BL225 + BM225 + BN225 + BO225 + BP225 + BQ225 + BR225</f>
        <v/>
      </c>
      <c r="BU225" s="24">
        <f>IF(AD225=1,0,1/(1+EXP(-BT225))*Parameters!$B$3)</f>
        <v/>
      </c>
      <c r="BV225" s="25">
        <f>(1-(1-BU225)^12)*100</f>
        <v/>
      </c>
      <c r="BW225" s="25">
        <f>IF(AD225=1,0,(1-(1-1/(1+EXP(-Parameters!$B$2)))^12)*100)</f>
        <v/>
      </c>
      <c r="BX225" s="25">
        <f>IF(AD225=1,0,BV225-(1-(1-(1/(1+EXP(-(BT225-BF225)))*Parameters!$B$3))^12)*100)</f>
        <v/>
      </c>
      <c r="BY225" s="25">
        <f>IF(AD225=1,0,BV225-(1-(1-(1/(1+EXP(-(BT225-BG225)))*Parameters!$B$3))^12)*100)</f>
        <v/>
      </c>
      <c r="BZ225" s="25">
        <f>IF(AD225=1,0,BV225-(1-(1-(1/(1+EXP(-(BT225-BH225)))*Parameters!$B$3))^12)*100)</f>
        <v/>
      </c>
      <c r="CA225" s="25">
        <f>IF(AD225=1,0,BV225-(1-(1-(1/(1+EXP(-(BT225-BI225)))*Parameters!$B$3))^12)*100)</f>
        <v/>
      </c>
      <c r="CB225" s="25">
        <f>IF(AD225=1,0,BV225-(1-(1-(1/(1+EXP(-(BT225-BJ225)))*Parameters!$B$3))^12)*100)</f>
        <v/>
      </c>
      <c r="CC225" s="25">
        <f>IF(AD225=1,0,BV225-(1-(1-(1/(1+EXP(-(BT225-BK225)))*Parameters!$B$3))^12)*100)</f>
        <v/>
      </c>
      <c r="CD225" s="25">
        <f>IF(AD225=1,0,BV225-(1-(1-(1/(1+EXP(-(BT225-BL225)))*Parameters!$B$3))^12)*100)</f>
        <v/>
      </c>
      <c r="CE225" s="25">
        <f>IF(AD225=1,0,BV225-(1-(1-(1/(1+EXP(-(BT225-BM225)))*Parameters!$B$3))^12)*100)</f>
        <v/>
      </c>
      <c r="CF225" s="25">
        <f>IF(AD225=1,0,BV225-(1-(1-(1/(1+EXP(-(BT225-BN225)))*Parameters!$B$3))^12)*100)</f>
        <v/>
      </c>
      <c r="CG225" s="25">
        <f>IF(AD225=1,0,BV225-(1-(1-(1/(1+EXP(-(BT225-BO225)))*Parameters!$B$3))^12)*100)</f>
        <v/>
      </c>
      <c r="CH225" s="25">
        <f>IF(AD225=1,0,BV225-(1-(1-(1/(1+EXP(-(BT225-BP225)))*Parameters!$B$3))^12)*100)</f>
        <v/>
      </c>
      <c r="CI225" s="25">
        <f>IF(AD225=1,0,BV225-(1-(1-(1/(1+EXP(-(BT225-BQ225)))*Parameters!$B$3))^12)*100)</f>
        <v/>
      </c>
      <c r="CJ225" s="25">
        <f>IF(AD225=1,0,BV225-(1-(1-(1/(1+EXP(-(BT225-BR225)))*Parameters!$B$3))^12)*100)</f>
        <v/>
      </c>
    </row>
    <row r="226">
      <c r="A226" s="17" t="inlineStr">
        <is>
          <t>GNR_DIVERSE</t>
        </is>
      </c>
      <c r="B226" s="17" t="inlineStr">
        <is>
          <t>3617V3U54</t>
        </is>
      </c>
      <c r="C226" s="17" t="inlineStr">
        <is>
          <t>PN</t>
        </is>
      </c>
      <c r="D226" s="17" t="inlineStr">
        <is>
          <t>GERSHMAN INVESTMENT CORP.</t>
        </is>
      </c>
      <c r="E226" s="17" t="inlineStr">
        <is>
          <t>3617V3U54_000000010335189</t>
        </is>
      </c>
      <c r="F226" s="17" t="n">
        <v>202603</v>
      </c>
      <c r="G226" s="18" t="n">
        <v>3.24</v>
      </c>
      <c r="H226" s="19" t="n">
        <v>36028087.23</v>
      </c>
      <c r="I226" s="17" t="n">
        <v>504</v>
      </c>
      <c r="J226" s="17" t="n">
        <v>20210628</v>
      </c>
      <c r="K226" s="17" t="n">
        <v>20630601</v>
      </c>
      <c r="L226" s="17" t="n"/>
      <c r="M226" s="17" t="n">
        <v>20330701</v>
      </c>
      <c r="N226" s="17" t="n">
        <v>10</v>
      </c>
      <c r="O226" s="17" t="inlineStr">
        <is>
          <t>221(D)(4)</t>
        </is>
      </c>
      <c r="P226" s="17" t="inlineStr">
        <is>
          <t>MKT</t>
        </is>
      </c>
      <c r="Q226" s="17" t="n"/>
      <c r="R226" s="17" t="n"/>
      <c r="S226" s="17" t="n"/>
      <c r="T226" s="17" t="inlineStr">
        <is>
          <t>NE</t>
        </is>
      </c>
      <c r="U226" s="17" t="n">
        <v>271</v>
      </c>
      <c r="V226" s="17" t="n">
        <v>490.5</v>
      </c>
      <c r="W226" s="17" t="n">
        <v>57</v>
      </c>
      <c r="X226" s="17" t="n">
        <v>2021</v>
      </c>
      <c r="Y226" s="17" t="n">
        <v>66</v>
      </c>
      <c r="Z226" s="17" t="n">
        <v>10</v>
      </c>
      <c r="AA226" s="20">
        <f>IF(ISNUMBER(W226),W226,IFERROR(MAX(0,(VALUE(LEFT(F226,4))-VALUE(LEFT(TEXT(J226,"00000000"),4)))*12+(VALUE(MID(F226,5,2))-VALUE(MID(TEXT(J226,"00000000"),5,2)))),""))</f>
        <v/>
      </c>
      <c r="AB226" s="20">
        <f>IFERROR((VALUE(LEFT(TEXT(K226,"00000000"),4))-VALUE(LEFT(F226,4)))*12+(VALUE(MID(TEXT(K226,"00000000"),5,2))-VALUE(MID(F226,5,2))),"")</f>
        <v/>
      </c>
      <c r="AC226" s="20">
        <f>IF(OR(L226="",NOT(ISNUMBER(L226))),0,MAX(0,MIN(60,(VALUE(LEFT(F226,4))-VALUE(LEFT(TEXT(L226,"00000000"),4)))*12+(VALUE(MID(F226,5,2))-VALUE(MID(TEXT(L226,"00000000"),5,2))))))</f>
        <v/>
      </c>
      <c r="AD226" s="20">
        <f>IF(OR(L226="",NOT(ISNUMBER(L226))),0,IF(VALUE(F226)&lt;VALUE(LEFT(TEXT(L226,"00000000"),6)),1,0))</f>
        <v/>
      </c>
      <c r="AE226" s="20">
        <f>IF(OR(M226="",NOT(ISNUMBER(M226))),0,IF(VALUE(F226)&lt;VALUE(LEFT(TEXT(M226,"00000000"),6)),1,0))</f>
        <v/>
      </c>
      <c r="AF226" s="20">
        <f>IF(AND(AD226=0,AE226=0),1,0)</f>
        <v/>
      </c>
      <c r="AG226" s="20">
        <f>IF(ISNUMBER(X226),X226,IFERROR(VALUE(LEFT(TEXT(J226,"00000000"),4)),""))</f>
        <v/>
      </c>
      <c r="AH226" s="20">
        <f>IFERROR(XLOOKUP(AG226,Vintage_Rates!$A$2:$A$1000,Vintage_Rates!$B$2:$B$1000,""),"")</f>
        <v/>
      </c>
      <c r="AI226" s="20">
        <f>IF(ISNUMBER(Y226),Y226,IFERROR((G226-AH226)*100,""))</f>
        <v/>
      </c>
      <c r="AJ226" s="20">
        <f>IF(ISNUMBER(V226),V226,IFERROR(XLOOKUP(VALUE(F226),PLC_Rates!$A$2:$A$1000,PLC_Rates!$B$2:$B$1000,""),""))</f>
        <v/>
      </c>
      <c r="AK226" s="20">
        <f>IF(ISNUMBER(Z226),Z226,IF(AE226=0,0,MAX(0,MIN(10,((VALUE(LEFT(TEXT(M226,"00000000"),4))-VALUE(LEFT(F226,4)))*12+(VALUE(MID(TEXT(M226,"00000000"),5,2))-VALUE(MID(F226,5,2))))/12))))</f>
        <v/>
      </c>
      <c r="AL226" s="20">
        <f>IFERROR(G226*100-AJ226,"")</f>
        <v/>
      </c>
      <c r="AM226" s="20">
        <f>IFERROR(G226*100-(AJ226+(1+AK226)*12.5),"")</f>
        <v/>
      </c>
      <c r="AN226" s="21">
        <f>IFERROR(MIN(H226/1000000,100),"")</f>
        <v/>
      </c>
      <c r="AO226" s="20">
        <f>IFERROR(INDEX(FHA_Lookup!$B$2:$B$11,MATCH(TRUE,ISNUMBER(SEARCH(FHA_Lookup!$A$2:$A$11,UPPER(SUBSTITUTE(O226," ","")))),0)),"OTHER")</f>
        <v/>
      </c>
      <c r="AP226" s="20">
        <f>IFERROR(INDEX(FHA_Lookup!$C$2:$C$11,MATCH(TRUE,ISNUMBER(SEARCH(FHA_Lookup!$A$2:$A$11,UPPER(SUBSTITUTE(O226," ","")))),0)),"OTHER")</f>
        <v/>
      </c>
      <c r="AQ226" s="20">
        <f>IF(AP226="NC",1,0)</f>
        <v/>
      </c>
      <c r="AR226" s="20">
        <f>IF(UPPER(TRIM(P226))="AFF",1,0)</f>
        <v/>
      </c>
      <c r="AS226" s="20">
        <f>IF(UPPER(TRIM(P226))="BAF",1,0)</f>
        <v/>
      </c>
      <c r="AT226" s="20">
        <f>IF(UPPER(TRIM(P226))="MKT",1,0)</f>
        <v/>
      </c>
      <c r="AU226" s="20">
        <f>IF(AO226="221d4",1,0)</f>
        <v/>
      </c>
      <c r="AV226" s="20">
        <f>IF(AO226="223a7",1,0)</f>
        <v/>
      </c>
      <c r="AW226" s="20">
        <f>IF(AO226="232",1,0)</f>
        <v/>
      </c>
      <c r="AX226" s="20">
        <f>IF(AO226="538",1,0)</f>
        <v/>
      </c>
      <c r="AY226" s="20">
        <f>IF(AO226="241",1,0)</f>
        <v/>
      </c>
      <c r="AZ226" s="20">
        <f>IF(AO226="220",1,0)</f>
        <v/>
      </c>
      <c r="BA226" s="20">
        <f>IF(AO226="OTHER",1,0)</f>
        <v/>
      </c>
      <c r="BB226" s="20">
        <f>IF(UPPER(TRIM(C226))="LM",1,0)</f>
        <v/>
      </c>
      <c r="BC226" s="20">
        <f>IF(UPPER(TRIM(C226))="PN",1,0)</f>
        <v/>
      </c>
      <c r="BD226" s="20">
        <f>IF(UPPER(TRIM(C226))="LS",1,0)</f>
        <v/>
      </c>
      <c r="BE226" s="20">
        <f>IF(UPPER(TRIM(C226))="RX",1,0)</f>
        <v/>
      </c>
      <c r="BF226" s="22">
        <f>IFERROR((Parameters!$C$6*AM226+Parameters!$C$7*MAX(AM226-(-150),0)+Parameters!$C$8*MAX(AM226-(-50),0)+Parameters!$C$9*MAX(AM226-(0),0)+Parameters!$C$10*MAX(AM226-(50),0)+Parameters!$C$11*MAX(AM226-(100),0)+Parameters!$C$12*MAX(AM226-(150),0)+Parameters!$C$13*MAX(AM226-(250),0)),0)</f>
        <v/>
      </c>
      <c r="BG226" s="22">
        <f>IFERROR((Parameters!$C$14*AA226+Parameters!$C$15*MAX(AA226-(12),0)+Parameters!$C$16*MAX(AA226-(36),0)+Parameters!$C$17*MAX(AA226-(60),0)+Parameters!$C$18*MAX(AA226-(84),0)+Parameters!$C$19*MAX(AA226-(120),0)+Parameters!$C$20*MAX(AA226-(180),0)),0)</f>
        <v/>
      </c>
      <c r="BH226" s="22">
        <f>IFERROR((Parameters!$C$21*AK226+Parameters!$C$22*MAX(AK226-(0),0)+Parameters!$C$23*MAX(AK226-(2),0)+Parameters!$C$24*MAX(AK226-(5),0)+Parameters!$C$25*MAX(AK226-(8),0)),0)</f>
        <v/>
      </c>
      <c r="BI226" s="22">
        <f>IFERROR((Parameters!$C$26*AI226+Parameters!$C$27*MAX(AI226-(-100),0)+Parameters!$C$28*MAX(AI226-(-25),0)+Parameters!$C$29*MAX(AI226-(25),0)+Parameters!$C$30*MAX(AI226-(100),0)),0)</f>
        <v/>
      </c>
      <c r="BJ226" s="22">
        <f>IFERROR((Parameters!$C$31*AN226+Parameters!$C$32*MAX(AN226-(2),0)+Parameters!$C$33*MAX(AN226-(10),0)+Parameters!$C$34*MAX(AN226-(25),0)),0)</f>
        <v/>
      </c>
      <c r="BK226" s="22">
        <f>IFERROR((Parameters!$C$35*AB226+Parameters!$C$36*MAX(AB226-(12),0)+Parameters!$C$37*MAX(AB226-(24),0)+Parameters!$C$38*MAX(AB226-(60),0)),0)</f>
        <v/>
      </c>
      <c r="BL226" s="22">
        <f>IFERROR((Parameters!$C$39*AC226+Parameters!$C$40*MAX(AC226-(6),0)+Parameters!$C$41*MAX(AC226-(12),0)+Parameters!$C$42*MAX(AC226-(24),0)),0)</f>
        <v/>
      </c>
      <c r="BM226" s="22">
        <f>IFERROR(Parameters!$C$43*(MAX(AM226,0)*MIN(MAX(AK226,0),10))/100,0)</f>
        <v/>
      </c>
      <c r="BN226" s="22">
        <f>Parameters!$C$44*AE226</f>
        <v/>
      </c>
      <c r="BO226" s="22">
        <f>Parameters!$C$45*AU226 + Parameters!$C$46*AV226 + Parameters!$C$47*AW226 + Parameters!$C$48*AX226 + Parameters!$C$49*AY226 + Parameters!$C$50*AZ226 + Parameters!$C$51*BA226</f>
        <v/>
      </c>
      <c r="BP226" s="22">
        <f>Parameters!$C$52*AQ226</f>
        <v/>
      </c>
      <c r="BQ226" s="22">
        <f>Parameters!$C$53*AR226+Parameters!$C$54*AS226+Parameters!$C$55*AT226</f>
        <v/>
      </c>
      <c r="BR226" s="22">
        <f>Parameters!$C$56*BB226+Parameters!$C$57*BC226+Parameters!$C$58*BD226+Parameters!$C$59*BE226</f>
        <v/>
      </c>
      <c r="BS226" s="23">
        <f>Parameters!$B$2</f>
        <v/>
      </c>
      <c r="BT226" s="23">
        <f>BS226+BF226 + BG226 + BH226 + BI226 + BJ226 + BK226 + BL226 + BM226 + BN226 + BO226 + BP226 + BQ226 + BR226</f>
        <v/>
      </c>
      <c r="BU226" s="24">
        <f>IF(AD226=1,0,1/(1+EXP(-BT226))*Parameters!$B$3)</f>
        <v/>
      </c>
      <c r="BV226" s="25">
        <f>(1-(1-BU226)^12)*100</f>
        <v/>
      </c>
      <c r="BW226" s="25">
        <f>IF(AD226=1,0,(1-(1-1/(1+EXP(-Parameters!$B$2)))^12)*100)</f>
        <v/>
      </c>
      <c r="BX226" s="25">
        <f>IF(AD226=1,0,BV226-(1-(1-(1/(1+EXP(-(BT226-BF226)))*Parameters!$B$3))^12)*100)</f>
        <v/>
      </c>
      <c r="BY226" s="25">
        <f>IF(AD226=1,0,BV226-(1-(1-(1/(1+EXP(-(BT226-BG226)))*Parameters!$B$3))^12)*100)</f>
        <v/>
      </c>
      <c r="BZ226" s="25">
        <f>IF(AD226=1,0,BV226-(1-(1-(1/(1+EXP(-(BT226-BH226)))*Parameters!$B$3))^12)*100)</f>
        <v/>
      </c>
      <c r="CA226" s="25">
        <f>IF(AD226=1,0,BV226-(1-(1-(1/(1+EXP(-(BT226-BI226)))*Parameters!$B$3))^12)*100)</f>
        <v/>
      </c>
      <c r="CB226" s="25">
        <f>IF(AD226=1,0,BV226-(1-(1-(1/(1+EXP(-(BT226-BJ226)))*Parameters!$B$3))^12)*100)</f>
        <v/>
      </c>
      <c r="CC226" s="25">
        <f>IF(AD226=1,0,BV226-(1-(1-(1/(1+EXP(-(BT226-BK226)))*Parameters!$B$3))^12)*100)</f>
        <v/>
      </c>
      <c r="CD226" s="25">
        <f>IF(AD226=1,0,BV226-(1-(1-(1/(1+EXP(-(BT226-BL226)))*Parameters!$B$3))^12)*100)</f>
        <v/>
      </c>
      <c r="CE226" s="25">
        <f>IF(AD226=1,0,BV226-(1-(1-(1/(1+EXP(-(BT226-BM226)))*Parameters!$B$3))^12)*100)</f>
        <v/>
      </c>
      <c r="CF226" s="25">
        <f>IF(AD226=1,0,BV226-(1-(1-(1/(1+EXP(-(BT226-BN226)))*Parameters!$B$3))^12)*100)</f>
        <v/>
      </c>
      <c r="CG226" s="25">
        <f>IF(AD226=1,0,BV226-(1-(1-(1/(1+EXP(-(BT226-BO226)))*Parameters!$B$3))^12)*100)</f>
        <v/>
      </c>
      <c r="CH226" s="25">
        <f>IF(AD226=1,0,BV226-(1-(1-(1/(1+EXP(-(BT226-BP226)))*Parameters!$B$3))^12)*100)</f>
        <v/>
      </c>
      <c r="CI226" s="25">
        <f>IF(AD226=1,0,BV226-(1-(1-(1/(1+EXP(-(BT226-BQ226)))*Parameters!$B$3))^12)*100)</f>
        <v/>
      </c>
      <c r="CJ226" s="25">
        <f>IF(AD226=1,0,BV226-(1-(1-(1/(1+EXP(-(BT226-BR226)))*Parameters!$B$3))^12)*100)</f>
        <v/>
      </c>
    </row>
    <row r="227">
      <c r="A227" s="17" t="inlineStr">
        <is>
          <t>GNR_DIVERSE</t>
        </is>
      </c>
      <c r="B227" s="17" t="inlineStr">
        <is>
          <t>3617XSCV0</t>
        </is>
      </c>
      <c r="C227" s="17" t="inlineStr">
        <is>
          <t>PN</t>
        </is>
      </c>
      <c r="D227" s="17" t="inlineStr">
        <is>
          <t>PGIM REAL ESTATE AGENCY FINANCING, LLC.</t>
        </is>
      </c>
      <c r="E227" s="17" t="inlineStr">
        <is>
          <t>3617XSCV0_000000005311541</t>
        </is>
      </c>
      <c r="F227" s="17" t="n">
        <v>202603</v>
      </c>
      <c r="G227" s="18" t="n">
        <v>2.39</v>
      </c>
      <c r="H227" s="19" t="n">
        <v>32072017.75</v>
      </c>
      <c r="I227" s="17" t="n">
        <v>420</v>
      </c>
      <c r="J227" s="17" t="n">
        <v>20220101</v>
      </c>
      <c r="K227" s="17" t="n">
        <v>20570201</v>
      </c>
      <c r="L227" s="17" t="n"/>
      <c r="M227" s="17" t="n">
        <v>20320229</v>
      </c>
      <c r="N227" s="17" t="n">
        <v>10</v>
      </c>
      <c r="O227" s="17" t="inlineStr">
        <is>
          <t>207/223(F)</t>
        </is>
      </c>
      <c r="P227" s="17" t="inlineStr">
        <is>
          <t>MKT</t>
        </is>
      </c>
      <c r="Q227" s="17" t="n"/>
      <c r="R227" s="17" t="n"/>
      <c r="S227" s="17" t="n"/>
      <c r="T227" s="17" t="inlineStr">
        <is>
          <t>NC</t>
        </is>
      </c>
      <c r="U227" s="17" t="n">
        <v>204</v>
      </c>
      <c r="V227" s="17" t="n">
        <v>490.5</v>
      </c>
      <c r="W227" s="17" t="n">
        <v>50</v>
      </c>
      <c r="X227" s="17" t="n">
        <v>2022</v>
      </c>
      <c r="Y227" s="17" t="n">
        <v>-136</v>
      </c>
      <c r="Z227" s="17" t="n">
        <v>7</v>
      </c>
      <c r="AA227" s="20">
        <f>IF(ISNUMBER(W227),W227,IFERROR(MAX(0,(VALUE(LEFT(F227,4))-VALUE(LEFT(TEXT(J227,"00000000"),4)))*12+(VALUE(MID(F227,5,2))-VALUE(MID(TEXT(J227,"00000000"),5,2)))),""))</f>
        <v/>
      </c>
      <c r="AB227" s="20">
        <f>IFERROR((VALUE(LEFT(TEXT(K227,"00000000"),4))-VALUE(LEFT(F227,4)))*12+(VALUE(MID(TEXT(K227,"00000000"),5,2))-VALUE(MID(F227,5,2))),"")</f>
        <v/>
      </c>
      <c r="AC227" s="20">
        <f>IF(OR(L227="",NOT(ISNUMBER(L227))),0,MAX(0,MIN(60,(VALUE(LEFT(F227,4))-VALUE(LEFT(TEXT(L227,"00000000"),4)))*12+(VALUE(MID(F227,5,2))-VALUE(MID(TEXT(L227,"00000000"),5,2))))))</f>
        <v/>
      </c>
      <c r="AD227" s="20">
        <f>IF(OR(L227="",NOT(ISNUMBER(L227))),0,IF(VALUE(F227)&lt;VALUE(LEFT(TEXT(L227,"00000000"),6)),1,0))</f>
        <v/>
      </c>
      <c r="AE227" s="20">
        <f>IF(OR(M227="",NOT(ISNUMBER(M227))),0,IF(VALUE(F227)&lt;VALUE(LEFT(TEXT(M227,"00000000"),6)),1,0))</f>
        <v/>
      </c>
      <c r="AF227" s="20">
        <f>IF(AND(AD227=0,AE227=0),1,0)</f>
        <v/>
      </c>
      <c r="AG227" s="20">
        <f>IF(ISNUMBER(X227),X227,IFERROR(VALUE(LEFT(TEXT(J227,"00000000"),4)),""))</f>
        <v/>
      </c>
      <c r="AH227" s="20">
        <f>IFERROR(XLOOKUP(AG227,Vintage_Rates!$A$2:$A$1000,Vintage_Rates!$B$2:$B$1000,""),"")</f>
        <v/>
      </c>
      <c r="AI227" s="20">
        <f>IF(ISNUMBER(Y227),Y227,IFERROR((G227-AH227)*100,""))</f>
        <v/>
      </c>
      <c r="AJ227" s="20">
        <f>IF(ISNUMBER(V227),V227,IFERROR(XLOOKUP(VALUE(F227),PLC_Rates!$A$2:$A$1000,PLC_Rates!$B$2:$B$1000,""),""))</f>
        <v/>
      </c>
      <c r="AK227" s="20">
        <f>IF(ISNUMBER(Z227),Z227,IF(AE227=0,0,MAX(0,MIN(10,((VALUE(LEFT(TEXT(M227,"00000000"),4))-VALUE(LEFT(F227,4)))*12+(VALUE(MID(TEXT(M227,"00000000"),5,2))-VALUE(MID(F227,5,2))))/12))))</f>
        <v/>
      </c>
      <c r="AL227" s="20">
        <f>IFERROR(G227*100-AJ227,"")</f>
        <v/>
      </c>
      <c r="AM227" s="20">
        <f>IFERROR(G227*100-(AJ227+(1+AK227)*12.5),"")</f>
        <v/>
      </c>
      <c r="AN227" s="21">
        <f>IFERROR(MIN(H227/1000000,100),"")</f>
        <v/>
      </c>
      <c r="AO227" s="20">
        <f>IFERROR(INDEX(FHA_Lookup!$B$2:$B$11,MATCH(TRUE,ISNUMBER(SEARCH(FHA_Lookup!$A$2:$A$11,UPPER(SUBSTITUTE(O227," ","")))),0)),"OTHER")</f>
        <v/>
      </c>
      <c r="AP227" s="20">
        <f>IFERROR(INDEX(FHA_Lookup!$C$2:$C$11,MATCH(TRUE,ISNUMBER(SEARCH(FHA_Lookup!$A$2:$A$11,UPPER(SUBSTITUTE(O227," ","")))),0)),"OTHER")</f>
        <v/>
      </c>
      <c r="AQ227" s="20">
        <f>IF(AP227="NC",1,0)</f>
        <v/>
      </c>
      <c r="AR227" s="20">
        <f>IF(UPPER(TRIM(P227))="AFF",1,0)</f>
        <v/>
      </c>
      <c r="AS227" s="20">
        <f>IF(UPPER(TRIM(P227))="BAF",1,0)</f>
        <v/>
      </c>
      <c r="AT227" s="20">
        <f>IF(UPPER(TRIM(P227))="MKT",1,0)</f>
        <v/>
      </c>
      <c r="AU227" s="20">
        <f>IF(AO227="221d4",1,0)</f>
        <v/>
      </c>
      <c r="AV227" s="20">
        <f>IF(AO227="223a7",1,0)</f>
        <v/>
      </c>
      <c r="AW227" s="20">
        <f>IF(AO227="232",1,0)</f>
        <v/>
      </c>
      <c r="AX227" s="20">
        <f>IF(AO227="538",1,0)</f>
        <v/>
      </c>
      <c r="AY227" s="20">
        <f>IF(AO227="241",1,0)</f>
        <v/>
      </c>
      <c r="AZ227" s="20">
        <f>IF(AO227="220",1,0)</f>
        <v/>
      </c>
      <c r="BA227" s="20">
        <f>IF(AO227="OTHER",1,0)</f>
        <v/>
      </c>
      <c r="BB227" s="20">
        <f>IF(UPPER(TRIM(C227))="LM",1,0)</f>
        <v/>
      </c>
      <c r="BC227" s="20">
        <f>IF(UPPER(TRIM(C227))="PN",1,0)</f>
        <v/>
      </c>
      <c r="BD227" s="20">
        <f>IF(UPPER(TRIM(C227))="LS",1,0)</f>
        <v/>
      </c>
      <c r="BE227" s="20">
        <f>IF(UPPER(TRIM(C227))="RX",1,0)</f>
        <v/>
      </c>
      <c r="BF227" s="22">
        <f>IFERROR((Parameters!$C$6*AM227+Parameters!$C$7*MAX(AM227-(-150),0)+Parameters!$C$8*MAX(AM227-(-50),0)+Parameters!$C$9*MAX(AM227-(0),0)+Parameters!$C$10*MAX(AM227-(50),0)+Parameters!$C$11*MAX(AM227-(100),0)+Parameters!$C$12*MAX(AM227-(150),0)+Parameters!$C$13*MAX(AM227-(250),0)),0)</f>
        <v/>
      </c>
      <c r="BG227" s="22">
        <f>IFERROR((Parameters!$C$14*AA227+Parameters!$C$15*MAX(AA227-(12),0)+Parameters!$C$16*MAX(AA227-(36),0)+Parameters!$C$17*MAX(AA227-(60),0)+Parameters!$C$18*MAX(AA227-(84),0)+Parameters!$C$19*MAX(AA227-(120),0)+Parameters!$C$20*MAX(AA227-(180),0)),0)</f>
        <v/>
      </c>
      <c r="BH227" s="22">
        <f>IFERROR((Parameters!$C$21*AK227+Parameters!$C$22*MAX(AK227-(0),0)+Parameters!$C$23*MAX(AK227-(2),0)+Parameters!$C$24*MAX(AK227-(5),0)+Parameters!$C$25*MAX(AK227-(8),0)),0)</f>
        <v/>
      </c>
      <c r="BI227" s="22">
        <f>IFERROR((Parameters!$C$26*AI227+Parameters!$C$27*MAX(AI227-(-100),0)+Parameters!$C$28*MAX(AI227-(-25),0)+Parameters!$C$29*MAX(AI227-(25),0)+Parameters!$C$30*MAX(AI227-(100),0)),0)</f>
        <v/>
      </c>
      <c r="BJ227" s="22">
        <f>IFERROR((Parameters!$C$31*AN227+Parameters!$C$32*MAX(AN227-(2),0)+Parameters!$C$33*MAX(AN227-(10),0)+Parameters!$C$34*MAX(AN227-(25),0)),0)</f>
        <v/>
      </c>
      <c r="BK227" s="22">
        <f>IFERROR((Parameters!$C$35*AB227+Parameters!$C$36*MAX(AB227-(12),0)+Parameters!$C$37*MAX(AB227-(24),0)+Parameters!$C$38*MAX(AB227-(60),0)),0)</f>
        <v/>
      </c>
      <c r="BL227" s="22">
        <f>IFERROR((Parameters!$C$39*AC227+Parameters!$C$40*MAX(AC227-(6),0)+Parameters!$C$41*MAX(AC227-(12),0)+Parameters!$C$42*MAX(AC227-(24),0)),0)</f>
        <v/>
      </c>
      <c r="BM227" s="22">
        <f>IFERROR(Parameters!$C$43*(MAX(AM227,0)*MIN(MAX(AK227,0),10))/100,0)</f>
        <v/>
      </c>
      <c r="BN227" s="22">
        <f>Parameters!$C$44*AE227</f>
        <v/>
      </c>
      <c r="BO227" s="22">
        <f>Parameters!$C$45*AU227 + Parameters!$C$46*AV227 + Parameters!$C$47*AW227 + Parameters!$C$48*AX227 + Parameters!$C$49*AY227 + Parameters!$C$50*AZ227 + Parameters!$C$51*BA227</f>
        <v/>
      </c>
      <c r="BP227" s="22">
        <f>Parameters!$C$52*AQ227</f>
        <v/>
      </c>
      <c r="BQ227" s="22">
        <f>Parameters!$C$53*AR227+Parameters!$C$54*AS227+Parameters!$C$55*AT227</f>
        <v/>
      </c>
      <c r="BR227" s="22">
        <f>Parameters!$C$56*BB227+Parameters!$C$57*BC227+Parameters!$C$58*BD227+Parameters!$C$59*BE227</f>
        <v/>
      </c>
      <c r="BS227" s="23">
        <f>Parameters!$B$2</f>
        <v/>
      </c>
      <c r="BT227" s="23">
        <f>BS227+BF227 + BG227 + BH227 + BI227 + BJ227 + BK227 + BL227 + BM227 + BN227 + BO227 + BP227 + BQ227 + BR227</f>
        <v/>
      </c>
      <c r="BU227" s="24">
        <f>IF(AD227=1,0,1/(1+EXP(-BT227))*Parameters!$B$3)</f>
        <v/>
      </c>
      <c r="BV227" s="25">
        <f>(1-(1-BU227)^12)*100</f>
        <v/>
      </c>
      <c r="BW227" s="25">
        <f>IF(AD227=1,0,(1-(1-1/(1+EXP(-Parameters!$B$2)))^12)*100)</f>
        <v/>
      </c>
      <c r="BX227" s="25">
        <f>IF(AD227=1,0,BV227-(1-(1-(1/(1+EXP(-(BT227-BF227)))*Parameters!$B$3))^12)*100)</f>
        <v/>
      </c>
      <c r="BY227" s="25">
        <f>IF(AD227=1,0,BV227-(1-(1-(1/(1+EXP(-(BT227-BG227)))*Parameters!$B$3))^12)*100)</f>
        <v/>
      </c>
      <c r="BZ227" s="25">
        <f>IF(AD227=1,0,BV227-(1-(1-(1/(1+EXP(-(BT227-BH227)))*Parameters!$B$3))^12)*100)</f>
        <v/>
      </c>
      <c r="CA227" s="25">
        <f>IF(AD227=1,0,BV227-(1-(1-(1/(1+EXP(-(BT227-BI227)))*Parameters!$B$3))^12)*100)</f>
        <v/>
      </c>
      <c r="CB227" s="25">
        <f>IF(AD227=1,0,BV227-(1-(1-(1/(1+EXP(-(BT227-BJ227)))*Parameters!$B$3))^12)*100)</f>
        <v/>
      </c>
      <c r="CC227" s="25">
        <f>IF(AD227=1,0,BV227-(1-(1-(1/(1+EXP(-(BT227-BK227)))*Parameters!$B$3))^12)*100)</f>
        <v/>
      </c>
      <c r="CD227" s="25">
        <f>IF(AD227=1,0,BV227-(1-(1-(1/(1+EXP(-(BT227-BL227)))*Parameters!$B$3))^12)*100)</f>
        <v/>
      </c>
      <c r="CE227" s="25">
        <f>IF(AD227=1,0,BV227-(1-(1-(1/(1+EXP(-(BT227-BM227)))*Parameters!$B$3))^12)*100)</f>
        <v/>
      </c>
      <c r="CF227" s="25">
        <f>IF(AD227=1,0,BV227-(1-(1-(1/(1+EXP(-(BT227-BN227)))*Parameters!$B$3))^12)*100)</f>
        <v/>
      </c>
      <c r="CG227" s="25">
        <f>IF(AD227=1,0,BV227-(1-(1-(1/(1+EXP(-(BT227-BO227)))*Parameters!$B$3))^12)*100)</f>
        <v/>
      </c>
      <c r="CH227" s="25">
        <f>IF(AD227=1,0,BV227-(1-(1-(1/(1+EXP(-(BT227-BP227)))*Parameters!$B$3))^12)*100)</f>
        <v/>
      </c>
      <c r="CI227" s="25">
        <f>IF(AD227=1,0,BV227-(1-(1-(1/(1+EXP(-(BT227-BQ227)))*Parameters!$B$3))^12)*100)</f>
        <v/>
      </c>
      <c r="CJ227" s="25">
        <f>IF(AD227=1,0,BV227-(1-(1-(1/(1+EXP(-(BT227-BR227)))*Parameters!$B$3))^12)*100)</f>
        <v/>
      </c>
    </row>
    <row r="228">
      <c r="A228" s="17" t="inlineStr">
        <is>
          <t>GNR_DIVERSE</t>
        </is>
      </c>
      <c r="B228" s="17" t="inlineStr">
        <is>
          <t>36182DG82</t>
        </is>
      </c>
      <c r="C228" s="17" t="inlineStr">
        <is>
          <t>LM</t>
        </is>
      </c>
      <c r="D228" s="17" t="inlineStr">
        <is>
          <t>MIDCAP FINANCIAL HOUSING CAPITAL, INC.</t>
        </is>
      </c>
      <c r="E228" s="17" t="inlineStr">
        <is>
          <t>36182DG82_000000010322066</t>
        </is>
      </c>
      <c r="F228" s="17" t="n">
        <v>202603</v>
      </c>
      <c r="G228" s="18" t="n">
        <v>3.55</v>
      </c>
      <c r="H228" s="19" t="n">
        <v>18237083.03</v>
      </c>
      <c r="I228" s="17" t="n">
        <v>420</v>
      </c>
      <c r="J228" s="17" t="n">
        <v>20180827</v>
      </c>
      <c r="K228" s="17" t="n">
        <v>20531101</v>
      </c>
      <c r="L228" s="17" t="n"/>
      <c r="M228" s="17" t="n">
        <v>20310201</v>
      </c>
      <c r="N228" s="17" t="n">
        <v>10</v>
      </c>
      <c r="O228" s="17" t="inlineStr">
        <is>
          <t>232/223(F)</t>
        </is>
      </c>
      <c r="P228" s="17" t="inlineStr">
        <is>
          <t>MKT</t>
        </is>
      </c>
      <c r="Q228" s="17" t="inlineStr">
        <is>
          <t>M</t>
        </is>
      </c>
      <c r="R228" s="17" t="n"/>
      <c r="S228" s="17" t="n">
        <v>1</v>
      </c>
      <c r="T228" s="17" t="inlineStr">
        <is>
          <t>NE</t>
        </is>
      </c>
      <c r="U228" s="17" t="n">
        <v>240</v>
      </c>
      <c r="V228" s="17" t="n">
        <v>490.5</v>
      </c>
      <c r="W228" s="17" t="n">
        <v>91</v>
      </c>
      <c r="X228" s="17" t="n">
        <v>2018</v>
      </c>
      <c r="Y228" s="17" t="n">
        <v>-47</v>
      </c>
      <c r="Z228" s="17" t="n">
        <v>6</v>
      </c>
      <c r="AA228" s="20">
        <f>IF(ISNUMBER(W228),W228,IFERROR(MAX(0,(VALUE(LEFT(F228,4))-VALUE(LEFT(TEXT(J228,"00000000"),4)))*12+(VALUE(MID(F228,5,2))-VALUE(MID(TEXT(J228,"00000000"),5,2)))),""))</f>
        <v/>
      </c>
      <c r="AB228" s="20">
        <f>IFERROR((VALUE(LEFT(TEXT(K228,"00000000"),4))-VALUE(LEFT(F228,4)))*12+(VALUE(MID(TEXT(K228,"00000000"),5,2))-VALUE(MID(F228,5,2))),"")</f>
        <v/>
      </c>
      <c r="AC228" s="20">
        <f>IF(OR(L228="",NOT(ISNUMBER(L228))),0,MAX(0,MIN(60,(VALUE(LEFT(F228,4))-VALUE(LEFT(TEXT(L228,"00000000"),4)))*12+(VALUE(MID(F228,5,2))-VALUE(MID(TEXT(L228,"00000000"),5,2))))))</f>
        <v/>
      </c>
      <c r="AD228" s="20">
        <f>IF(OR(L228="",NOT(ISNUMBER(L228))),0,IF(VALUE(F228)&lt;VALUE(LEFT(TEXT(L228,"00000000"),6)),1,0))</f>
        <v/>
      </c>
      <c r="AE228" s="20">
        <f>IF(OR(M228="",NOT(ISNUMBER(M228))),0,IF(VALUE(F228)&lt;VALUE(LEFT(TEXT(M228,"00000000"),6)),1,0))</f>
        <v/>
      </c>
      <c r="AF228" s="20">
        <f>IF(AND(AD228=0,AE228=0),1,0)</f>
        <v/>
      </c>
      <c r="AG228" s="20">
        <f>IF(ISNUMBER(X228),X228,IFERROR(VALUE(LEFT(TEXT(J228,"00000000"),4)),""))</f>
        <v/>
      </c>
      <c r="AH228" s="20">
        <f>IFERROR(XLOOKUP(AG228,Vintage_Rates!$A$2:$A$1000,Vintage_Rates!$B$2:$B$1000,""),"")</f>
        <v/>
      </c>
      <c r="AI228" s="20">
        <f>IF(ISNUMBER(Y228),Y228,IFERROR((G228-AH228)*100,""))</f>
        <v/>
      </c>
      <c r="AJ228" s="20">
        <f>IF(ISNUMBER(V228),V228,IFERROR(XLOOKUP(VALUE(F228),PLC_Rates!$A$2:$A$1000,PLC_Rates!$B$2:$B$1000,""),""))</f>
        <v/>
      </c>
      <c r="AK228" s="20">
        <f>IF(ISNUMBER(Z228),Z228,IF(AE228=0,0,MAX(0,MIN(10,((VALUE(LEFT(TEXT(M228,"00000000"),4))-VALUE(LEFT(F228,4)))*12+(VALUE(MID(TEXT(M228,"00000000"),5,2))-VALUE(MID(F228,5,2))))/12))))</f>
        <v/>
      </c>
      <c r="AL228" s="20">
        <f>IFERROR(G228*100-AJ228,"")</f>
        <v/>
      </c>
      <c r="AM228" s="20">
        <f>IFERROR(G228*100-(AJ228+(1+AK228)*12.5),"")</f>
        <v/>
      </c>
      <c r="AN228" s="21">
        <f>IFERROR(MIN(H228/1000000,100),"")</f>
        <v/>
      </c>
      <c r="AO228" s="20">
        <f>IFERROR(INDEX(FHA_Lookup!$B$2:$B$11,MATCH(TRUE,ISNUMBER(SEARCH(FHA_Lookup!$A$2:$A$11,UPPER(SUBSTITUTE(O228," ","")))),0)),"OTHER")</f>
        <v/>
      </c>
      <c r="AP228" s="20">
        <f>IFERROR(INDEX(FHA_Lookup!$C$2:$C$11,MATCH(TRUE,ISNUMBER(SEARCH(FHA_Lookup!$A$2:$A$11,UPPER(SUBSTITUTE(O228," ","")))),0)),"OTHER")</f>
        <v/>
      </c>
      <c r="AQ228" s="20">
        <f>IF(AP228="NC",1,0)</f>
        <v/>
      </c>
      <c r="AR228" s="20">
        <f>IF(UPPER(TRIM(P228))="AFF",1,0)</f>
        <v/>
      </c>
      <c r="AS228" s="20">
        <f>IF(UPPER(TRIM(P228))="BAF",1,0)</f>
        <v/>
      </c>
      <c r="AT228" s="20">
        <f>IF(UPPER(TRIM(P228))="MKT",1,0)</f>
        <v/>
      </c>
      <c r="AU228" s="20">
        <f>IF(AO228="221d4",1,0)</f>
        <v/>
      </c>
      <c r="AV228" s="20">
        <f>IF(AO228="223a7",1,0)</f>
        <v/>
      </c>
      <c r="AW228" s="20">
        <f>IF(AO228="232",1,0)</f>
        <v/>
      </c>
      <c r="AX228" s="20">
        <f>IF(AO228="538",1,0)</f>
        <v/>
      </c>
      <c r="AY228" s="20">
        <f>IF(AO228="241",1,0)</f>
        <v/>
      </c>
      <c r="AZ228" s="20">
        <f>IF(AO228="220",1,0)</f>
        <v/>
      </c>
      <c r="BA228" s="20">
        <f>IF(AO228="OTHER",1,0)</f>
        <v/>
      </c>
      <c r="BB228" s="20">
        <f>IF(UPPER(TRIM(C228))="LM",1,0)</f>
        <v/>
      </c>
      <c r="BC228" s="20">
        <f>IF(UPPER(TRIM(C228))="PN",1,0)</f>
        <v/>
      </c>
      <c r="BD228" s="20">
        <f>IF(UPPER(TRIM(C228))="LS",1,0)</f>
        <v/>
      </c>
      <c r="BE228" s="20">
        <f>IF(UPPER(TRIM(C228))="RX",1,0)</f>
        <v/>
      </c>
      <c r="BF228" s="22">
        <f>IFERROR((Parameters!$C$6*AM228+Parameters!$C$7*MAX(AM228-(-150),0)+Parameters!$C$8*MAX(AM228-(-50),0)+Parameters!$C$9*MAX(AM228-(0),0)+Parameters!$C$10*MAX(AM228-(50),0)+Parameters!$C$11*MAX(AM228-(100),0)+Parameters!$C$12*MAX(AM228-(150),0)+Parameters!$C$13*MAX(AM228-(250),0)),0)</f>
        <v/>
      </c>
      <c r="BG228" s="22">
        <f>IFERROR((Parameters!$C$14*AA228+Parameters!$C$15*MAX(AA228-(12),0)+Parameters!$C$16*MAX(AA228-(36),0)+Parameters!$C$17*MAX(AA228-(60),0)+Parameters!$C$18*MAX(AA228-(84),0)+Parameters!$C$19*MAX(AA228-(120),0)+Parameters!$C$20*MAX(AA228-(180),0)),0)</f>
        <v/>
      </c>
      <c r="BH228" s="22">
        <f>IFERROR((Parameters!$C$21*AK228+Parameters!$C$22*MAX(AK228-(0),0)+Parameters!$C$23*MAX(AK228-(2),0)+Parameters!$C$24*MAX(AK228-(5),0)+Parameters!$C$25*MAX(AK228-(8),0)),0)</f>
        <v/>
      </c>
      <c r="BI228" s="22">
        <f>IFERROR((Parameters!$C$26*AI228+Parameters!$C$27*MAX(AI228-(-100),0)+Parameters!$C$28*MAX(AI228-(-25),0)+Parameters!$C$29*MAX(AI228-(25),0)+Parameters!$C$30*MAX(AI228-(100),0)),0)</f>
        <v/>
      </c>
      <c r="BJ228" s="22">
        <f>IFERROR((Parameters!$C$31*AN228+Parameters!$C$32*MAX(AN228-(2),0)+Parameters!$C$33*MAX(AN228-(10),0)+Parameters!$C$34*MAX(AN228-(25),0)),0)</f>
        <v/>
      </c>
      <c r="BK228" s="22">
        <f>IFERROR((Parameters!$C$35*AB228+Parameters!$C$36*MAX(AB228-(12),0)+Parameters!$C$37*MAX(AB228-(24),0)+Parameters!$C$38*MAX(AB228-(60),0)),0)</f>
        <v/>
      </c>
      <c r="BL228" s="22">
        <f>IFERROR((Parameters!$C$39*AC228+Parameters!$C$40*MAX(AC228-(6),0)+Parameters!$C$41*MAX(AC228-(12),0)+Parameters!$C$42*MAX(AC228-(24),0)),0)</f>
        <v/>
      </c>
      <c r="BM228" s="22">
        <f>IFERROR(Parameters!$C$43*(MAX(AM228,0)*MIN(MAX(AK228,0),10))/100,0)</f>
        <v/>
      </c>
      <c r="BN228" s="22">
        <f>Parameters!$C$44*AE228</f>
        <v/>
      </c>
      <c r="BO228" s="22">
        <f>Parameters!$C$45*AU228 + Parameters!$C$46*AV228 + Parameters!$C$47*AW228 + Parameters!$C$48*AX228 + Parameters!$C$49*AY228 + Parameters!$C$50*AZ228 + Parameters!$C$51*BA228</f>
        <v/>
      </c>
      <c r="BP228" s="22">
        <f>Parameters!$C$52*AQ228</f>
        <v/>
      </c>
      <c r="BQ228" s="22">
        <f>Parameters!$C$53*AR228+Parameters!$C$54*AS228+Parameters!$C$55*AT228</f>
        <v/>
      </c>
      <c r="BR228" s="22">
        <f>Parameters!$C$56*BB228+Parameters!$C$57*BC228+Parameters!$C$58*BD228+Parameters!$C$59*BE228</f>
        <v/>
      </c>
      <c r="BS228" s="23">
        <f>Parameters!$B$2</f>
        <v/>
      </c>
      <c r="BT228" s="23">
        <f>BS228+BF228 + BG228 + BH228 + BI228 + BJ228 + BK228 + BL228 + BM228 + BN228 + BO228 + BP228 + BQ228 + BR228</f>
        <v/>
      </c>
      <c r="BU228" s="24">
        <f>IF(AD228=1,0,1/(1+EXP(-BT228))*Parameters!$B$3)</f>
        <v/>
      </c>
      <c r="BV228" s="25">
        <f>(1-(1-BU228)^12)*100</f>
        <v/>
      </c>
      <c r="BW228" s="25">
        <f>IF(AD228=1,0,(1-(1-1/(1+EXP(-Parameters!$B$2)))^12)*100)</f>
        <v/>
      </c>
      <c r="BX228" s="25">
        <f>IF(AD228=1,0,BV228-(1-(1-(1/(1+EXP(-(BT228-BF228)))*Parameters!$B$3))^12)*100)</f>
        <v/>
      </c>
      <c r="BY228" s="25">
        <f>IF(AD228=1,0,BV228-(1-(1-(1/(1+EXP(-(BT228-BG228)))*Parameters!$B$3))^12)*100)</f>
        <v/>
      </c>
      <c r="BZ228" s="25">
        <f>IF(AD228=1,0,BV228-(1-(1-(1/(1+EXP(-(BT228-BH228)))*Parameters!$B$3))^12)*100)</f>
        <v/>
      </c>
      <c r="CA228" s="25">
        <f>IF(AD228=1,0,BV228-(1-(1-(1/(1+EXP(-(BT228-BI228)))*Parameters!$B$3))^12)*100)</f>
        <v/>
      </c>
      <c r="CB228" s="25">
        <f>IF(AD228=1,0,BV228-(1-(1-(1/(1+EXP(-(BT228-BJ228)))*Parameters!$B$3))^12)*100)</f>
        <v/>
      </c>
      <c r="CC228" s="25">
        <f>IF(AD228=1,0,BV228-(1-(1-(1/(1+EXP(-(BT228-BK228)))*Parameters!$B$3))^12)*100)</f>
        <v/>
      </c>
      <c r="CD228" s="25">
        <f>IF(AD228=1,0,BV228-(1-(1-(1/(1+EXP(-(BT228-BL228)))*Parameters!$B$3))^12)*100)</f>
        <v/>
      </c>
      <c r="CE228" s="25">
        <f>IF(AD228=1,0,BV228-(1-(1-(1/(1+EXP(-(BT228-BM228)))*Parameters!$B$3))^12)*100)</f>
        <v/>
      </c>
      <c r="CF228" s="25">
        <f>IF(AD228=1,0,BV228-(1-(1-(1/(1+EXP(-(BT228-BN228)))*Parameters!$B$3))^12)*100)</f>
        <v/>
      </c>
      <c r="CG228" s="25">
        <f>IF(AD228=1,0,BV228-(1-(1-(1/(1+EXP(-(BT228-BO228)))*Parameters!$B$3))^12)*100)</f>
        <v/>
      </c>
      <c r="CH228" s="25">
        <f>IF(AD228=1,0,BV228-(1-(1-(1/(1+EXP(-(BT228-BP228)))*Parameters!$B$3))^12)*100)</f>
        <v/>
      </c>
      <c r="CI228" s="25">
        <f>IF(AD228=1,0,BV228-(1-(1-(1/(1+EXP(-(BT228-BQ228)))*Parameters!$B$3))^12)*100)</f>
        <v/>
      </c>
      <c r="CJ228" s="25">
        <f>IF(AD228=1,0,BV228-(1-(1-(1/(1+EXP(-(BT228-BR228)))*Parameters!$B$3))^12)*100)</f>
        <v/>
      </c>
    </row>
    <row r="229">
      <c r="A229" s="17" t="inlineStr">
        <is>
          <t>GNR_DIVERSE</t>
        </is>
      </c>
      <c r="B229" s="17" t="inlineStr">
        <is>
          <t>36195QCG4</t>
        </is>
      </c>
      <c r="C229" s="17" t="inlineStr">
        <is>
          <t>PN</t>
        </is>
      </c>
      <c r="D229" s="17" t="inlineStr">
        <is>
          <t>COLLIERS MORTGAGE LLC</t>
        </is>
      </c>
      <c r="E229" s="17" t="inlineStr">
        <is>
          <t>36195QCG4_000000009211447</t>
        </is>
      </c>
      <c r="F229" s="17" t="n">
        <v>202603</v>
      </c>
      <c r="G229" s="18" t="n">
        <v>3.41</v>
      </c>
      <c r="H229" s="19" t="n">
        <v>11495887.22</v>
      </c>
      <c r="I229" s="17" t="n">
        <v>420</v>
      </c>
      <c r="J229" s="17" t="n">
        <v>20170317</v>
      </c>
      <c r="K229" s="17" t="n">
        <v>20520401</v>
      </c>
      <c r="L229" s="17" t="n"/>
      <c r="M229" s="17" t="n">
        <v>20270501</v>
      </c>
      <c r="N229" s="17" t="n">
        <v>10</v>
      </c>
      <c r="O229" s="17" t="inlineStr">
        <is>
          <t>207/223F</t>
        </is>
      </c>
      <c r="P229" s="17" t="inlineStr">
        <is>
          <t>BAF</t>
        </is>
      </c>
      <c r="Q229" s="17" t="n"/>
      <c r="R229" s="17" t="n"/>
      <c r="S229" s="17" t="n"/>
      <c r="T229" s="17" t="inlineStr">
        <is>
          <t>MN</t>
        </is>
      </c>
      <c r="U229" s="17" t="n">
        <v>168</v>
      </c>
      <c r="V229" s="17" t="n">
        <v>490.5</v>
      </c>
      <c r="W229" s="17" t="n">
        <v>108</v>
      </c>
      <c r="X229" s="17" t="n">
        <v>2017</v>
      </c>
      <c r="Y229" s="17" t="n">
        <v>-6</v>
      </c>
      <c r="Z229" s="17" t="n">
        <v>0</v>
      </c>
      <c r="AA229" s="20">
        <f>IF(ISNUMBER(W229),W229,IFERROR(MAX(0,(VALUE(LEFT(F229,4))-VALUE(LEFT(TEXT(J229,"00000000"),4)))*12+(VALUE(MID(F229,5,2))-VALUE(MID(TEXT(J229,"00000000"),5,2)))),""))</f>
        <v/>
      </c>
      <c r="AB229" s="20">
        <f>IFERROR((VALUE(LEFT(TEXT(K229,"00000000"),4))-VALUE(LEFT(F229,4)))*12+(VALUE(MID(TEXT(K229,"00000000"),5,2))-VALUE(MID(F229,5,2))),"")</f>
        <v/>
      </c>
      <c r="AC229" s="20">
        <f>IF(OR(L229="",NOT(ISNUMBER(L229))),0,MAX(0,MIN(60,(VALUE(LEFT(F229,4))-VALUE(LEFT(TEXT(L229,"00000000"),4)))*12+(VALUE(MID(F229,5,2))-VALUE(MID(TEXT(L229,"00000000"),5,2))))))</f>
        <v/>
      </c>
      <c r="AD229" s="20">
        <f>IF(OR(L229="",NOT(ISNUMBER(L229))),0,IF(VALUE(F229)&lt;VALUE(LEFT(TEXT(L229,"00000000"),6)),1,0))</f>
        <v/>
      </c>
      <c r="AE229" s="20">
        <f>IF(OR(M229="",NOT(ISNUMBER(M229))),0,IF(VALUE(F229)&lt;VALUE(LEFT(TEXT(M229,"00000000"),6)),1,0))</f>
        <v/>
      </c>
      <c r="AF229" s="20">
        <f>IF(AND(AD229=0,AE229=0),1,0)</f>
        <v/>
      </c>
      <c r="AG229" s="20">
        <f>IF(ISNUMBER(X229),X229,IFERROR(VALUE(LEFT(TEXT(J229,"00000000"),4)),""))</f>
        <v/>
      </c>
      <c r="AH229" s="20">
        <f>IFERROR(XLOOKUP(AG229,Vintage_Rates!$A$2:$A$1000,Vintage_Rates!$B$2:$B$1000,""),"")</f>
        <v/>
      </c>
      <c r="AI229" s="20">
        <f>IF(ISNUMBER(Y229),Y229,IFERROR((G229-AH229)*100,""))</f>
        <v/>
      </c>
      <c r="AJ229" s="20">
        <f>IF(ISNUMBER(V229),V229,IFERROR(XLOOKUP(VALUE(F229),PLC_Rates!$A$2:$A$1000,PLC_Rates!$B$2:$B$1000,""),""))</f>
        <v/>
      </c>
      <c r="AK229" s="20">
        <f>IF(ISNUMBER(Z229),Z229,IF(AE229=0,0,MAX(0,MIN(10,((VALUE(LEFT(TEXT(M229,"00000000"),4))-VALUE(LEFT(F229,4)))*12+(VALUE(MID(TEXT(M229,"00000000"),5,2))-VALUE(MID(F229,5,2))))/12))))</f>
        <v/>
      </c>
      <c r="AL229" s="20">
        <f>IFERROR(G229*100-AJ229,"")</f>
        <v/>
      </c>
      <c r="AM229" s="20">
        <f>IFERROR(G229*100-(AJ229+(1+AK229)*12.5),"")</f>
        <v/>
      </c>
      <c r="AN229" s="21">
        <f>IFERROR(MIN(H229/1000000,100),"")</f>
        <v/>
      </c>
      <c r="AO229" s="20">
        <f>IFERROR(INDEX(FHA_Lookup!$B$2:$B$11,MATCH(TRUE,ISNUMBER(SEARCH(FHA_Lookup!$A$2:$A$11,UPPER(SUBSTITUTE(O229," ","")))),0)),"OTHER")</f>
        <v/>
      </c>
      <c r="AP229" s="20">
        <f>IFERROR(INDEX(FHA_Lookup!$C$2:$C$11,MATCH(TRUE,ISNUMBER(SEARCH(FHA_Lookup!$A$2:$A$11,UPPER(SUBSTITUTE(O229," ","")))),0)),"OTHER")</f>
        <v/>
      </c>
      <c r="AQ229" s="20">
        <f>IF(AP229="NC",1,0)</f>
        <v/>
      </c>
      <c r="AR229" s="20">
        <f>IF(UPPER(TRIM(P229))="AFF",1,0)</f>
        <v/>
      </c>
      <c r="AS229" s="20">
        <f>IF(UPPER(TRIM(P229))="BAF",1,0)</f>
        <v/>
      </c>
      <c r="AT229" s="20">
        <f>IF(UPPER(TRIM(P229))="MKT",1,0)</f>
        <v/>
      </c>
      <c r="AU229" s="20">
        <f>IF(AO229="221d4",1,0)</f>
        <v/>
      </c>
      <c r="AV229" s="20">
        <f>IF(AO229="223a7",1,0)</f>
        <v/>
      </c>
      <c r="AW229" s="20">
        <f>IF(AO229="232",1,0)</f>
        <v/>
      </c>
      <c r="AX229" s="20">
        <f>IF(AO229="538",1,0)</f>
        <v/>
      </c>
      <c r="AY229" s="20">
        <f>IF(AO229="241",1,0)</f>
        <v/>
      </c>
      <c r="AZ229" s="20">
        <f>IF(AO229="220",1,0)</f>
        <v/>
      </c>
      <c r="BA229" s="20">
        <f>IF(AO229="OTHER",1,0)</f>
        <v/>
      </c>
      <c r="BB229" s="20">
        <f>IF(UPPER(TRIM(C229))="LM",1,0)</f>
        <v/>
      </c>
      <c r="BC229" s="20">
        <f>IF(UPPER(TRIM(C229))="PN",1,0)</f>
        <v/>
      </c>
      <c r="BD229" s="20">
        <f>IF(UPPER(TRIM(C229))="LS",1,0)</f>
        <v/>
      </c>
      <c r="BE229" s="20">
        <f>IF(UPPER(TRIM(C229))="RX",1,0)</f>
        <v/>
      </c>
      <c r="BF229" s="22">
        <f>IFERROR((Parameters!$C$6*AM229+Parameters!$C$7*MAX(AM229-(-150),0)+Parameters!$C$8*MAX(AM229-(-50),0)+Parameters!$C$9*MAX(AM229-(0),0)+Parameters!$C$10*MAX(AM229-(50),0)+Parameters!$C$11*MAX(AM229-(100),0)+Parameters!$C$12*MAX(AM229-(150),0)+Parameters!$C$13*MAX(AM229-(250),0)),0)</f>
        <v/>
      </c>
      <c r="BG229" s="22">
        <f>IFERROR((Parameters!$C$14*AA229+Parameters!$C$15*MAX(AA229-(12),0)+Parameters!$C$16*MAX(AA229-(36),0)+Parameters!$C$17*MAX(AA229-(60),0)+Parameters!$C$18*MAX(AA229-(84),0)+Parameters!$C$19*MAX(AA229-(120),0)+Parameters!$C$20*MAX(AA229-(180),0)),0)</f>
        <v/>
      </c>
      <c r="BH229" s="22">
        <f>IFERROR((Parameters!$C$21*AK229+Parameters!$C$22*MAX(AK229-(0),0)+Parameters!$C$23*MAX(AK229-(2),0)+Parameters!$C$24*MAX(AK229-(5),0)+Parameters!$C$25*MAX(AK229-(8),0)),0)</f>
        <v/>
      </c>
      <c r="BI229" s="22">
        <f>IFERROR((Parameters!$C$26*AI229+Parameters!$C$27*MAX(AI229-(-100),0)+Parameters!$C$28*MAX(AI229-(-25),0)+Parameters!$C$29*MAX(AI229-(25),0)+Parameters!$C$30*MAX(AI229-(100),0)),0)</f>
        <v/>
      </c>
      <c r="BJ229" s="22">
        <f>IFERROR((Parameters!$C$31*AN229+Parameters!$C$32*MAX(AN229-(2),0)+Parameters!$C$33*MAX(AN229-(10),0)+Parameters!$C$34*MAX(AN229-(25),0)),0)</f>
        <v/>
      </c>
      <c r="BK229" s="22">
        <f>IFERROR((Parameters!$C$35*AB229+Parameters!$C$36*MAX(AB229-(12),0)+Parameters!$C$37*MAX(AB229-(24),0)+Parameters!$C$38*MAX(AB229-(60),0)),0)</f>
        <v/>
      </c>
      <c r="BL229" s="22">
        <f>IFERROR((Parameters!$C$39*AC229+Parameters!$C$40*MAX(AC229-(6),0)+Parameters!$C$41*MAX(AC229-(12),0)+Parameters!$C$42*MAX(AC229-(24),0)),0)</f>
        <v/>
      </c>
      <c r="BM229" s="22">
        <f>IFERROR(Parameters!$C$43*(MAX(AM229,0)*MIN(MAX(AK229,0),10))/100,0)</f>
        <v/>
      </c>
      <c r="BN229" s="22">
        <f>Parameters!$C$44*AE229</f>
        <v/>
      </c>
      <c r="BO229" s="22">
        <f>Parameters!$C$45*AU229 + Parameters!$C$46*AV229 + Parameters!$C$47*AW229 + Parameters!$C$48*AX229 + Parameters!$C$49*AY229 + Parameters!$C$50*AZ229 + Parameters!$C$51*BA229</f>
        <v/>
      </c>
      <c r="BP229" s="22">
        <f>Parameters!$C$52*AQ229</f>
        <v/>
      </c>
      <c r="BQ229" s="22">
        <f>Parameters!$C$53*AR229+Parameters!$C$54*AS229+Parameters!$C$55*AT229</f>
        <v/>
      </c>
      <c r="BR229" s="22">
        <f>Parameters!$C$56*BB229+Parameters!$C$57*BC229+Parameters!$C$58*BD229+Parameters!$C$59*BE229</f>
        <v/>
      </c>
      <c r="BS229" s="23">
        <f>Parameters!$B$2</f>
        <v/>
      </c>
      <c r="BT229" s="23">
        <f>BS229+BF229 + BG229 + BH229 + BI229 + BJ229 + BK229 + BL229 + BM229 + BN229 + BO229 + BP229 + BQ229 + BR229</f>
        <v/>
      </c>
      <c r="BU229" s="24">
        <f>IF(AD229=1,0,1/(1+EXP(-BT229))*Parameters!$B$3)</f>
        <v/>
      </c>
      <c r="BV229" s="25">
        <f>(1-(1-BU229)^12)*100</f>
        <v/>
      </c>
      <c r="BW229" s="25">
        <f>IF(AD229=1,0,(1-(1-1/(1+EXP(-Parameters!$B$2)))^12)*100)</f>
        <v/>
      </c>
      <c r="BX229" s="25">
        <f>IF(AD229=1,0,BV229-(1-(1-(1/(1+EXP(-(BT229-BF229)))*Parameters!$B$3))^12)*100)</f>
        <v/>
      </c>
      <c r="BY229" s="25">
        <f>IF(AD229=1,0,BV229-(1-(1-(1/(1+EXP(-(BT229-BG229)))*Parameters!$B$3))^12)*100)</f>
        <v/>
      </c>
      <c r="BZ229" s="25">
        <f>IF(AD229=1,0,BV229-(1-(1-(1/(1+EXP(-(BT229-BH229)))*Parameters!$B$3))^12)*100)</f>
        <v/>
      </c>
      <c r="CA229" s="25">
        <f>IF(AD229=1,0,BV229-(1-(1-(1/(1+EXP(-(BT229-BI229)))*Parameters!$B$3))^12)*100)</f>
        <v/>
      </c>
      <c r="CB229" s="25">
        <f>IF(AD229=1,0,BV229-(1-(1-(1/(1+EXP(-(BT229-BJ229)))*Parameters!$B$3))^12)*100)</f>
        <v/>
      </c>
      <c r="CC229" s="25">
        <f>IF(AD229=1,0,BV229-(1-(1-(1/(1+EXP(-(BT229-BK229)))*Parameters!$B$3))^12)*100)</f>
        <v/>
      </c>
      <c r="CD229" s="25">
        <f>IF(AD229=1,0,BV229-(1-(1-(1/(1+EXP(-(BT229-BL229)))*Parameters!$B$3))^12)*100)</f>
        <v/>
      </c>
      <c r="CE229" s="25">
        <f>IF(AD229=1,0,BV229-(1-(1-(1/(1+EXP(-(BT229-BM229)))*Parameters!$B$3))^12)*100)</f>
        <v/>
      </c>
      <c r="CF229" s="25">
        <f>IF(AD229=1,0,BV229-(1-(1-(1/(1+EXP(-(BT229-BN229)))*Parameters!$B$3))^12)*100)</f>
        <v/>
      </c>
      <c r="CG229" s="25">
        <f>IF(AD229=1,0,BV229-(1-(1-(1/(1+EXP(-(BT229-BO229)))*Parameters!$B$3))^12)*100)</f>
        <v/>
      </c>
      <c r="CH229" s="25">
        <f>IF(AD229=1,0,BV229-(1-(1-(1/(1+EXP(-(BT229-BP229)))*Parameters!$B$3))^12)*100)</f>
        <v/>
      </c>
      <c r="CI229" s="25">
        <f>IF(AD229=1,0,BV229-(1-(1-(1/(1+EXP(-(BT229-BQ229)))*Parameters!$B$3))^12)*100)</f>
        <v/>
      </c>
      <c r="CJ229" s="25">
        <f>IF(AD229=1,0,BV229-(1-(1-(1/(1+EXP(-(BT229-BR229)))*Parameters!$B$3))^12)*100)</f>
        <v/>
      </c>
    </row>
    <row r="230">
      <c r="A230" s="17" t="inlineStr">
        <is>
          <t>GNR_DIVERSE</t>
        </is>
      </c>
      <c r="B230" s="17" t="inlineStr">
        <is>
          <t>3617NNFU1</t>
        </is>
      </c>
      <c r="C230" s="17" t="inlineStr">
        <is>
          <t>LM</t>
        </is>
      </c>
      <c r="D230" s="17" t="inlineStr">
        <is>
          <t>LUMENT REAL ESTATE CAPITAL,LLC</t>
        </is>
      </c>
      <c r="E230" s="17" t="inlineStr">
        <is>
          <t>3617NNFU1_000000007510010</t>
        </is>
      </c>
      <c r="F230" s="17" t="n">
        <v>202603</v>
      </c>
      <c r="G230" s="18" t="n">
        <v>3.7</v>
      </c>
      <c r="H230" s="19" t="n">
        <v>5693240.67</v>
      </c>
      <c r="I230" s="17" t="n">
        <v>363</v>
      </c>
      <c r="J230" s="17" t="n">
        <v>20170427</v>
      </c>
      <c r="K230" s="17" t="n">
        <v>20470801</v>
      </c>
      <c r="L230" s="17" t="n"/>
      <c r="M230" s="17" t="n">
        <v>20300801</v>
      </c>
      <c r="N230" s="17" t="n">
        <v>10</v>
      </c>
      <c r="O230" s="17" t="inlineStr">
        <is>
          <t>241(A)/223(A)(7)</t>
        </is>
      </c>
      <c r="P230" s="17" t="inlineStr">
        <is>
          <t>MKT</t>
        </is>
      </c>
      <c r="Q230" s="17" t="inlineStr">
        <is>
          <t>M</t>
        </is>
      </c>
      <c r="R230" s="17" t="n"/>
      <c r="S230" s="17" t="n">
        <v>1</v>
      </c>
      <c r="T230" s="17" t="inlineStr">
        <is>
          <t>WI</t>
        </is>
      </c>
      <c r="U230" s="17" t="n">
        <v>88</v>
      </c>
      <c r="V230" s="17" t="n">
        <v>490.5</v>
      </c>
      <c r="W230" s="17" t="n">
        <v>107</v>
      </c>
      <c r="X230" s="17" t="n">
        <v>2017</v>
      </c>
      <c r="Y230" s="17" t="n">
        <v>23</v>
      </c>
      <c r="Z230" s="17" t="n">
        <v>5</v>
      </c>
      <c r="AA230" s="20">
        <f>IF(ISNUMBER(W230),W230,IFERROR(MAX(0,(VALUE(LEFT(F230,4))-VALUE(LEFT(TEXT(J230,"00000000"),4)))*12+(VALUE(MID(F230,5,2))-VALUE(MID(TEXT(J230,"00000000"),5,2)))),""))</f>
        <v/>
      </c>
      <c r="AB230" s="20">
        <f>IFERROR((VALUE(LEFT(TEXT(K230,"00000000"),4))-VALUE(LEFT(F230,4)))*12+(VALUE(MID(TEXT(K230,"00000000"),5,2))-VALUE(MID(F230,5,2))),"")</f>
        <v/>
      </c>
      <c r="AC230" s="20">
        <f>IF(OR(L230="",NOT(ISNUMBER(L230))),0,MAX(0,MIN(60,(VALUE(LEFT(F230,4))-VALUE(LEFT(TEXT(L230,"00000000"),4)))*12+(VALUE(MID(F230,5,2))-VALUE(MID(TEXT(L230,"00000000"),5,2))))))</f>
        <v/>
      </c>
      <c r="AD230" s="20">
        <f>IF(OR(L230="",NOT(ISNUMBER(L230))),0,IF(VALUE(F230)&lt;VALUE(LEFT(TEXT(L230,"00000000"),6)),1,0))</f>
        <v/>
      </c>
      <c r="AE230" s="20">
        <f>IF(OR(M230="",NOT(ISNUMBER(M230))),0,IF(VALUE(F230)&lt;VALUE(LEFT(TEXT(M230,"00000000"),6)),1,0))</f>
        <v/>
      </c>
      <c r="AF230" s="20">
        <f>IF(AND(AD230=0,AE230=0),1,0)</f>
        <v/>
      </c>
      <c r="AG230" s="20">
        <f>IF(ISNUMBER(X230),X230,IFERROR(VALUE(LEFT(TEXT(J230,"00000000"),4)),""))</f>
        <v/>
      </c>
      <c r="AH230" s="20">
        <f>IFERROR(XLOOKUP(AG230,Vintage_Rates!$A$2:$A$1000,Vintage_Rates!$B$2:$B$1000,""),"")</f>
        <v/>
      </c>
      <c r="AI230" s="20">
        <f>IF(ISNUMBER(Y230),Y230,IFERROR((G230-AH230)*100,""))</f>
        <v/>
      </c>
      <c r="AJ230" s="20">
        <f>IF(ISNUMBER(V230),V230,IFERROR(XLOOKUP(VALUE(F230),PLC_Rates!$A$2:$A$1000,PLC_Rates!$B$2:$B$1000,""),""))</f>
        <v/>
      </c>
      <c r="AK230" s="20">
        <f>IF(ISNUMBER(Z230),Z230,IF(AE230=0,0,MAX(0,MIN(10,((VALUE(LEFT(TEXT(M230,"00000000"),4))-VALUE(LEFT(F230,4)))*12+(VALUE(MID(TEXT(M230,"00000000"),5,2))-VALUE(MID(F230,5,2))))/12))))</f>
        <v/>
      </c>
      <c r="AL230" s="20">
        <f>IFERROR(G230*100-AJ230,"")</f>
        <v/>
      </c>
      <c r="AM230" s="20">
        <f>IFERROR(G230*100-(AJ230+(1+AK230)*12.5),"")</f>
        <v/>
      </c>
      <c r="AN230" s="21">
        <f>IFERROR(MIN(H230/1000000,100),"")</f>
        <v/>
      </c>
      <c r="AO230" s="20">
        <f>IFERROR(INDEX(FHA_Lookup!$B$2:$B$11,MATCH(TRUE,ISNUMBER(SEARCH(FHA_Lookup!$A$2:$A$11,UPPER(SUBSTITUTE(O230," ","")))),0)),"OTHER")</f>
        <v/>
      </c>
      <c r="AP230" s="20">
        <f>IFERROR(INDEX(FHA_Lookup!$C$2:$C$11,MATCH(TRUE,ISNUMBER(SEARCH(FHA_Lookup!$A$2:$A$11,UPPER(SUBSTITUTE(O230," ","")))),0)),"OTHER")</f>
        <v/>
      </c>
      <c r="AQ230" s="20">
        <f>IF(AP230="NC",1,0)</f>
        <v/>
      </c>
      <c r="AR230" s="20">
        <f>IF(UPPER(TRIM(P230))="AFF",1,0)</f>
        <v/>
      </c>
      <c r="AS230" s="20">
        <f>IF(UPPER(TRIM(P230))="BAF",1,0)</f>
        <v/>
      </c>
      <c r="AT230" s="20">
        <f>IF(UPPER(TRIM(P230))="MKT",1,0)</f>
        <v/>
      </c>
      <c r="AU230" s="20">
        <f>IF(AO230="221d4",1,0)</f>
        <v/>
      </c>
      <c r="AV230" s="20">
        <f>IF(AO230="223a7",1,0)</f>
        <v/>
      </c>
      <c r="AW230" s="20">
        <f>IF(AO230="232",1,0)</f>
        <v/>
      </c>
      <c r="AX230" s="20">
        <f>IF(AO230="538",1,0)</f>
        <v/>
      </c>
      <c r="AY230" s="20">
        <f>IF(AO230="241",1,0)</f>
        <v/>
      </c>
      <c r="AZ230" s="20">
        <f>IF(AO230="220",1,0)</f>
        <v/>
      </c>
      <c r="BA230" s="20">
        <f>IF(AO230="OTHER",1,0)</f>
        <v/>
      </c>
      <c r="BB230" s="20">
        <f>IF(UPPER(TRIM(C230))="LM",1,0)</f>
        <v/>
      </c>
      <c r="BC230" s="20">
        <f>IF(UPPER(TRIM(C230))="PN",1,0)</f>
        <v/>
      </c>
      <c r="BD230" s="20">
        <f>IF(UPPER(TRIM(C230))="LS",1,0)</f>
        <v/>
      </c>
      <c r="BE230" s="20">
        <f>IF(UPPER(TRIM(C230))="RX",1,0)</f>
        <v/>
      </c>
      <c r="BF230" s="22">
        <f>IFERROR((Parameters!$C$6*AM230+Parameters!$C$7*MAX(AM230-(-150),0)+Parameters!$C$8*MAX(AM230-(-50),0)+Parameters!$C$9*MAX(AM230-(0),0)+Parameters!$C$10*MAX(AM230-(50),0)+Parameters!$C$11*MAX(AM230-(100),0)+Parameters!$C$12*MAX(AM230-(150),0)+Parameters!$C$13*MAX(AM230-(250),0)),0)</f>
        <v/>
      </c>
      <c r="BG230" s="22">
        <f>IFERROR((Parameters!$C$14*AA230+Parameters!$C$15*MAX(AA230-(12),0)+Parameters!$C$16*MAX(AA230-(36),0)+Parameters!$C$17*MAX(AA230-(60),0)+Parameters!$C$18*MAX(AA230-(84),0)+Parameters!$C$19*MAX(AA230-(120),0)+Parameters!$C$20*MAX(AA230-(180),0)),0)</f>
        <v/>
      </c>
      <c r="BH230" s="22">
        <f>IFERROR((Parameters!$C$21*AK230+Parameters!$C$22*MAX(AK230-(0),0)+Parameters!$C$23*MAX(AK230-(2),0)+Parameters!$C$24*MAX(AK230-(5),0)+Parameters!$C$25*MAX(AK230-(8),0)),0)</f>
        <v/>
      </c>
      <c r="BI230" s="22">
        <f>IFERROR((Parameters!$C$26*AI230+Parameters!$C$27*MAX(AI230-(-100),0)+Parameters!$C$28*MAX(AI230-(-25),0)+Parameters!$C$29*MAX(AI230-(25),0)+Parameters!$C$30*MAX(AI230-(100),0)),0)</f>
        <v/>
      </c>
      <c r="BJ230" s="22">
        <f>IFERROR((Parameters!$C$31*AN230+Parameters!$C$32*MAX(AN230-(2),0)+Parameters!$C$33*MAX(AN230-(10),0)+Parameters!$C$34*MAX(AN230-(25),0)),0)</f>
        <v/>
      </c>
      <c r="BK230" s="22">
        <f>IFERROR((Parameters!$C$35*AB230+Parameters!$C$36*MAX(AB230-(12),0)+Parameters!$C$37*MAX(AB230-(24),0)+Parameters!$C$38*MAX(AB230-(60),0)),0)</f>
        <v/>
      </c>
      <c r="BL230" s="22">
        <f>IFERROR((Parameters!$C$39*AC230+Parameters!$C$40*MAX(AC230-(6),0)+Parameters!$C$41*MAX(AC230-(12),0)+Parameters!$C$42*MAX(AC230-(24),0)),0)</f>
        <v/>
      </c>
      <c r="BM230" s="22">
        <f>IFERROR(Parameters!$C$43*(MAX(AM230,0)*MIN(MAX(AK230,0),10))/100,0)</f>
        <v/>
      </c>
      <c r="BN230" s="22">
        <f>Parameters!$C$44*AE230</f>
        <v/>
      </c>
      <c r="BO230" s="22">
        <f>Parameters!$C$45*AU230 + Parameters!$C$46*AV230 + Parameters!$C$47*AW230 + Parameters!$C$48*AX230 + Parameters!$C$49*AY230 + Parameters!$C$50*AZ230 + Parameters!$C$51*BA230</f>
        <v/>
      </c>
      <c r="BP230" s="22">
        <f>Parameters!$C$52*AQ230</f>
        <v/>
      </c>
      <c r="BQ230" s="22">
        <f>Parameters!$C$53*AR230+Parameters!$C$54*AS230+Parameters!$C$55*AT230</f>
        <v/>
      </c>
      <c r="BR230" s="22">
        <f>Parameters!$C$56*BB230+Parameters!$C$57*BC230+Parameters!$C$58*BD230+Parameters!$C$59*BE230</f>
        <v/>
      </c>
      <c r="BS230" s="23">
        <f>Parameters!$B$2</f>
        <v/>
      </c>
      <c r="BT230" s="23">
        <f>BS230+BF230 + BG230 + BH230 + BI230 + BJ230 + BK230 + BL230 + BM230 + BN230 + BO230 + BP230 + BQ230 + BR230</f>
        <v/>
      </c>
      <c r="BU230" s="24">
        <f>IF(AD230=1,0,1/(1+EXP(-BT230))*Parameters!$B$3)</f>
        <v/>
      </c>
      <c r="BV230" s="25">
        <f>(1-(1-BU230)^12)*100</f>
        <v/>
      </c>
      <c r="BW230" s="25">
        <f>IF(AD230=1,0,(1-(1-1/(1+EXP(-Parameters!$B$2)))^12)*100)</f>
        <v/>
      </c>
      <c r="BX230" s="25">
        <f>IF(AD230=1,0,BV230-(1-(1-(1/(1+EXP(-(BT230-BF230)))*Parameters!$B$3))^12)*100)</f>
        <v/>
      </c>
      <c r="BY230" s="25">
        <f>IF(AD230=1,0,BV230-(1-(1-(1/(1+EXP(-(BT230-BG230)))*Parameters!$B$3))^12)*100)</f>
        <v/>
      </c>
      <c r="BZ230" s="25">
        <f>IF(AD230=1,0,BV230-(1-(1-(1/(1+EXP(-(BT230-BH230)))*Parameters!$B$3))^12)*100)</f>
        <v/>
      </c>
      <c r="CA230" s="25">
        <f>IF(AD230=1,0,BV230-(1-(1-(1/(1+EXP(-(BT230-BI230)))*Parameters!$B$3))^12)*100)</f>
        <v/>
      </c>
      <c r="CB230" s="25">
        <f>IF(AD230=1,0,BV230-(1-(1-(1/(1+EXP(-(BT230-BJ230)))*Parameters!$B$3))^12)*100)</f>
        <v/>
      </c>
      <c r="CC230" s="25">
        <f>IF(AD230=1,0,BV230-(1-(1-(1/(1+EXP(-(BT230-BK230)))*Parameters!$B$3))^12)*100)</f>
        <v/>
      </c>
      <c r="CD230" s="25">
        <f>IF(AD230=1,0,BV230-(1-(1-(1/(1+EXP(-(BT230-BL230)))*Parameters!$B$3))^12)*100)</f>
        <v/>
      </c>
      <c r="CE230" s="25">
        <f>IF(AD230=1,0,BV230-(1-(1-(1/(1+EXP(-(BT230-BM230)))*Parameters!$B$3))^12)*100)</f>
        <v/>
      </c>
      <c r="CF230" s="25">
        <f>IF(AD230=1,0,BV230-(1-(1-(1/(1+EXP(-(BT230-BN230)))*Parameters!$B$3))^12)*100)</f>
        <v/>
      </c>
      <c r="CG230" s="25">
        <f>IF(AD230=1,0,BV230-(1-(1-(1/(1+EXP(-(BT230-BO230)))*Parameters!$B$3))^12)*100)</f>
        <v/>
      </c>
      <c r="CH230" s="25">
        <f>IF(AD230=1,0,BV230-(1-(1-(1/(1+EXP(-(BT230-BP230)))*Parameters!$B$3))^12)*100)</f>
        <v/>
      </c>
      <c r="CI230" s="25">
        <f>IF(AD230=1,0,BV230-(1-(1-(1/(1+EXP(-(BT230-BQ230)))*Parameters!$B$3))^12)*100)</f>
        <v/>
      </c>
      <c r="CJ230" s="25">
        <f>IF(AD230=1,0,BV230-(1-(1-(1/(1+EXP(-(BT230-BR230)))*Parameters!$B$3))^12)*100)</f>
        <v/>
      </c>
    </row>
    <row r="231">
      <c r="A231" s="17" t="inlineStr">
        <is>
          <t>GNR_DIVERSE</t>
        </is>
      </c>
      <c r="B231" s="17" t="inlineStr">
        <is>
          <t>3617AJ5X9</t>
        </is>
      </c>
      <c r="C231" s="17" t="inlineStr">
        <is>
          <t>PN</t>
        </is>
      </c>
      <c r="D231" s="17" t="inlineStr">
        <is>
          <t>WELLS FARGO BANK, N.A.</t>
        </is>
      </c>
      <c r="E231" s="17" t="inlineStr">
        <is>
          <t>3617AJ5X9_000000000035535</t>
        </is>
      </c>
      <c r="F231" s="17" t="n">
        <v>202603</v>
      </c>
      <c r="G231" s="18" t="n">
        <v>3.89</v>
      </c>
      <c r="H231" s="19" t="n">
        <v>12687852.09</v>
      </c>
      <c r="I231" s="17" t="n">
        <v>499</v>
      </c>
      <c r="J231" s="17" t="n">
        <v>20170501</v>
      </c>
      <c r="K231" s="17" t="n">
        <v>20590101</v>
      </c>
      <c r="L231" s="17" t="n"/>
      <c r="M231" s="17" t="n">
        <v>20290201</v>
      </c>
      <c r="N231" s="17" t="n">
        <v>10</v>
      </c>
      <c r="O231" s="17" t="inlineStr">
        <is>
          <t>221(D)(4)</t>
        </is>
      </c>
      <c r="P231" s="17" t="inlineStr">
        <is>
          <t>BAF</t>
        </is>
      </c>
      <c r="Q231" s="17" t="n"/>
      <c r="R231" s="17" t="n"/>
      <c r="S231" s="17" t="n"/>
      <c r="T231" s="17" t="inlineStr">
        <is>
          <t>MD</t>
        </is>
      </c>
      <c r="U231" s="17" t="n">
        <v>122</v>
      </c>
      <c r="V231" s="17" t="n">
        <v>490.5</v>
      </c>
      <c r="W231" s="17" t="n">
        <v>106</v>
      </c>
      <c r="X231" s="17" t="n">
        <v>2017</v>
      </c>
      <c r="Y231" s="17" t="n">
        <v>42</v>
      </c>
      <c r="Z231" s="17" t="n">
        <v>3</v>
      </c>
      <c r="AA231" s="20">
        <f>IF(ISNUMBER(W231),W231,IFERROR(MAX(0,(VALUE(LEFT(F231,4))-VALUE(LEFT(TEXT(J231,"00000000"),4)))*12+(VALUE(MID(F231,5,2))-VALUE(MID(TEXT(J231,"00000000"),5,2)))),""))</f>
        <v/>
      </c>
      <c r="AB231" s="20">
        <f>IFERROR((VALUE(LEFT(TEXT(K231,"00000000"),4))-VALUE(LEFT(F231,4)))*12+(VALUE(MID(TEXT(K231,"00000000"),5,2))-VALUE(MID(F231,5,2))),"")</f>
        <v/>
      </c>
      <c r="AC231" s="20">
        <f>IF(OR(L231="",NOT(ISNUMBER(L231))),0,MAX(0,MIN(60,(VALUE(LEFT(F231,4))-VALUE(LEFT(TEXT(L231,"00000000"),4)))*12+(VALUE(MID(F231,5,2))-VALUE(MID(TEXT(L231,"00000000"),5,2))))))</f>
        <v/>
      </c>
      <c r="AD231" s="20">
        <f>IF(OR(L231="",NOT(ISNUMBER(L231))),0,IF(VALUE(F231)&lt;VALUE(LEFT(TEXT(L231,"00000000"),6)),1,0))</f>
        <v/>
      </c>
      <c r="AE231" s="20">
        <f>IF(OR(M231="",NOT(ISNUMBER(M231))),0,IF(VALUE(F231)&lt;VALUE(LEFT(TEXT(M231,"00000000"),6)),1,0))</f>
        <v/>
      </c>
      <c r="AF231" s="20">
        <f>IF(AND(AD231=0,AE231=0),1,0)</f>
        <v/>
      </c>
      <c r="AG231" s="20">
        <f>IF(ISNUMBER(X231),X231,IFERROR(VALUE(LEFT(TEXT(J231,"00000000"),4)),""))</f>
        <v/>
      </c>
      <c r="AH231" s="20">
        <f>IFERROR(XLOOKUP(AG231,Vintage_Rates!$A$2:$A$1000,Vintage_Rates!$B$2:$B$1000,""),"")</f>
        <v/>
      </c>
      <c r="AI231" s="20">
        <f>IF(ISNUMBER(Y231),Y231,IFERROR((G231-AH231)*100,""))</f>
        <v/>
      </c>
      <c r="AJ231" s="20">
        <f>IF(ISNUMBER(V231),V231,IFERROR(XLOOKUP(VALUE(F231),PLC_Rates!$A$2:$A$1000,PLC_Rates!$B$2:$B$1000,""),""))</f>
        <v/>
      </c>
      <c r="AK231" s="20">
        <f>IF(ISNUMBER(Z231),Z231,IF(AE231=0,0,MAX(0,MIN(10,((VALUE(LEFT(TEXT(M231,"00000000"),4))-VALUE(LEFT(F231,4)))*12+(VALUE(MID(TEXT(M231,"00000000"),5,2))-VALUE(MID(F231,5,2))))/12))))</f>
        <v/>
      </c>
      <c r="AL231" s="20">
        <f>IFERROR(G231*100-AJ231,"")</f>
        <v/>
      </c>
      <c r="AM231" s="20">
        <f>IFERROR(G231*100-(AJ231+(1+AK231)*12.5),"")</f>
        <v/>
      </c>
      <c r="AN231" s="21">
        <f>IFERROR(MIN(H231/1000000,100),"")</f>
        <v/>
      </c>
      <c r="AO231" s="20">
        <f>IFERROR(INDEX(FHA_Lookup!$B$2:$B$11,MATCH(TRUE,ISNUMBER(SEARCH(FHA_Lookup!$A$2:$A$11,UPPER(SUBSTITUTE(O231," ","")))),0)),"OTHER")</f>
        <v/>
      </c>
      <c r="AP231" s="20">
        <f>IFERROR(INDEX(FHA_Lookup!$C$2:$C$11,MATCH(TRUE,ISNUMBER(SEARCH(FHA_Lookup!$A$2:$A$11,UPPER(SUBSTITUTE(O231," ","")))),0)),"OTHER")</f>
        <v/>
      </c>
      <c r="AQ231" s="20">
        <f>IF(AP231="NC",1,0)</f>
        <v/>
      </c>
      <c r="AR231" s="20">
        <f>IF(UPPER(TRIM(P231))="AFF",1,0)</f>
        <v/>
      </c>
      <c r="AS231" s="20">
        <f>IF(UPPER(TRIM(P231))="BAF",1,0)</f>
        <v/>
      </c>
      <c r="AT231" s="20">
        <f>IF(UPPER(TRIM(P231))="MKT",1,0)</f>
        <v/>
      </c>
      <c r="AU231" s="20">
        <f>IF(AO231="221d4",1,0)</f>
        <v/>
      </c>
      <c r="AV231" s="20">
        <f>IF(AO231="223a7",1,0)</f>
        <v/>
      </c>
      <c r="AW231" s="20">
        <f>IF(AO231="232",1,0)</f>
        <v/>
      </c>
      <c r="AX231" s="20">
        <f>IF(AO231="538",1,0)</f>
        <v/>
      </c>
      <c r="AY231" s="20">
        <f>IF(AO231="241",1,0)</f>
        <v/>
      </c>
      <c r="AZ231" s="20">
        <f>IF(AO231="220",1,0)</f>
        <v/>
      </c>
      <c r="BA231" s="20">
        <f>IF(AO231="OTHER",1,0)</f>
        <v/>
      </c>
      <c r="BB231" s="20">
        <f>IF(UPPER(TRIM(C231))="LM",1,0)</f>
        <v/>
      </c>
      <c r="BC231" s="20">
        <f>IF(UPPER(TRIM(C231))="PN",1,0)</f>
        <v/>
      </c>
      <c r="BD231" s="20">
        <f>IF(UPPER(TRIM(C231))="LS",1,0)</f>
        <v/>
      </c>
      <c r="BE231" s="20">
        <f>IF(UPPER(TRIM(C231))="RX",1,0)</f>
        <v/>
      </c>
      <c r="BF231" s="22">
        <f>IFERROR((Parameters!$C$6*AM231+Parameters!$C$7*MAX(AM231-(-150),0)+Parameters!$C$8*MAX(AM231-(-50),0)+Parameters!$C$9*MAX(AM231-(0),0)+Parameters!$C$10*MAX(AM231-(50),0)+Parameters!$C$11*MAX(AM231-(100),0)+Parameters!$C$12*MAX(AM231-(150),0)+Parameters!$C$13*MAX(AM231-(250),0)),0)</f>
        <v/>
      </c>
      <c r="BG231" s="22">
        <f>IFERROR((Parameters!$C$14*AA231+Parameters!$C$15*MAX(AA231-(12),0)+Parameters!$C$16*MAX(AA231-(36),0)+Parameters!$C$17*MAX(AA231-(60),0)+Parameters!$C$18*MAX(AA231-(84),0)+Parameters!$C$19*MAX(AA231-(120),0)+Parameters!$C$20*MAX(AA231-(180),0)),0)</f>
        <v/>
      </c>
      <c r="BH231" s="22">
        <f>IFERROR((Parameters!$C$21*AK231+Parameters!$C$22*MAX(AK231-(0),0)+Parameters!$C$23*MAX(AK231-(2),0)+Parameters!$C$24*MAX(AK231-(5),0)+Parameters!$C$25*MAX(AK231-(8),0)),0)</f>
        <v/>
      </c>
      <c r="BI231" s="22">
        <f>IFERROR((Parameters!$C$26*AI231+Parameters!$C$27*MAX(AI231-(-100),0)+Parameters!$C$28*MAX(AI231-(-25),0)+Parameters!$C$29*MAX(AI231-(25),0)+Parameters!$C$30*MAX(AI231-(100),0)),0)</f>
        <v/>
      </c>
      <c r="BJ231" s="22">
        <f>IFERROR((Parameters!$C$31*AN231+Parameters!$C$32*MAX(AN231-(2),0)+Parameters!$C$33*MAX(AN231-(10),0)+Parameters!$C$34*MAX(AN231-(25),0)),0)</f>
        <v/>
      </c>
      <c r="BK231" s="22">
        <f>IFERROR((Parameters!$C$35*AB231+Parameters!$C$36*MAX(AB231-(12),0)+Parameters!$C$37*MAX(AB231-(24),0)+Parameters!$C$38*MAX(AB231-(60),0)),0)</f>
        <v/>
      </c>
      <c r="BL231" s="22">
        <f>IFERROR((Parameters!$C$39*AC231+Parameters!$C$40*MAX(AC231-(6),0)+Parameters!$C$41*MAX(AC231-(12),0)+Parameters!$C$42*MAX(AC231-(24),0)),0)</f>
        <v/>
      </c>
      <c r="BM231" s="22">
        <f>IFERROR(Parameters!$C$43*(MAX(AM231,0)*MIN(MAX(AK231,0),10))/100,0)</f>
        <v/>
      </c>
      <c r="BN231" s="22">
        <f>Parameters!$C$44*AE231</f>
        <v/>
      </c>
      <c r="BO231" s="22">
        <f>Parameters!$C$45*AU231 + Parameters!$C$46*AV231 + Parameters!$C$47*AW231 + Parameters!$C$48*AX231 + Parameters!$C$49*AY231 + Parameters!$C$50*AZ231 + Parameters!$C$51*BA231</f>
        <v/>
      </c>
      <c r="BP231" s="22">
        <f>Parameters!$C$52*AQ231</f>
        <v/>
      </c>
      <c r="BQ231" s="22">
        <f>Parameters!$C$53*AR231+Parameters!$C$54*AS231+Parameters!$C$55*AT231</f>
        <v/>
      </c>
      <c r="BR231" s="22">
        <f>Parameters!$C$56*BB231+Parameters!$C$57*BC231+Parameters!$C$58*BD231+Parameters!$C$59*BE231</f>
        <v/>
      </c>
      <c r="BS231" s="23">
        <f>Parameters!$B$2</f>
        <v/>
      </c>
      <c r="BT231" s="23">
        <f>BS231+BF231 + BG231 + BH231 + BI231 + BJ231 + BK231 + BL231 + BM231 + BN231 + BO231 + BP231 + BQ231 + BR231</f>
        <v/>
      </c>
      <c r="BU231" s="24">
        <f>IF(AD231=1,0,1/(1+EXP(-BT231))*Parameters!$B$3)</f>
        <v/>
      </c>
      <c r="BV231" s="25">
        <f>(1-(1-BU231)^12)*100</f>
        <v/>
      </c>
      <c r="BW231" s="25">
        <f>IF(AD231=1,0,(1-(1-1/(1+EXP(-Parameters!$B$2)))^12)*100)</f>
        <v/>
      </c>
      <c r="BX231" s="25">
        <f>IF(AD231=1,0,BV231-(1-(1-(1/(1+EXP(-(BT231-BF231)))*Parameters!$B$3))^12)*100)</f>
        <v/>
      </c>
      <c r="BY231" s="25">
        <f>IF(AD231=1,0,BV231-(1-(1-(1/(1+EXP(-(BT231-BG231)))*Parameters!$B$3))^12)*100)</f>
        <v/>
      </c>
      <c r="BZ231" s="25">
        <f>IF(AD231=1,0,BV231-(1-(1-(1/(1+EXP(-(BT231-BH231)))*Parameters!$B$3))^12)*100)</f>
        <v/>
      </c>
      <c r="CA231" s="25">
        <f>IF(AD231=1,0,BV231-(1-(1-(1/(1+EXP(-(BT231-BI231)))*Parameters!$B$3))^12)*100)</f>
        <v/>
      </c>
      <c r="CB231" s="25">
        <f>IF(AD231=1,0,BV231-(1-(1-(1/(1+EXP(-(BT231-BJ231)))*Parameters!$B$3))^12)*100)</f>
        <v/>
      </c>
      <c r="CC231" s="25">
        <f>IF(AD231=1,0,BV231-(1-(1-(1/(1+EXP(-(BT231-BK231)))*Parameters!$B$3))^12)*100)</f>
        <v/>
      </c>
      <c r="CD231" s="25">
        <f>IF(AD231=1,0,BV231-(1-(1-(1/(1+EXP(-(BT231-BL231)))*Parameters!$B$3))^12)*100)</f>
        <v/>
      </c>
      <c r="CE231" s="25">
        <f>IF(AD231=1,0,BV231-(1-(1-(1/(1+EXP(-(BT231-BM231)))*Parameters!$B$3))^12)*100)</f>
        <v/>
      </c>
      <c r="CF231" s="25">
        <f>IF(AD231=1,0,BV231-(1-(1-(1/(1+EXP(-(BT231-BN231)))*Parameters!$B$3))^12)*100)</f>
        <v/>
      </c>
      <c r="CG231" s="25">
        <f>IF(AD231=1,0,BV231-(1-(1-(1/(1+EXP(-(BT231-BO231)))*Parameters!$B$3))^12)*100)</f>
        <v/>
      </c>
      <c r="CH231" s="25">
        <f>IF(AD231=1,0,BV231-(1-(1-(1/(1+EXP(-(BT231-BP231)))*Parameters!$B$3))^12)*100)</f>
        <v/>
      </c>
      <c r="CI231" s="25">
        <f>IF(AD231=1,0,BV231-(1-(1-(1/(1+EXP(-(BT231-BQ231)))*Parameters!$B$3))^12)*100)</f>
        <v/>
      </c>
      <c r="CJ231" s="25">
        <f>IF(AD231=1,0,BV231-(1-(1-(1/(1+EXP(-(BT231-BR231)))*Parameters!$B$3))^12)*100)</f>
        <v/>
      </c>
    </row>
    <row r="232">
      <c r="A232" s="17" t="inlineStr">
        <is>
          <t>GNR_DIVERSE</t>
        </is>
      </c>
      <c r="B232" s="17" t="inlineStr">
        <is>
          <t>3617XHQ80</t>
        </is>
      </c>
      <c r="C232" s="17" t="inlineStr">
        <is>
          <t>LM</t>
        </is>
      </c>
      <c r="D232" s="17" t="inlineStr">
        <is>
          <t>GERSHMAN INVESTMENT CORP.</t>
        </is>
      </c>
      <c r="E232" s="17" t="inlineStr">
        <is>
          <t>3617XHQ80_000000004435665</t>
        </is>
      </c>
      <c r="F232" s="17" t="n">
        <v>202603</v>
      </c>
      <c r="G232" s="18" t="n">
        <v>3.05</v>
      </c>
      <c r="H232" s="19" t="n">
        <v>4700605.4</v>
      </c>
      <c r="I232" s="17" t="n">
        <v>417</v>
      </c>
      <c r="J232" s="17" t="n">
        <v>20211001</v>
      </c>
      <c r="K232" s="17" t="n">
        <v>20560801</v>
      </c>
      <c r="L232" s="17" t="n"/>
      <c r="M232" s="17" t="n">
        <v>20311201</v>
      </c>
      <c r="N232" s="17" t="n">
        <v>10</v>
      </c>
      <c r="O232" s="17" t="inlineStr">
        <is>
          <t>221(D)(4)</t>
        </is>
      </c>
      <c r="P232" s="17" t="inlineStr">
        <is>
          <t>MKT</t>
        </is>
      </c>
      <c r="Q232" s="17" t="inlineStr">
        <is>
          <t>M</t>
        </is>
      </c>
      <c r="R232" s="17" t="n"/>
      <c r="S232" s="17" t="n">
        <v>1</v>
      </c>
      <c r="T232" s="17" t="inlineStr">
        <is>
          <t>MI</t>
        </is>
      </c>
      <c r="U232" s="17" t="n">
        <v>129</v>
      </c>
      <c r="V232" s="17" t="n">
        <v>490.5</v>
      </c>
      <c r="W232" s="17" t="n">
        <v>53</v>
      </c>
      <c r="X232" s="17" t="n">
        <v>2021</v>
      </c>
      <c r="Y232" s="17" t="n">
        <v>47</v>
      </c>
      <c r="Z232" s="17" t="n">
        <v>10</v>
      </c>
      <c r="AA232" s="20">
        <f>IF(ISNUMBER(W232),W232,IFERROR(MAX(0,(VALUE(LEFT(F232,4))-VALUE(LEFT(TEXT(J232,"00000000"),4)))*12+(VALUE(MID(F232,5,2))-VALUE(MID(TEXT(J232,"00000000"),5,2)))),""))</f>
        <v/>
      </c>
      <c r="AB232" s="20">
        <f>IFERROR((VALUE(LEFT(TEXT(K232,"00000000"),4))-VALUE(LEFT(F232,4)))*12+(VALUE(MID(TEXT(K232,"00000000"),5,2))-VALUE(MID(F232,5,2))),"")</f>
        <v/>
      </c>
      <c r="AC232" s="20">
        <f>IF(OR(L232="",NOT(ISNUMBER(L232))),0,MAX(0,MIN(60,(VALUE(LEFT(F232,4))-VALUE(LEFT(TEXT(L232,"00000000"),4)))*12+(VALUE(MID(F232,5,2))-VALUE(MID(TEXT(L232,"00000000"),5,2))))))</f>
        <v/>
      </c>
      <c r="AD232" s="20">
        <f>IF(OR(L232="",NOT(ISNUMBER(L232))),0,IF(VALUE(F232)&lt;VALUE(LEFT(TEXT(L232,"00000000"),6)),1,0))</f>
        <v/>
      </c>
      <c r="AE232" s="20">
        <f>IF(OR(M232="",NOT(ISNUMBER(M232))),0,IF(VALUE(F232)&lt;VALUE(LEFT(TEXT(M232,"00000000"),6)),1,0))</f>
        <v/>
      </c>
      <c r="AF232" s="20">
        <f>IF(AND(AD232=0,AE232=0),1,0)</f>
        <v/>
      </c>
      <c r="AG232" s="20">
        <f>IF(ISNUMBER(X232),X232,IFERROR(VALUE(LEFT(TEXT(J232,"00000000"),4)),""))</f>
        <v/>
      </c>
      <c r="AH232" s="20">
        <f>IFERROR(XLOOKUP(AG232,Vintage_Rates!$A$2:$A$1000,Vintage_Rates!$B$2:$B$1000,""),"")</f>
        <v/>
      </c>
      <c r="AI232" s="20">
        <f>IF(ISNUMBER(Y232),Y232,IFERROR((G232-AH232)*100,""))</f>
        <v/>
      </c>
      <c r="AJ232" s="20">
        <f>IF(ISNUMBER(V232),V232,IFERROR(XLOOKUP(VALUE(F232),PLC_Rates!$A$2:$A$1000,PLC_Rates!$B$2:$B$1000,""),""))</f>
        <v/>
      </c>
      <c r="AK232" s="20">
        <f>IF(ISNUMBER(Z232),Z232,IF(AE232=0,0,MAX(0,MIN(10,((VALUE(LEFT(TEXT(M232,"00000000"),4))-VALUE(LEFT(F232,4)))*12+(VALUE(MID(TEXT(M232,"00000000"),5,2))-VALUE(MID(F232,5,2))))/12))))</f>
        <v/>
      </c>
      <c r="AL232" s="20">
        <f>IFERROR(G232*100-AJ232,"")</f>
        <v/>
      </c>
      <c r="AM232" s="20">
        <f>IFERROR(G232*100-(AJ232+(1+AK232)*12.5),"")</f>
        <v/>
      </c>
      <c r="AN232" s="21">
        <f>IFERROR(MIN(H232/1000000,100),"")</f>
        <v/>
      </c>
      <c r="AO232" s="20">
        <f>IFERROR(INDEX(FHA_Lookup!$B$2:$B$11,MATCH(TRUE,ISNUMBER(SEARCH(FHA_Lookup!$A$2:$A$11,UPPER(SUBSTITUTE(O232," ","")))),0)),"OTHER")</f>
        <v/>
      </c>
      <c r="AP232" s="20">
        <f>IFERROR(INDEX(FHA_Lookup!$C$2:$C$11,MATCH(TRUE,ISNUMBER(SEARCH(FHA_Lookup!$A$2:$A$11,UPPER(SUBSTITUTE(O232," ","")))),0)),"OTHER")</f>
        <v/>
      </c>
      <c r="AQ232" s="20">
        <f>IF(AP232="NC",1,0)</f>
        <v/>
      </c>
      <c r="AR232" s="20">
        <f>IF(UPPER(TRIM(P232))="AFF",1,0)</f>
        <v/>
      </c>
      <c r="AS232" s="20">
        <f>IF(UPPER(TRIM(P232))="BAF",1,0)</f>
        <v/>
      </c>
      <c r="AT232" s="20">
        <f>IF(UPPER(TRIM(P232))="MKT",1,0)</f>
        <v/>
      </c>
      <c r="AU232" s="20">
        <f>IF(AO232="221d4",1,0)</f>
        <v/>
      </c>
      <c r="AV232" s="20">
        <f>IF(AO232="223a7",1,0)</f>
        <v/>
      </c>
      <c r="AW232" s="20">
        <f>IF(AO232="232",1,0)</f>
        <v/>
      </c>
      <c r="AX232" s="20">
        <f>IF(AO232="538",1,0)</f>
        <v/>
      </c>
      <c r="AY232" s="20">
        <f>IF(AO232="241",1,0)</f>
        <v/>
      </c>
      <c r="AZ232" s="20">
        <f>IF(AO232="220",1,0)</f>
        <v/>
      </c>
      <c r="BA232" s="20">
        <f>IF(AO232="OTHER",1,0)</f>
        <v/>
      </c>
      <c r="BB232" s="20">
        <f>IF(UPPER(TRIM(C232))="LM",1,0)</f>
        <v/>
      </c>
      <c r="BC232" s="20">
        <f>IF(UPPER(TRIM(C232))="PN",1,0)</f>
        <v/>
      </c>
      <c r="BD232" s="20">
        <f>IF(UPPER(TRIM(C232))="LS",1,0)</f>
        <v/>
      </c>
      <c r="BE232" s="20">
        <f>IF(UPPER(TRIM(C232))="RX",1,0)</f>
        <v/>
      </c>
      <c r="BF232" s="22">
        <f>IFERROR((Parameters!$C$6*AM232+Parameters!$C$7*MAX(AM232-(-150),0)+Parameters!$C$8*MAX(AM232-(-50),0)+Parameters!$C$9*MAX(AM232-(0),0)+Parameters!$C$10*MAX(AM232-(50),0)+Parameters!$C$11*MAX(AM232-(100),0)+Parameters!$C$12*MAX(AM232-(150),0)+Parameters!$C$13*MAX(AM232-(250),0)),0)</f>
        <v/>
      </c>
      <c r="BG232" s="22">
        <f>IFERROR((Parameters!$C$14*AA232+Parameters!$C$15*MAX(AA232-(12),0)+Parameters!$C$16*MAX(AA232-(36),0)+Parameters!$C$17*MAX(AA232-(60),0)+Parameters!$C$18*MAX(AA232-(84),0)+Parameters!$C$19*MAX(AA232-(120),0)+Parameters!$C$20*MAX(AA232-(180),0)),0)</f>
        <v/>
      </c>
      <c r="BH232" s="22">
        <f>IFERROR((Parameters!$C$21*AK232+Parameters!$C$22*MAX(AK232-(0),0)+Parameters!$C$23*MAX(AK232-(2),0)+Parameters!$C$24*MAX(AK232-(5),0)+Parameters!$C$25*MAX(AK232-(8),0)),0)</f>
        <v/>
      </c>
      <c r="BI232" s="22">
        <f>IFERROR((Parameters!$C$26*AI232+Parameters!$C$27*MAX(AI232-(-100),0)+Parameters!$C$28*MAX(AI232-(-25),0)+Parameters!$C$29*MAX(AI232-(25),0)+Parameters!$C$30*MAX(AI232-(100),0)),0)</f>
        <v/>
      </c>
      <c r="BJ232" s="22">
        <f>IFERROR((Parameters!$C$31*AN232+Parameters!$C$32*MAX(AN232-(2),0)+Parameters!$C$33*MAX(AN232-(10),0)+Parameters!$C$34*MAX(AN232-(25),0)),0)</f>
        <v/>
      </c>
      <c r="BK232" s="22">
        <f>IFERROR((Parameters!$C$35*AB232+Parameters!$C$36*MAX(AB232-(12),0)+Parameters!$C$37*MAX(AB232-(24),0)+Parameters!$C$38*MAX(AB232-(60),0)),0)</f>
        <v/>
      </c>
      <c r="BL232" s="22">
        <f>IFERROR((Parameters!$C$39*AC232+Parameters!$C$40*MAX(AC232-(6),0)+Parameters!$C$41*MAX(AC232-(12),0)+Parameters!$C$42*MAX(AC232-(24),0)),0)</f>
        <v/>
      </c>
      <c r="BM232" s="22">
        <f>IFERROR(Parameters!$C$43*(MAX(AM232,0)*MIN(MAX(AK232,0),10))/100,0)</f>
        <v/>
      </c>
      <c r="BN232" s="22">
        <f>Parameters!$C$44*AE232</f>
        <v/>
      </c>
      <c r="BO232" s="22">
        <f>Parameters!$C$45*AU232 + Parameters!$C$46*AV232 + Parameters!$C$47*AW232 + Parameters!$C$48*AX232 + Parameters!$C$49*AY232 + Parameters!$C$50*AZ232 + Parameters!$C$51*BA232</f>
        <v/>
      </c>
      <c r="BP232" s="22">
        <f>Parameters!$C$52*AQ232</f>
        <v/>
      </c>
      <c r="BQ232" s="22">
        <f>Parameters!$C$53*AR232+Parameters!$C$54*AS232+Parameters!$C$55*AT232</f>
        <v/>
      </c>
      <c r="BR232" s="22">
        <f>Parameters!$C$56*BB232+Parameters!$C$57*BC232+Parameters!$C$58*BD232+Parameters!$C$59*BE232</f>
        <v/>
      </c>
      <c r="BS232" s="23">
        <f>Parameters!$B$2</f>
        <v/>
      </c>
      <c r="BT232" s="23">
        <f>BS232+BF232 + BG232 + BH232 + BI232 + BJ232 + BK232 + BL232 + BM232 + BN232 + BO232 + BP232 + BQ232 + BR232</f>
        <v/>
      </c>
      <c r="BU232" s="24">
        <f>IF(AD232=1,0,1/(1+EXP(-BT232))*Parameters!$B$3)</f>
        <v/>
      </c>
      <c r="BV232" s="25">
        <f>(1-(1-BU232)^12)*100</f>
        <v/>
      </c>
      <c r="BW232" s="25">
        <f>IF(AD232=1,0,(1-(1-1/(1+EXP(-Parameters!$B$2)))^12)*100)</f>
        <v/>
      </c>
      <c r="BX232" s="25">
        <f>IF(AD232=1,0,BV232-(1-(1-(1/(1+EXP(-(BT232-BF232)))*Parameters!$B$3))^12)*100)</f>
        <v/>
      </c>
      <c r="BY232" s="25">
        <f>IF(AD232=1,0,BV232-(1-(1-(1/(1+EXP(-(BT232-BG232)))*Parameters!$B$3))^12)*100)</f>
        <v/>
      </c>
      <c r="BZ232" s="25">
        <f>IF(AD232=1,0,BV232-(1-(1-(1/(1+EXP(-(BT232-BH232)))*Parameters!$B$3))^12)*100)</f>
        <v/>
      </c>
      <c r="CA232" s="25">
        <f>IF(AD232=1,0,BV232-(1-(1-(1/(1+EXP(-(BT232-BI232)))*Parameters!$B$3))^12)*100)</f>
        <v/>
      </c>
      <c r="CB232" s="25">
        <f>IF(AD232=1,0,BV232-(1-(1-(1/(1+EXP(-(BT232-BJ232)))*Parameters!$B$3))^12)*100)</f>
        <v/>
      </c>
      <c r="CC232" s="25">
        <f>IF(AD232=1,0,BV232-(1-(1-(1/(1+EXP(-(BT232-BK232)))*Parameters!$B$3))^12)*100)</f>
        <v/>
      </c>
      <c r="CD232" s="25">
        <f>IF(AD232=1,0,BV232-(1-(1-(1/(1+EXP(-(BT232-BL232)))*Parameters!$B$3))^12)*100)</f>
        <v/>
      </c>
      <c r="CE232" s="25">
        <f>IF(AD232=1,0,BV232-(1-(1-(1/(1+EXP(-(BT232-BM232)))*Parameters!$B$3))^12)*100)</f>
        <v/>
      </c>
      <c r="CF232" s="25">
        <f>IF(AD232=1,0,BV232-(1-(1-(1/(1+EXP(-(BT232-BN232)))*Parameters!$B$3))^12)*100)</f>
        <v/>
      </c>
      <c r="CG232" s="25">
        <f>IF(AD232=1,0,BV232-(1-(1-(1/(1+EXP(-(BT232-BO232)))*Parameters!$B$3))^12)*100)</f>
        <v/>
      </c>
      <c r="CH232" s="25">
        <f>IF(AD232=1,0,BV232-(1-(1-(1/(1+EXP(-(BT232-BP232)))*Parameters!$B$3))^12)*100)</f>
        <v/>
      </c>
      <c r="CI232" s="25">
        <f>IF(AD232=1,0,BV232-(1-(1-(1/(1+EXP(-(BT232-BQ232)))*Parameters!$B$3))^12)*100)</f>
        <v/>
      </c>
      <c r="CJ232" s="25">
        <f>IF(AD232=1,0,BV232-(1-(1-(1/(1+EXP(-(BT232-BR232)))*Parameters!$B$3))^12)*100)</f>
        <v/>
      </c>
    </row>
    <row r="233">
      <c r="A233" s="17" t="inlineStr">
        <is>
          <t>GNR_DIVERSE</t>
        </is>
      </c>
      <c r="B233" s="17" t="inlineStr">
        <is>
          <t>3618A7L56</t>
        </is>
      </c>
      <c r="C233" s="17" t="inlineStr">
        <is>
          <t>PN</t>
        </is>
      </c>
      <c r="D233" s="17" t="inlineStr">
        <is>
          <t>WALKER &amp; DUNLOP, LLC</t>
        </is>
      </c>
      <c r="E233" s="17" t="inlineStr">
        <is>
          <t>3618A7L56_000000005211337</t>
        </is>
      </c>
      <c r="F233" s="17" t="n">
        <v>202603</v>
      </c>
      <c r="G233" s="18" t="n">
        <v>5.79</v>
      </c>
      <c r="H233" s="19" t="n">
        <v>67302521.98999999</v>
      </c>
      <c r="I233" s="17" t="n">
        <v>420</v>
      </c>
      <c r="J233" s="17" t="n">
        <v>20221129</v>
      </c>
      <c r="K233" s="17" t="n">
        <v>20571201</v>
      </c>
      <c r="L233" s="17" t="n"/>
      <c r="M233" s="17" t="n">
        <v>20330101</v>
      </c>
      <c r="N233" s="17" t="n">
        <v>10</v>
      </c>
      <c r="O233" s="17" t="inlineStr">
        <is>
          <t>207/223(F)</t>
        </is>
      </c>
      <c r="P233" s="17" t="inlineStr">
        <is>
          <t>MKT</t>
        </is>
      </c>
      <c r="Q233" s="17" t="n"/>
      <c r="R233" s="17" t="n"/>
      <c r="S233" s="17" t="n"/>
      <c r="T233" s="17" t="inlineStr">
        <is>
          <t>MD</t>
        </is>
      </c>
      <c r="U233" s="17" t="n">
        <v>554</v>
      </c>
      <c r="V233" s="17" t="n">
        <v>490.5</v>
      </c>
      <c r="W233" s="17" t="n">
        <v>40</v>
      </c>
      <c r="X233" s="17" t="n">
        <v>2022</v>
      </c>
      <c r="Y233" s="17" t="n">
        <v>204</v>
      </c>
      <c r="Z233" s="17" t="n">
        <v>7</v>
      </c>
      <c r="AA233" s="20">
        <f>IF(ISNUMBER(W233),W233,IFERROR(MAX(0,(VALUE(LEFT(F233,4))-VALUE(LEFT(TEXT(J233,"00000000"),4)))*12+(VALUE(MID(F233,5,2))-VALUE(MID(TEXT(J233,"00000000"),5,2)))),""))</f>
        <v/>
      </c>
      <c r="AB233" s="20">
        <f>IFERROR((VALUE(LEFT(TEXT(K233,"00000000"),4))-VALUE(LEFT(F233,4)))*12+(VALUE(MID(TEXT(K233,"00000000"),5,2))-VALUE(MID(F233,5,2))),"")</f>
        <v/>
      </c>
      <c r="AC233" s="20">
        <f>IF(OR(L233="",NOT(ISNUMBER(L233))),0,MAX(0,MIN(60,(VALUE(LEFT(F233,4))-VALUE(LEFT(TEXT(L233,"00000000"),4)))*12+(VALUE(MID(F233,5,2))-VALUE(MID(TEXT(L233,"00000000"),5,2))))))</f>
        <v/>
      </c>
      <c r="AD233" s="20">
        <f>IF(OR(L233="",NOT(ISNUMBER(L233))),0,IF(VALUE(F233)&lt;VALUE(LEFT(TEXT(L233,"00000000"),6)),1,0))</f>
        <v/>
      </c>
      <c r="AE233" s="20">
        <f>IF(OR(M233="",NOT(ISNUMBER(M233))),0,IF(VALUE(F233)&lt;VALUE(LEFT(TEXT(M233,"00000000"),6)),1,0))</f>
        <v/>
      </c>
      <c r="AF233" s="20">
        <f>IF(AND(AD233=0,AE233=0),1,0)</f>
        <v/>
      </c>
      <c r="AG233" s="20">
        <f>IF(ISNUMBER(X233),X233,IFERROR(VALUE(LEFT(TEXT(J233,"00000000"),4)),""))</f>
        <v/>
      </c>
      <c r="AH233" s="20">
        <f>IFERROR(XLOOKUP(AG233,Vintage_Rates!$A$2:$A$1000,Vintage_Rates!$B$2:$B$1000,""),"")</f>
        <v/>
      </c>
      <c r="AI233" s="20">
        <f>IF(ISNUMBER(Y233),Y233,IFERROR((G233-AH233)*100,""))</f>
        <v/>
      </c>
      <c r="AJ233" s="20">
        <f>IF(ISNUMBER(V233),V233,IFERROR(XLOOKUP(VALUE(F233),PLC_Rates!$A$2:$A$1000,PLC_Rates!$B$2:$B$1000,""),""))</f>
        <v/>
      </c>
      <c r="AK233" s="20">
        <f>IF(ISNUMBER(Z233),Z233,IF(AE233=0,0,MAX(0,MIN(10,((VALUE(LEFT(TEXT(M233,"00000000"),4))-VALUE(LEFT(F233,4)))*12+(VALUE(MID(TEXT(M233,"00000000"),5,2))-VALUE(MID(F233,5,2))))/12))))</f>
        <v/>
      </c>
      <c r="AL233" s="20">
        <f>IFERROR(G233*100-AJ233,"")</f>
        <v/>
      </c>
      <c r="AM233" s="20">
        <f>IFERROR(G233*100-(AJ233+(1+AK233)*12.5),"")</f>
        <v/>
      </c>
      <c r="AN233" s="21">
        <f>IFERROR(MIN(H233/1000000,100),"")</f>
        <v/>
      </c>
      <c r="AO233" s="20">
        <f>IFERROR(INDEX(FHA_Lookup!$B$2:$B$11,MATCH(TRUE,ISNUMBER(SEARCH(FHA_Lookup!$A$2:$A$11,UPPER(SUBSTITUTE(O233," ","")))),0)),"OTHER")</f>
        <v/>
      </c>
      <c r="AP233" s="20">
        <f>IFERROR(INDEX(FHA_Lookup!$C$2:$C$11,MATCH(TRUE,ISNUMBER(SEARCH(FHA_Lookup!$A$2:$A$11,UPPER(SUBSTITUTE(O233," ","")))),0)),"OTHER")</f>
        <v/>
      </c>
      <c r="AQ233" s="20">
        <f>IF(AP233="NC",1,0)</f>
        <v/>
      </c>
      <c r="AR233" s="20">
        <f>IF(UPPER(TRIM(P233))="AFF",1,0)</f>
        <v/>
      </c>
      <c r="AS233" s="20">
        <f>IF(UPPER(TRIM(P233))="BAF",1,0)</f>
        <v/>
      </c>
      <c r="AT233" s="20">
        <f>IF(UPPER(TRIM(P233))="MKT",1,0)</f>
        <v/>
      </c>
      <c r="AU233" s="20">
        <f>IF(AO233="221d4",1,0)</f>
        <v/>
      </c>
      <c r="AV233" s="20">
        <f>IF(AO233="223a7",1,0)</f>
        <v/>
      </c>
      <c r="AW233" s="20">
        <f>IF(AO233="232",1,0)</f>
        <v/>
      </c>
      <c r="AX233" s="20">
        <f>IF(AO233="538",1,0)</f>
        <v/>
      </c>
      <c r="AY233" s="20">
        <f>IF(AO233="241",1,0)</f>
        <v/>
      </c>
      <c r="AZ233" s="20">
        <f>IF(AO233="220",1,0)</f>
        <v/>
      </c>
      <c r="BA233" s="20">
        <f>IF(AO233="OTHER",1,0)</f>
        <v/>
      </c>
      <c r="BB233" s="20">
        <f>IF(UPPER(TRIM(C233))="LM",1,0)</f>
        <v/>
      </c>
      <c r="BC233" s="20">
        <f>IF(UPPER(TRIM(C233))="PN",1,0)</f>
        <v/>
      </c>
      <c r="BD233" s="20">
        <f>IF(UPPER(TRIM(C233))="LS",1,0)</f>
        <v/>
      </c>
      <c r="BE233" s="20">
        <f>IF(UPPER(TRIM(C233))="RX",1,0)</f>
        <v/>
      </c>
      <c r="BF233" s="22">
        <f>IFERROR((Parameters!$C$6*AM233+Parameters!$C$7*MAX(AM233-(-150),0)+Parameters!$C$8*MAX(AM233-(-50),0)+Parameters!$C$9*MAX(AM233-(0),0)+Parameters!$C$10*MAX(AM233-(50),0)+Parameters!$C$11*MAX(AM233-(100),0)+Parameters!$C$12*MAX(AM233-(150),0)+Parameters!$C$13*MAX(AM233-(250),0)),0)</f>
        <v/>
      </c>
      <c r="BG233" s="22">
        <f>IFERROR((Parameters!$C$14*AA233+Parameters!$C$15*MAX(AA233-(12),0)+Parameters!$C$16*MAX(AA233-(36),0)+Parameters!$C$17*MAX(AA233-(60),0)+Parameters!$C$18*MAX(AA233-(84),0)+Parameters!$C$19*MAX(AA233-(120),0)+Parameters!$C$20*MAX(AA233-(180),0)),0)</f>
        <v/>
      </c>
      <c r="BH233" s="22">
        <f>IFERROR((Parameters!$C$21*AK233+Parameters!$C$22*MAX(AK233-(0),0)+Parameters!$C$23*MAX(AK233-(2),0)+Parameters!$C$24*MAX(AK233-(5),0)+Parameters!$C$25*MAX(AK233-(8),0)),0)</f>
        <v/>
      </c>
      <c r="BI233" s="22">
        <f>IFERROR((Parameters!$C$26*AI233+Parameters!$C$27*MAX(AI233-(-100),0)+Parameters!$C$28*MAX(AI233-(-25),0)+Parameters!$C$29*MAX(AI233-(25),0)+Parameters!$C$30*MAX(AI233-(100),0)),0)</f>
        <v/>
      </c>
      <c r="BJ233" s="22">
        <f>IFERROR((Parameters!$C$31*AN233+Parameters!$C$32*MAX(AN233-(2),0)+Parameters!$C$33*MAX(AN233-(10),0)+Parameters!$C$34*MAX(AN233-(25),0)),0)</f>
        <v/>
      </c>
      <c r="BK233" s="22">
        <f>IFERROR((Parameters!$C$35*AB233+Parameters!$C$36*MAX(AB233-(12),0)+Parameters!$C$37*MAX(AB233-(24),0)+Parameters!$C$38*MAX(AB233-(60),0)),0)</f>
        <v/>
      </c>
      <c r="BL233" s="22">
        <f>IFERROR((Parameters!$C$39*AC233+Parameters!$C$40*MAX(AC233-(6),0)+Parameters!$C$41*MAX(AC233-(12),0)+Parameters!$C$42*MAX(AC233-(24),0)),0)</f>
        <v/>
      </c>
      <c r="BM233" s="22">
        <f>IFERROR(Parameters!$C$43*(MAX(AM233,0)*MIN(MAX(AK233,0),10))/100,0)</f>
        <v/>
      </c>
      <c r="BN233" s="22">
        <f>Parameters!$C$44*AE233</f>
        <v/>
      </c>
      <c r="BO233" s="22">
        <f>Parameters!$C$45*AU233 + Parameters!$C$46*AV233 + Parameters!$C$47*AW233 + Parameters!$C$48*AX233 + Parameters!$C$49*AY233 + Parameters!$C$50*AZ233 + Parameters!$C$51*BA233</f>
        <v/>
      </c>
      <c r="BP233" s="22">
        <f>Parameters!$C$52*AQ233</f>
        <v/>
      </c>
      <c r="BQ233" s="22">
        <f>Parameters!$C$53*AR233+Parameters!$C$54*AS233+Parameters!$C$55*AT233</f>
        <v/>
      </c>
      <c r="BR233" s="22">
        <f>Parameters!$C$56*BB233+Parameters!$C$57*BC233+Parameters!$C$58*BD233+Parameters!$C$59*BE233</f>
        <v/>
      </c>
      <c r="BS233" s="23">
        <f>Parameters!$B$2</f>
        <v/>
      </c>
      <c r="BT233" s="23">
        <f>BS233+BF233 + BG233 + BH233 + BI233 + BJ233 + BK233 + BL233 + BM233 + BN233 + BO233 + BP233 + BQ233 + BR233</f>
        <v/>
      </c>
      <c r="BU233" s="24">
        <f>IF(AD233=1,0,1/(1+EXP(-BT233))*Parameters!$B$3)</f>
        <v/>
      </c>
      <c r="BV233" s="25">
        <f>(1-(1-BU233)^12)*100</f>
        <v/>
      </c>
      <c r="BW233" s="25">
        <f>IF(AD233=1,0,(1-(1-1/(1+EXP(-Parameters!$B$2)))^12)*100)</f>
        <v/>
      </c>
      <c r="BX233" s="25">
        <f>IF(AD233=1,0,BV233-(1-(1-(1/(1+EXP(-(BT233-BF233)))*Parameters!$B$3))^12)*100)</f>
        <v/>
      </c>
      <c r="BY233" s="25">
        <f>IF(AD233=1,0,BV233-(1-(1-(1/(1+EXP(-(BT233-BG233)))*Parameters!$B$3))^12)*100)</f>
        <v/>
      </c>
      <c r="BZ233" s="25">
        <f>IF(AD233=1,0,BV233-(1-(1-(1/(1+EXP(-(BT233-BH233)))*Parameters!$B$3))^12)*100)</f>
        <v/>
      </c>
      <c r="CA233" s="25">
        <f>IF(AD233=1,0,BV233-(1-(1-(1/(1+EXP(-(BT233-BI233)))*Parameters!$B$3))^12)*100)</f>
        <v/>
      </c>
      <c r="CB233" s="25">
        <f>IF(AD233=1,0,BV233-(1-(1-(1/(1+EXP(-(BT233-BJ233)))*Parameters!$B$3))^12)*100)</f>
        <v/>
      </c>
      <c r="CC233" s="25">
        <f>IF(AD233=1,0,BV233-(1-(1-(1/(1+EXP(-(BT233-BK233)))*Parameters!$B$3))^12)*100)</f>
        <v/>
      </c>
      <c r="CD233" s="25">
        <f>IF(AD233=1,0,BV233-(1-(1-(1/(1+EXP(-(BT233-BL233)))*Parameters!$B$3))^12)*100)</f>
        <v/>
      </c>
      <c r="CE233" s="25">
        <f>IF(AD233=1,0,BV233-(1-(1-(1/(1+EXP(-(BT233-BM233)))*Parameters!$B$3))^12)*100)</f>
        <v/>
      </c>
      <c r="CF233" s="25">
        <f>IF(AD233=1,0,BV233-(1-(1-(1/(1+EXP(-(BT233-BN233)))*Parameters!$B$3))^12)*100)</f>
        <v/>
      </c>
      <c r="CG233" s="25">
        <f>IF(AD233=1,0,BV233-(1-(1-(1/(1+EXP(-(BT233-BO233)))*Parameters!$B$3))^12)*100)</f>
        <v/>
      </c>
      <c r="CH233" s="25">
        <f>IF(AD233=1,0,BV233-(1-(1-(1/(1+EXP(-(BT233-BP233)))*Parameters!$B$3))^12)*100)</f>
        <v/>
      </c>
      <c r="CI233" s="25">
        <f>IF(AD233=1,0,BV233-(1-(1-(1/(1+EXP(-(BT233-BQ233)))*Parameters!$B$3))^12)*100)</f>
        <v/>
      </c>
      <c r="CJ233" s="25">
        <f>IF(AD233=1,0,BV233-(1-(1-(1/(1+EXP(-(BT233-BR233)))*Parameters!$B$3))^12)*100)</f>
        <v/>
      </c>
    </row>
    <row r="234">
      <c r="A234" s="17" t="inlineStr">
        <is>
          <t>GNR_DIVERSE</t>
        </is>
      </c>
      <c r="B234" s="17" t="inlineStr">
        <is>
          <t>3617Q5VF2</t>
        </is>
      </c>
      <c r="C234" s="17" t="inlineStr">
        <is>
          <t>LM</t>
        </is>
      </c>
      <c r="D234" s="17" t="inlineStr">
        <is>
          <t>PNC BANK, NA</t>
        </is>
      </c>
      <c r="E234" s="17" t="inlineStr">
        <is>
          <t>3617Q5VF2_000000002311159</t>
        </is>
      </c>
      <c r="F234" s="17" t="n">
        <v>202603</v>
      </c>
      <c r="G234" s="18" t="n">
        <v>3.06</v>
      </c>
      <c r="H234" s="19" t="n">
        <v>1658425.03</v>
      </c>
      <c r="I234" s="17" t="n">
        <v>421</v>
      </c>
      <c r="J234" s="17" t="n">
        <v>20210528</v>
      </c>
      <c r="K234" s="17" t="n">
        <v>20430501</v>
      </c>
      <c r="L234" s="17" t="n"/>
      <c r="M234" s="17" t="n">
        <v>20310701</v>
      </c>
      <c r="N234" s="17" t="n">
        <v>10</v>
      </c>
      <c r="O234" s="17" t="inlineStr">
        <is>
          <t>207/223(F)</t>
        </is>
      </c>
      <c r="P234" s="17" t="inlineStr">
        <is>
          <t>MKT</t>
        </is>
      </c>
      <c r="Q234" s="17" t="inlineStr">
        <is>
          <t>M</t>
        </is>
      </c>
      <c r="R234" s="17" t="n"/>
      <c r="S234" s="17" t="n">
        <v>1</v>
      </c>
      <c r="T234" s="17" t="inlineStr">
        <is>
          <t>MA</t>
        </is>
      </c>
      <c r="U234" s="17" t="n">
        <v>24</v>
      </c>
      <c r="V234" s="17" t="n">
        <v>490.5</v>
      </c>
      <c r="W234" s="17" t="n">
        <v>58</v>
      </c>
      <c r="X234" s="17" t="n">
        <v>2021</v>
      </c>
      <c r="Y234" s="17" t="n">
        <v>48</v>
      </c>
      <c r="Z234" s="17" t="n">
        <v>6</v>
      </c>
      <c r="AA234" s="20">
        <f>IF(ISNUMBER(W234),W234,IFERROR(MAX(0,(VALUE(LEFT(F234,4))-VALUE(LEFT(TEXT(J234,"00000000"),4)))*12+(VALUE(MID(F234,5,2))-VALUE(MID(TEXT(J234,"00000000"),5,2)))),""))</f>
        <v/>
      </c>
      <c r="AB234" s="20">
        <f>IFERROR((VALUE(LEFT(TEXT(K234,"00000000"),4))-VALUE(LEFT(F234,4)))*12+(VALUE(MID(TEXT(K234,"00000000"),5,2))-VALUE(MID(F234,5,2))),"")</f>
        <v/>
      </c>
      <c r="AC234" s="20">
        <f>IF(OR(L234="",NOT(ISNUMBER(L234))),0,MAX(0,MIN(60,(VALUE(LEFT(F234,4))-VALUE(LEFT(TEXT(L234,"00000000"),4)))*12+(VALUE(MID(F234,5,2))-VALUE(MID(TEXT(L234,"00000000"),5,2))))))</f>
        <v/>
      </c>
      <c r="AD234" s="20">
        <f>IF(OR(L234="",NOT(ISNUMBER(L234))),0,IF(VALUE(F234)&lt;VALUE(LEFT(TEXT(L234,"00000000"),6)),1,0))</f>
        <v/>
      </c>
      <c r="AE234" s="20">
        <f>IF(OR(M234="",NOT(ISNUMBER(M234))),0,IF(VALUE(F234)&lt;VALUE(LEFT(TEXT(M234,"00000000"),6)),1,0))</f>
        <v/>
      </c>
      <c r="AF234" s="20">
        <f>IF(AND(AD234=0,AE234=0),1,0)</f>
        <v/>
      </c>
      <c r="AG234" s="20">
        <f>IF(ISNUMBER(X234),X234,IFERROR(VALUE(LEFT(TEXT(J234,"00000000"),4)),""))</f>
        <v/>
      </c>
      <c r="AH234" s="20">
        <f>IFERROR(XLOOKUP(AG234,Vintage_Rates!$A$2:$A$1000,Vintage_Rates!$B$2:$B$1000,""),"")</f>
        <v/>
      </c>
      <c r="AI234" s="20">
        <f>IF(ISNUMBER(Y234),Y234,IFERROR((G234-AH234)*100,""))</f>
        <v/>
      </c>
      <c r="AJ234" s="20">
        <f>IF(ISNUMBER(V234),V234,IFERROR(XLOOKUP(VALUE(F234),PLC_Rates!$A$2:$A$1000,PLC_Rates!$B$2:$B$1000,""),""))</f>
        <v/>
      </c>
      <c r="AK234" s="20">
        <f>IF(ISNUMBER(Z234),Z234,IF(AE234=0,0,MAX(0,MIN(10,((VALUE(LEFT(TEXT(M234,"00000000"),4))-VALUE(LEFT(F234,4)))*12+(VALUE(MID(TEXT(M234,"00000000"),5,2))-VALUE(MID(F234,5,2))))/12))))</f>
        <v/>
      </c>
      <c r="AL234" s="20">
        <f>IFERROR(G234*100-AJ234,"")</f>
        <v/>
      </c>
      <c r="AM234" s="20">
        <f>IFERROR(G234*100-(AJ234+(1+AK234)*12.5),"")</f>
        <v/>
      </c>
      <c r="AN234" s="21">
        <f>IFERROR(MIN(H234/1000000,100),"")</f>
        <v/>
      </c>
      <c r="AO234" s="20">
        <f>IFERROR(INDEX(FHA_Lookup!$B$2:$B$11,MATCH(TRUE,ISNUMBER(SEARCH(FHA_Lookup!$A$2:$A$11,UPPER(SUBSTITUTE(O234," ","")))),0)),"OTHER")</f>
        <v/>
      </c>
      <c r="AP234" s="20">
        <f>IFERROR(INDEX(FHA_Lookup!$C$2:$C$11,MATCH(TRUE,ISNUMBER(SEARCH(FHA_Lookup!$A$2:$A$11,UPPER(SUBSTITUTE(O234," ","")))),0)),"OTHER")</f>
        <v/>
      </c>
      <c r="AQ234" s="20">
        <f>IF(AP234="NC",1,0)</f>
        <v/>
      </c>
      <c r="AR234" s="20">
        <f>IF(UPPER(TRIM(P234))="AFF",1,0)</f>
        <v/>
      </c>
      <c r="AS234" s="20">
        <f>IF(UPPER(TRIM(P234))="BAF",1,0)</f>
        <v/>
      </c>
      <c r="AT234" s="20">
        <f>IF(UPPER(TRIM(P234))="MKT",1,0)</f>
        <v/>
      </c>
      <c r="AU234" s="20">
        <f>IF(AO234="221d4",1,0)</f>
        <v/>
      </c>
      <c r="AV234" s="20">
        <f>IF(AO234="223a7",1,0)</f>
        <v/>
      </c>
      <c r="AW234" s="20">
        <f>IF(AO234="232",1,0)</f>
        <v/>
      </c>
      <c r="AX234" s="20">
        <f>IF(AO234="538",1,0)</f>
        <v/>
      </c>
      <c r="AY234" s="20">
        <f>IF(AO234="241",1,0)</f>
        <v/>
      </c>
      <c r="AZ234" s="20">
        <f>IF(AO234="220",1,0)</f>
        <v/>
      </c>
      <c r="BA234" s="20">
        <f>IF(AO234="OTHER",1,0)</f>
        <v/>
      </c>
      <c r="BB234" s="20">
        <f>IF(UPPER(TRIM(C234))="LM",1,0)</f>
        <v/>
      </c>
      <c r="BC234" s="20">
        <f>IF(UPPER(TRIM(C234))="PN",1,0)</f>
        <v/>
      </c>
      <c r="BD234" s="20">
        <f>IF(UPPER(TRIM(C234))="LS",1,0)</f>
        <v/>
      </c>
      <c r="BE234" s="20">
        <f>IF(UPPER(TRIM(C234))="RX",1,0)</f>
        <v/>
      </c>
      <c r="BF234" s="22">
        <f>IFERROR((Parameters!$C$6*AM234+Parameters!$C$7*MAX(AM234-(-150),0)+Parameters!$C$8*MAX(AM234-(-50),0)+Parameters!$C$9*MAX(AM234-(0),0)+Parameters!$C$10*MAX(AM234-(50),0)+Parameters!$C$11*MAX(AM234-(100),0)+Parameters!$C$12*MAX(AM234-(150),0)+Parameters!$C$13*MAX(AM234-(250),0)),0)</f>
        <v/>
      </c>
      <c r="BG234" s="22">
        <f>IFERROR((Parameters!$C$14*AA234+Parameters!$C$15*MAX(AA234-(12),0)+Parameters!$C$16*MAX(AA234-(36),0)+Parameters!$C$17*MAX(AA234-(60),0)+Parameters!$C$18*MAX(AA234-(84),0)+Parameters!$C$19*MAX(AA234-(120),0)+Parameters!$C$20*MAX(AA234-(180),0)),0)</f>
        <v/>
      </c>
      <c r="BH234" s="22">
        <f>IFERROR((Parameters!$C$21*AK234+Parameters!$C$22*MAX(AK234-(0),0)+Parameters!$C$23*MAX(AK234-(2),0)+Parameters!$C$24*MAX(AK234-(5),0)+Parameters!$C$25*MAX(AK234-(8),0)),0)</f>
        <v/>
      </c>
      <c r="BI234" s="22">
        <f>IFERROR((Parameters!$C$26*AI234+Parameters!$C$27*MAX(AI234-(-100),0)+Parameters!$C$28*MAX(AI234-(-25),0)+Parameters!$C$29*MAX(AI234-(25),0)+Parameters!$C$30*MAX(AI234-(100),0)),0)</f>
        <v/>
      </c>
      <c r="BJ234" s="22">
        <f>IFERROR((Parameters!$C$31*AN234+Parameters!$C$32*MAX(AN234-(2),0)+Parameters!$C$33*MAX(AN234-(10),0)+Parameters!$C$34*MAX(AN234-(25),0)),0)</f>
        <v/>
      </c>
      <c r="BK234" s="22">
        <f>IFERROR((Parameters!$C$35*AB234+Parameters!$C$36*MAX(AB234-(12),0)+Parameters!$C$37*MAX(AB234-(24),0)+Parameters!$C$38*MAX(AB234-(60),0)),0)</f>
        <v/>
      </c>
      <c r="BL234" s="22">
        <f>IFERROR((Parameters!$C$39*AC234+Parameters!$C$40*MAX(AC234-(6),0)+Parameters!$C$41*MAX(AC234-(12),0)+Parameters!$C$42*MAX(AC234-(24),0)),0)</f>
        <v/>
      </c>
      <c r="BM234" s="22">
        <f>IFERROR(Parameters!$C$43*(MAX(AM234,0)*MIN(MAX(AK234,0),10))/100,0)</f>
        <v/>
      </c>
      <c r="BN234" s="22">
        <f>Parameters!$C$44*AE234</f>
        <v/>
      </c>
      <c r="BO234" s="22">
        <f>Parameters!$C$45*AU234 + Parameters!$C$46*AV234 + Parameters!$C$47*AW234 + Parameters!$C$48*AX234 + Parameters!$C$49*AY234 + Parameters!$C$50*AZ234 + Parameters!$C$51*BA234</f>
        <v/>
      </c>
      <c r="BP234" s="22">
        <f>Parameters!$C$52*AQ234</f>
        <v/>
      </c>
      <c r="BQ234" s="22">
        <f>Parameters!$C$53*AR234+Parameters!$C$54*AS234+Parameters!$C$55*AT234</f>
        <v/>
      </c>
      <c r="BR234" s="22">
        <f>Parameters!$C$56*BB234+Parameters!$C$57*BC234+Parameters!$C$58*BD234+Parameters!$C$59*BE234</f>
        <v/>
      </c>
      <c r="BS234" s="23">
        <f>Parameters!$B$2</f>
        <v/>
      </c>
      <c r="BT234" s="23">
        <f>BS234+BF234 + BG234 + BH234 + BI234 + BJ234 + BK234 + BL234 + BM234 + BN234 + BO234 + BP234 + BQ234 + BR234</f>
        <v/>
      </c>
      <c r="BU234" s="24">
        <f>IF(AD234=1,0,1/(1+EXP(-BT234))*Parameters!$B$3)</f>
        <v/>
      </c>
      <c r="BV234" s="25">
        <f>(1-(1-BU234)^12)*100</f>
        <v/>
      </c>
      <c r="BW234" s="25">
        <f>IF(AD234=1,0,(1-(1-1/(1+EXP(-Parameters!$B$2)))^12)*100)</f>
        <v/>
      </c>
      <c r="BX234" s="25">
        <f>IF(AD234=1,0,BV234-(1-(1-(1/(1+EXP(-(BT234-BF234)))*Parameters!$B$3))^12)*100)</f>
        <v/>
      </c>
      <c r="BY234" s="25">
        <f>IF(AD234=1,0,BV234-(1-(1-(1/(1+EXP(-(BT234-BG234)))*Parameters!$B$3))^12)*100)</f>
        <v/>
      </c>
      <c r="BZ234" s="25">
        <f>IF(AD234=1,0,BV234-(1-(1-(1/(1+EXP(-(BT234-BH234)))*Parameters!$B$3))^12)*100)</f>
        <v/>
      </c>
      <c r="CA234" s="25">
        <f>IF(AD234=1,0,BV234-(1-(1-(1/(1+EXP(-(BT234-BI234)))*Parameters!$B$3))^12)*100)</f>
        <v/>
      </c>
      <c r="CB234" s="25">
        <f>IF(AD234=1,0,BV234-(1-(1-(1/(1+EXP(-(BT234-BJ234)))*Parameters!$B$3))^12)*100)</f>
        <v/>
      </c>
      <c r="CC234" s="25">
        <f>IF(AD234=1,0,BV234-(1-(1-(1/(1+EXP(-(BT234-BK234)))*Parameters!$B$3))^12)*100)</f>
        <v/>
      </c>
      <c r="CD234" s="25">
        <f>IF(AD234=1,0,BV234-(1-(1-(1/(1+EXP(-(BT234-BL234)))*Parameters!$B$3))^12)*100)</f>
        <v/>
      </c>
      <c r="CE234" s="25">
        <f>IF(AD234=1,0,BV234-(1-(1-(1/(1+EXP(-(BT234-BM234)))*Parameters!$B$3))^12)*100)</f>
        <v/>
      </c>
      <c r="CF234" s="25">
        <f>IF(AD234=1,0,BV234-(1-(1-(1/(1+EXP(-(BT234-BN234)))*Parameters!$B$3))^12)*100)</f>
        <v/>
      </c>
      <c r="CG234" s="25">
        <f>IF(AD234=1,0,BV234-(1-(1-(1/(1+EXP(-(BT234-BO234)))*Parameters!$B$3))^12)*100)</f>
        <v/>
      </c>
      <c r="CH234" s="25">
        <f>IF(AD234=1,0,BV234-(1-(1-(1/(1+EXP(-(BT234-BP234)))*Parameters!$B$3))^12)*100)</f>
        <v/>
      </c>
      <c r="CI234" s="25">
        <f>IF(AD234=1,0,BV234-(1-(1-(1/(1+EXP(-(BT234-BQ234)))*Parameters!$B$3))^12)*100)</f>
        <v/>
      </c>
      <c r="CJ234" s="25">
        <f>IF(AD234=1,0,BV234-(1-(1-(1/(1+EXP(-(BT234-BR234)))*Parameters!$B$3))^12)*100)</f>
        <v/>
      </c>
    </row>
    <row r="235">
      <c r="A235" s="17" t="inlineStr">
        <is>
          <t>GNR_DIVERSE</t>
        </is>
      </c>
      <c r="B235" s="17" t="inlineStr">
        <is>
          <t>36194HPN6</t>
        </is>
      </c>
      <c r="C235" s="17" t="inlineStr">
        <is>
          <t>PN</t>
        </is>
      </c>
      <c r="D235" s="17" t="inlineStr">
        <is>
          <t>BERKELEY POINT CAPITAL, LLC DBA NEWMARK</t>
        </is>
      </c>
      <c r="E235" s="17" t="inlineStr">
        <is>
          <t>36194HPN6_000000012711280</t>
        </is>
      </c>
      <c r="F235" s="17" t="n">
        <v>202603</v>
      </c>
      <c r="G235" s="18" t="n">
        <v>2.72</v>
      </c>
      <c r="H235" s="19" t="n">
        <v>4867943.66</v>
      </c>
      <c r="I235" s="17" t="n">
        <v>420</v>
      </c>
      <c r="J235" s="17" t="n">
        <v>20200501</v>
      </c>
      <c r="K235" s="17" t="n">
        <v>20550601</v>
      </c>
      <c r="L235" s="17" t="n"/>
      <c r="M235" s="17" t="n">
        <v>20300701</v>
      </c>
      <c r="N235" s="17" t="n">
        <v>10</v>
      </c>
      <c r="O235" s="17" t="inlineStr">
        <is>
          <t>207/223(F)</t>
        </is>
      </c>
      <c r="P235" s="17" t="inlineStr">
        <is>
          <t>MKT</t>
        </is>
      </c>
      <c r="Q235" s="17" t="n"/>
      <c r="R235" s="17" t="n"/>
      <c r="S235" s="17" t="n"/>
      <c r="T235" s="17" t="inlineStr">
        <is>
          <t>WA</t>
        </is>
      </c>
      <c r="U235" s="17" t="n">
        <v>29</v>
      </c>
      <c r="V235" s="17" t="n">
        <v>490.5</v>
      </c>
      <c r="W235" s="17" t="n">
        <v>70</v>
      </c>
      <c r="X235" s="17" t="n">
        <v>2020</v>
      </c>
      <c r="Y235" s="17" t="n">
        <v>-13</v>
      </c>
      <c r="Z235" s="17" t="n">
        <v>5</v>
      </c>
      <c r="AA235" s="20">
        <f>IF(ISNUMBER(W235),W235,IFERROR(MAX(0,(VALUE(LEFT(F235,4))-VALUE(LEFT(TEXT(J235,"00000000"),4)))*12+(VALUE(MID(F235,5,2))-VALUE(MID(TEXT(J235,"00000000"),5,2)))),""))</f>
        <v/>
      </c>
      <c r="AB235" s="20">
        <f>IFERROR((VALUE(LEFT(TEXT(K235,"00000000"),4))-VALUE(LEFT(F235,4)))*12+(VALUE(MID(TEXT(K235,"00000000"),5,2))-VALUE(MID(F235,5,2))),"")</f>
        <v/>
      </c>
      <c r="AC235" s="20">
        <f>IF(OR(L235="",NOT(ISNUMBER(L235))),0,MAX(0,MIN(60,(VALUE(LEFT(F235,4))-VALUE(LEFT(TEXT(L235,"00000000"),4)))*12+(VALUE(MID(F235,5,2))-VALUE(MID(TEXT(L235,"00000000"),5,2))))))</f>
        <v/>
      </c>
      <c r="AD235" s="20">
        <f>IF(OR(L235="",NOT(ISNUMBER(L235))),0,IF(VALUE(F235)&lt;VALUE(LEFT(TEXT(L235,"00000000"),6)),1,0))</f>
        <v/>
      </c>
      <c r="AE235" s="20">
        <f>IF(OR(M235="",NOT(ISNUMBER(M235))),0,IF(VALUE(F235)&lt;VALUE(LEFT(TEXT(M235,"00000000"),6)),1,0))</f>
        <v/>
      </c>
      <c r="AF235" s="20">
        <f>IF(AND(AD235=0,AE235=0),1,0)</f>
        <v/>
      </c>
      <c r="AG235" s="20">
        <f>IF(ISNUMBER(X235),X235,IFERROR(VALUE(LEFT(TEXT(J235,"00000000"),4)),""))</f>
        <v/>
      </c>
      <c r="AH235" s="20">
        <f>IFERROR(XLOOKUP(AG235,Vintage_Rates!$A$2:$A$1000,Vintage_Rates!$B$2:$B$1000,""),"")</f>
        <v/>
      </c>
      <c r="AI235" s="20">
        <f>IF(ISNUMBER(Y235),Y235,IFERROR((G235-AH235)*100,""))</f>
        <v/>
      </c>
      <c r="AJ235" s="20">
        <f>IF(ISNUMBER(V235),V235,IFERROR(XLOOKUP(VALUE(F235),PLC_Rates!$A$2:$A$1000,PLC_Rates!$B$2:$B$1000,""),""))</f>
        <v/>
      </c>
      <c r="AK235" s="20">
        <f>IF(ISNUMBER(Z235),Z235,IF(AE235=0,0,MAX(0,MIN(10,((VALUE(LEFT(TEXT(M235,"00000000"),4))-VALUE(LEFT(F235,4)))*12+(VALUE(MID(TEXT(M235,"00000000"),5,2))-VALUE(MID(F235,5,2))))/12))))</f>
        <v/>
      </c>
      <c r="AL235" s="20">
        <f>IFERROR(G235*100-AJ235,"")</f>
        <v/>
      </c>
      <c r="AM235" s="20">
        <f>IFERROR(G235*100-(AJ235+(1+AK235)*12.5),"")</f>
        <v/>
      </c>
      <c r="AN235" s="21">
        <f>IFERROR(MIN(H235/1000000,100),"")</f>
        <v/>
      </c>
      <c r="AO235" s="20">
        <f>IFERROR(INDEX(FHA_Lookup!$B$2:$B$11,MATCH(TRUE,ISNUMBER(SEARCH(FHA_Lookup!$A$2:$A$11,UPPER(SUBSTITUTE(O235," ","")))),0)),"OTHER")</f>
        <v/>
      </c>
      <c r="AP235" s="20">
        <f>IFERROR(INDEX(FHA_Lookup!$C$2:$C$11,MATCH(TRUE,ISNUMBER(SEARCH(FHA_Lookup!$A$2:$A$11,UPPER(SUBSTITUTE(O235," ","")))),0)),"OTHER")</f>
        <v/>
      </c>
      <c r="AQ235" s="20">
        <f>IF(AP235="NC",1,0)</f>
        <v/>
      </c>
      <c r="AR235" s="20">
        <f>IF(UPPER(TRIM(P235))="AFF",1,0)</f>
        <v/>
      </c>
      <c r="AS235" s="20">
        <f>IF(UPPER(TRIM(P235))="BAF",1,0)</f>
        <v/>
      </c>
      <c r="AT235" s="20">
        <f>IF(UPPER(TRIM(P235))="MKT",1,0)</f>
        <v/>
      </c>
      <c r="AU235" s="20">
        <f>IF(AO235="221d4",1,0)</f>
        <v/>
      </c>
      <c r="AV235" s="20">
        <f>IF(AO235="223a7",1,0)</f>
        <v/>
      </c>
      <c r="AW235" s="20">
        <f>IF(AO235="232",1,0)</f>
        <v/>
      </c>
      <c r="AX235" s="20">
        <f>IF(AO235="538",1,0)</f>
        <v/>
      </c>
      <c r="AY235" s="20">
        <f>IF(AO235="241",1,0)</f>
        <v/>
      </c>
      <c r="AZ235" s="20">
        <f>IF(AO235="220",1,0)</f>
        <v/>
      </c>
      <c r="BA235" s="20">
        <f>IF(AO235="OTHER",1,0)</f>
        <v/>
      </c>
      <c r="BB235" s="20">
        <f>IF(UPPER(TRIM(C235))="LM",1,0)</f>
        <v/>
      </c>
      <c r="BC235" s="20">
        <f>IF(UPPER(TRIM(C235))="PN",1,0)</f>
        <v/>
      </c>
      <c r="BD235" s="20">
        <f>IF(UPPER(TRIM(C235))="LS",1,0)</f>
        <v/>
      </c>
      <c r="BE235" s="20">
        <f>IF(UPPER(TRIM(C235))="RX",1,0)</f>
        <v/>
      </c>
      <c r="BF235" s="22">
        <f>IFERROR((Parameters!$C$6*AM235+Parameters!$C$7*MAX(AM235-(-150),0)+Parameters!$C$8*MAX(AM235-(-50),0)+Parameters!$C$9*MAX(AM235-(0),0)+Parameters!$C$10*MAX(AM235-(50),0)+Parameters!$C$11*MAX(AM235-(100),0)+Parameters!$C$12*MAX(AM235-(150),0)+Parameters!$C$13*MAX(AM235-(250),0)),0)</f>
        <v/>
      </c>
      <c r="BG235" s="22">
        <f>IFERROR((Parameters!$C$14*AA235+Parameters!$C$15*MAX(AA235-(12),0)+Parameters!$C$16*MAX(AA235-(36),0)+Parameters!$C$17*MAX(AA235-(60),0)+Parameters!$C$18*MAX(AA235-(84),0)+Parameters!$C$19*MAX(AA235-(120),0)+Parameters!$C$20*MAX(AA235-(180),0)),0)</f>
        <v/>
      </c>
      <c r="BH235" s="22">
        <f>IFERROR((Parameters!$C$21*AK235+Parameters!$C$22*MAX(AK235-(0),0)+Parameters!$C$23*MAX(AK235-(2),0)+Parameters!$C$24*MAX(AK235-(5),0)+Parameters!$C$25*MAX(AK235-(8),0)),0)</f>
        <v/>
      </c>
      <c r="BI235" s="22">
        <f>IFERROR((Parameters!$C$26*AI235+Parameters!$C$27*MAX(AI235-(-100),0)+Parameters!$C$28*MAX(AI235-(-25),0)+Parameters!$C$29*MAX(AI235-(25),0)+Parameters!$C$30*MAX(AI235-(100),0)),0)</f>
        <v/>
      </c>
      <c r="BJ235" s="22">
        <f>IFERROR((Parameters!$C$31*AN235+Parameters!$C$32*MAX(AN235-(2),0)+Parameters!$C$33*MAX(AN235-(10),0)+Parameters!$C$34*MAX(AN235-(25),0)),0)</f>
        <v/>
      </c>
      <c r="BK235" s="22">
        <f>IFERROR((Parameters!$C$35*AB235+Parameters!$C$36*MAX(AB235-(12),0)+Parameters!$C$37*MAX(AB235-(24),0)+Parameters!$C$38*MAX(AB235-(60),0)),0)</f>
        <v/>
      </c>
      <c r="BL235" s="22">
        <f>IFERROR((Parameters!$C$39*AC235+Parameters!$C$40*MAX(AC235-(6),0)+Parameters!$C$41*MAX(AC235-(12),0)+Parameters!$C$42*MAX(AC235-(24),0)),0)</f>
        <v/>
      </c>
      <c r="BM235" s="22">
        <f>IFERROR(Parameters!$C$43*(MAX(AM235,0)*MIN(MAX(AK235,0),10))/100,0)</f>
        <v/>
      </c>
      <c r="BN235" s="22">
        <f>Parameters!$C$44*AE235</f>
        <v/>
      </c>
      <c r="BO235" s="22">
        <f>Parameters!$C$45*AU235 + Parameters!$C$46*AV235 + Parameters!$C$47*AW235 + Parameters!$C$48*AX235 + Parameters!$C$49*AY235 + Parameters!$C$50*AZ235 + Parameters!$C$51*BA235</f>
        <v/>
      </c>
      <c r="BP235" s="22">
        <f>Parameters!$C$52*AQ235</f>
        <v/>
      </c>
      <c r="BQ235" s="22">
        <f>Parameters!$C$53*AR235+Parameters!$C$54*AS235+Parameters!$C$55*AT235</f>
        <v/>
      </c>
      <c r="BR235" s="22">
        <f>Parameters!$C$56*BB235+Parameters!$C$57*BC235+Parameters!$C$58*BD235+Parameters!$C$59*BE235</f>
        <v/>
      </c>
      <c r="BS235" s="23">
        <f>Parameters!$B$2</f>
        <v/>
      </c>
      <c r="BT235" s="23">
        <f>BS235+BF235 + BG235 + BH235 + BI235 + BJ235 + BK235 + BL235 + BM235 + BN235 + BO235 + BP235 + BQ235 + BR235</f>
        <v/>
      </c>
      <c r="BU235" s="24">
        <f>IF(AD235=1,0,1/(1+EXP(-BT235))*Parameters!$B$3)</f>
        <v/>
      </c>
      <c r="BV235" s="25">
        <f>(1-(1-BU235)^12)*100</f>
        <v/>
      </c>
      <c r="BW235" s="25">
        <f>IF(AD235=1,0,(1-(1-1/(1+EXP(-Parameters!$B$2)))^12)*100)</f>
        <v/>
      </c>
      <c r="BX235" s="25">
        <f>IF(AD235=1,0,BV235-(1-(1-(1/(1+EXP(-(BT235-BF235)))*Parameters!$B$3))^12)*100)</f>
        <v/>
      </c>
      <c r="BY235" s="25">
        <f>IF(AD235=1,0,BV235-(1-(1-(1/(1+EXP(-(BT235-BG235)))*Parameters!$B$3))^12)*100)</f>
        <v/>
      </c>
      <c r="BZ235" s="25">
        <f>IF(AD235=1,0,BV235-(1-(1-(1/(1+EXP(-(BT235-BH235)))*Parameters!$B$3))^12)*100)</f>
        <v/>
      </c>
      <c r="CA235" s="25">
        <f>IF(AD235=1,0,BV235-(1-(1-(1/(1+EXP(-(BT235-BI235)))*Parameters!$B$3))^12)*100)</f>
        <v/>
      </c>
      <c r="CB235" s="25">
        <f>IF(AD235=1,0,BV235-(1-(1-(1/(1+EXP(-(BT235-BJ235)))*Parameters!$B$3))^12)*100)</f>
        <v/>
      </c>
      <c r="CC235" s="25">
        <f>IF(AD235=1,0,BV235-(1-(1-(1/(1+EXP(-(BT235-BK235)))*Parameters!$B$3))^12)*100)</f>
        <v/>
      </c>
      <c r="CD235" s="25">
        <f>IF(AD235=1,0,BV235-(1-(1-(1/(1+EXP(-(BT235-BL235)))*Parameters!$B$3))^12)*100)</f>
        <v/>
      </c>
      <c r="CE235" s="25">
        <f>IF(AD235=1,0,BV235-(1-(1-(1/(1+EXP(-(BT235-BM235)))*Parameters!$B$3))^12)*100)</f>
        <v/>
      </c>
      <c r="CF235" s="25">
        <f>IF(AD235=1,0,BV235-(1-(1-(1/(1+EXP(-(BT235-BN235)))*Parameters!$B$3))^12)*100)</f>
        <v/>
      </c>
      <c r="CG235" s="25">
        <f>IF(AD235=1,0,BV235-(1-(1-(1/(1+EXP(-(BT235-BO235)))*Parameters!$B$3))^12)*100)</f>
        <v/>
      </c>
      <c r="CH235" s="25">
        <f>IF(AD235=1,0,BV235-(1-(1-(1/(1+EXP(-(BT235-BP235)))*Parameters!$B$3))^12)*100)</f>
        <v/>
      </c>
      <c r="CI235" s="25">
        <f>IF(AD235=1,0,BV235-(1-(1-(1/(1+EXP(-(BT235-BQ235)))*Parameters!$B$3))^12)*100)</f>
        <v/>
      </c>
      <c r="CJ235" s="25">
        <f>IF(AD235=1,0,BV235-(1-(1-(1/(1+EXP(-(BT235-BR235)))*Parameters!$B$3))^12)*100)</f>
        <v/>
      </c>
    </row>
    <row r="236">
      <c r="A236" s="17" t="inlineStr">
        <is>
          <t>GNR_DIVERSE</t>
        </is>
      </c>
      <c r="B236" s="17" t="inlineStr">
        <is>
          <t>3617UX2M3</t>
        </is>
      </c>
      <c r="C236" s="17" t="inlineStr">
        <is>
          <t>LM</t>
        </is>
      </c>
      <c r="D236" s="17" t="inlineStr">
        <is>
          <t>NORTHMARQ FINANCE, LLC</t>
        </is>
      </c>
      <c r="E236" s="17" t="inlineStr">
        <is>
          <t>3617UX2M3_000000008411110</t>
        </is>
      </c>
      <c r="F236" s="17" t="n">
        <v>202603</v>
      </c>
      <c r="G236" s="18" t="n">
        <v>3.3</v>
      </c>
      <c r="H236" s="19" t="n">
        <v>13796946.42</v>
      </c>
      <c r="I236" s="17" t="n">
        <v>420</v>
      </c>
      <c r="J236" s="17" t="n">
        <v>20211129</v>
      </c>
      <c r="K236" s="17" t="n">
        <v>20490101</v>
      </c>
      <c r="L236" s="17" t="n">
        <v>20230101</v>
      </c>
      <c r="M236" s="17" t="n">
        <v>20320101</v>
      </c>
      <c r="N236" s="17" t="n">
        <v>9</v>
      </c>
      <c r="O236" s="17" t="inlineStr">
        <is>
          <t>207/223(f)</t>
        </is>
      </c>
      <c r="P236" s="17" t="inlineStr">
        <is>
          <t>MKT</t>
        </is>
      </c>
      <c r="Q236" s="17" t="inlineStr">
        <is>
          <t>M</t>
        </is>
      </c>
      <c r="R236" s="17" t="n"/>
      <c r="S236" s="17" t="n">
        <v>1</v>
      </c>
      <c r="T236" s="17" t="inlineStr">
        <is>
          <t>MO</t>
        </is>
      </c>
      <c r="U236" s="17" t="n">
        <v>272</v>
      </c>
      <c r="V236" s="17" t="n">
        <v>490.5</v>
      </c>
      <c r="W236" s="17" t="n">
        <v>52</v>
      </c>
      <c r="X236" s="17" t="n">
        <v>2021</v>
      </c>
      <c r="Y236" s="17" t="n">
        <v>72</v>
      </c>
      <c r="Z236" s="17" t="n">
        <v>6</v>
      </c>
      <c r="AA236" s="20">
        <f>IF(ISNUMBER(W236),W236,IFERROR(MAX(0,(VALUE(LEFT(F236,4))-VALUE(LEFT(TEXT(J236,"00000000"),4)))*12+(VALUE(MID(F236,5,2))-VALUE(MID(TEXT(J236,"00000000"),5,2)))),""))</f>
        <v/>
      </c>
      <c r="AB236" s="20">
        <f>IFERROR((VALUE(LEFT(TEXT(K236,"00000000"),4))-VALUE(LEFT(F236,4)))*12+(VALUE(MID(TEXT(K236,"00000000"),5,2))-VALUE(MID(F236,5,2))),"")</f>
        <v/>
      </c>
      <c r="AC236" s="20">
        <f>IF(OR(L236="",NOT(ISNUMBER(L236))),0,MAX(0,MIN(60,(VALUE(LEFT(F236,4))-VALUE(LEFT(TEXT(L236,"00000000"),4)))*12+(VALUE(MID(F236,5,2))-VALUE(MID(TEXT(L236,"00000000"),5,2))))))</f>
        <v/>
      </c>
      <c r="AD236" s="20">
        <f>IF(OR(L236="",NOT(ISNUMBER(L236))),0,IF(VALUE(F236)&lt;VALUE(LEFT(TEXT(L236,"00000000"),6)),1,0))</f>
        <v/>
      </c>
      <c r="AE236" s="20">
        <f>IF(OR(M236="",NOT(ISNUMBER(M236))),0,IF(VALUE(F236)&lt;VALUE(LEFT(TEXT(M236,"00000000"),6)),1,0))</f>
        <v/>
      </c>
      <c r="AF236" s="20">
        <f>IF(AND(AD236=0,AE236=0),1,0)</f>
        <v/>
      </c>
      <c r="AG236" s="20">
        <f>IF(ISNUMBER(X236),X236,IFERROR(VALUE(LEFT(TEXT(J236,"00000000"),4)),""))</f>
        <v/>
      </c>
      <c r="AH236" s="20">
        <f>IFERROR(XLOOKUP(AG236,Vintage_Rates!$A$2:$A$1000,Vintage_Rates!$B$2:$B$1000,""),"")</f>
        <v/>
      </c>
      <c r="AI236" s="20">
        <f>IF(ISNUMBER(Y236),Y236,IFERROR((G236-AH236)*100,""))</f>
        <v/>
      </c>
      <c r="AJ236" s="20">
        <f>IF(ISNUMBER(V236),V236,IFERROR(XLOOKUP(VALUE(F236),PLC_Rates!$A$2:$A$1000,PLC_Rates!$B$2:$B$1000,""),""))</f>
        <v/>
      </c>
      <c r="AK236" s="20">
        <f>IF(ISNUMBER(Z236),Z236,IF(AE236=0,0,MAX(0,MIN(10,((VALUE(LEFT(TEXT(M236,"00000000"),4))-VALUE(LEFT(F236,4)))*12+(VALUE(MID(TEXT(M236,"00000000"),5,2))-VALUE(MID(F236,5,2))))/12))))</f>
        <v/>
      </c>
      <c r="AL236" s="20">
        <f>IFERROR(G236*100-AJ236,"")</f>
        <v/>
      </c>
      <c r="AM236" s="20">
        <f>IFERROR(G236*100-(AJ236+(1+AK236)*12.5),"")</f>
        <v/>
      </c>
      <c r="AN236" s="21">
        <f>IFERROR(MIN(H236/1000000,100),"")</f>
        <v/>
      </c>
      <c r="AO236" s="20">
        <f>IFERROR(INDEX(FHA_Lookup!$B$2:$B$11,MATCH(TRUE,ISNUMBER(SEARCH(FHA_Lookup!$A$2:$A$11,UPPER(SUBSTITUTE(O236," ","")))),0)),"OTHER")</f>
        <v/>
      </c>
      <c r="AP236" s="20">
        <f>IFERROR(INDEX(FHA_Lookup!$C$2:$C$11,MATCH(TRUE,ISNUMBER(SEARCH(FHA_Lookup!$A$2:$A$11,UPPER(SUBSTITUTE(O236," ","")))),0)),"OTHER")</f>
        <v/>
      </c>
      <c r="AQ236" s="20">
        <f>IF(AP236="NC",1,0)</f>
        <v/>
      </c>
      <c r="AR236" s="20">
        <f>IF(UPPER(TRIM(P236))="AFF",1,0)</f>
        <v/>
      </c>
      <c r="AS236" s="20">
        <f>IF(UPPER(TRIM(P236))="BAF",1,0)</f>
        <v/>
      </c>
      <c r="AT236" s="20">
        <f>IF(UPPER(TRIM(P236))="MKT",1,0)</f>
        <v/>
      </c>
      <c r="AU236" s="20">
        <f>IF(AO236="221d4",1,0)</f>
        <v/>
      </c>
      <c r="AV236" s="20">
        <f>IF(AO236="223a7",1,0)</f>
        <v/>
      </c>
      <c r="AW236" s="20">
        <f>IF(AO236="232",1,0)</f>
        <v/>
      </c>
      <c r="AX236" s="20">
        <f>IF(AO236="538",1,0)</f>
        <v/>
      </c>
      <c r="AY236" s="20">
        <f>IF(AO236="241",1,0)</f>
        <v/>
      </c>
      <c r="AZ236" s="20">
        <f>IF(AO236="220",1,0)</f>
        <v/>
      </c>
      <c r="BA236" s="20">
        <f>IF(AO236="OTHER",1,0)</f>
        <v/>
      </c>
      <c r="BB236" s="20">
        <f>IF(UPPER(TRIM(C236))="LM",1,0)</f>
        <v/>
      </c>
      <c r="BC236" s="20">
        <f>IF(UPPER(TRIM(C236))="PN",1,0)</f>
        <v/>
      </c>
      <c r="BD236" s="20">
        <f>IF(UPPER(TRIM(C236))="LS",1,0)</f>
        <v/>
      </c>
      <c r="BE236" s="20">
        <f>IF(UPPER(TRIM(C236))="RX",1,0)</f>
        <v/>
      </c>
      <c r="BF236" s="22">
        <f>IFERROR((Parameters!$C$6*AM236+Parameters!$C$7*MAX(AM236-(-150),0)+Parameters!$C$8*MAX(AM236-(-50),0)+Parameters!$C$9*MAX(AM236-(0),0)+Parameters!$C$10*MAX(AM236-(50),0)+Parameters!$C$11*MAX(AM236-(100),0)+Parameters!$C$12*MAX(AM236-(150),0)+Parameters!$C$13*MAX(AM236-(250),0)),0)</f>
        <v/>
      </c>
      <c r="BG236" s="22">
        <f>IFERROR((Parameters!$C$14*AA236+Parameters!$C$15*MAX(AA236-(12),0)+Parameters!$C$16*MAX(AA236-(36),0)+Parameters!$C$17*MAX(AA236-(60),0)+Parameters!$C$18*MAX(AA236-(84),0)+Parameters!$C$19*MAX(AA236-(120),0)+Parameters!$C$20*MAX(AA236-(180),0)),0)</f>
        <v/>
      </c>
      <c r="BH236" s="22">
        <f>IFERROR((Parameters!$C$21*AK236+Parameters!$C$22*MAX(AK236-(0),0)+Parameters!$C$23*MAX(AK236-(2),0)+Parameters!$C$24*MAX(AK236-(5),0)+Parameters!$C$25*MAX(AK236-(8),0)),0)</f>
        <v/>
      </c>
      <c r="BI236" s="22">
        <f>IFERROR((Parameters!$C$26*AI236+Parameters!$C$27*MAX(AI236-(-100),0)+Parameters!$C$28*MAX(AI236-(-25),0)+Parameters!$C$29*MAX(AI236-(25),0)+Parameters!$C$30*MAX(AI236-(100),0)),0)</f>
        <v/>
      </c>
      <c r="BJ236" s="22">
        <f>IFERROR((Parameters!$C$31*AN236+Parameters!$C$32*MAX(AN236-(2),0)+Parameters!$C$33*MAX(AN236-(10),0)+Parameters!$C$34*MAX(AN236-(25),0)),0)</f>
        <v/>
      </c>
      <c r="BK236" s="22">
        <f>IFERROR((Parameters!$C$35*AB236+Parameters!$C$36*MAX(AB236-(12),0)+Parameters!$C$37*MAX(AB236-(24),0)+Parameters!$C$38*MAX(AB236-(60),0)),0)</f>
        <v/>
      </c>
      <c r="BL236" s="22">
        <f>IFERROR((Parameters!$C$39*AC236+Parameters!$C$40*MAX(AC236-(6),0)+Parameters!$C$41*MAX(AC236-(12),0)+Parameters!$C$42*MAX(AC236-(24),0)),0)</f>
        <v/>
      </c>
      <c r="BM236" s="22">
        <f>IFERROR(Parameters!$C$43*(MAX(AM236,0)*MIN(MAX(AK236,0),10))/100,0)</f>
        <v/>
      </c>
      <c r="BN236" s="22">
        <f>Parameters!$C$44*AE236</f>
        <v/>
      </c>
      <c r="BO236" s="22">
        <f>Parameters!$C$45*AU236 + Parameters!$C$46*AV236 + Parameters!$C$47*AW236 + Parameters!$C$48*AX236 + Parameters!$C$49*AY236 + Parameters!$C$50*AZ236 + Parameters!$C$51*BA236</f>
        <v/>
      </c>
      <c r="BP236" s="22">
        <f>Parameters!$C$52*AQ236</f>
        <v/>
      </c>
      <c r="BQ236" s="22">
        <f>Parameters!$C$53*AR236+Parameters!$C$54*AS236+Parameters!$C$55*AT236</f>
        <v/>
      </c>
      <c r="BR236" s="22">
        <f>Parameters!$C$56*BB236+Parameters!$C$57*BC236+Parameters!$C$58*BD236+Parameters!$C$59*BE236</f>
        <v/>
      </c>
      <c r="BS236" s="23">
        <f>Parameters!$B$2</f>
        <v/>
      </c>
      <c r="BT236" s="23">
        <f>BS236+BF236 + BG236 + BH236 + BI236 + BJ236 + BK236 + BL236 + BM236 + BN236 + BO236 + BP236 + BQ236 + BR236</f>
        <v/>
      </c>
      <c r="BU236" s="24">
        <f>IF(AD236=1,0,1/(1+EXP(-BT236))*Parameters!$B$3)</f>
        <v/>
      </c>
      <c r="BV236" s="25">
        <f>(1-(1-BU236)^12)*100</f>
        <v/>
      </c>
      <c r="BW236" s="25">
        <f>IF(AD236=1,0,(1-(1-1/(1+EXP(-Parameters!$B$2)))^12)*100)</f>
        <v/>
      </c>
      <c r="BX236" s="25">
        <f>IF(AD236=1,0,BV236-(1-(1-(1/(1+EXP(-(BT236-BF236)))*Parameters!$B$3))^12)*100)</f>
        <v/>
      </c>
      <c r="BY236" s="25">
        <f>IF(AD236=1,0,BV236-(1-(1-(1/(1+EXP(-(BT236-BG236)))*Parameters!$B$3))^12)*100)</f>
        <v/>
      </c>
      <c r="BZ236" s="25">
        <f>IF(AD236=1,0,BV236-(1-(1-(1/(1+EXP(-(BT236-BH236)))*Parameters!$B$3))^12)*100)</f>
        <v/>
      </c>
      <c r="CA236" s="25">
        <f>IF(AD236=1,0,BV236-(1-(1-(1/(1+EXP(-(BT236-BI236)))*Parameters!$B$3))^12)*100)</f>
        <v/>
      </c>
      <c r="CB236" s="25">
        <f>IF(AD236=1,0,BV236-(1-(1-(1/(1+EXP(-(BT236-BJ236)))*Parameters!$B$3))^12)*100)</f>
        <v/>
      </c>
      <c r="CC236" s="25">
        <f>IF(AD236=1,0,BV236-(1-(1-(1/(1+EXP(-(BT236-BK236)))*Parameters!$B$3))^12)*100)</f>
        <v/>
      </c>
      <c r="CD236" s="25">
        <f>IF(AD236=1,0,BV236-(1-(1-(1/(1+EXP(-(BT236-BL236)))*Parameters!$B$3))^12)*100)</f>
        <v/>
      </c>
      <c r="CE236" s="25">
        <f>IF(AD236=1,0,BV236-(1-(1-(1/(1+EXP(-(BT236-BM236)))*Parameters!$B$3))^12)*100)</f>
        <v/>
      </c>
      <c r="CF236" s="25">
        <f>IF(AD236=1,0,BV236-(1-(1-(1/(1+EXP(-(BT236-BN236)))*Parameters!$B$3))^12)*100)</f>
        <v/>
      </c>
      <c r="CG236" s="25">
        <f>IF(AD236=1,0,BV236-(1-(1-(1/(1+EXP(-(BT236-BO236)))*Parameters!$B$3))^12)*100)</f>
        <v/>
      </c>
      <c r="CH236" s="25">
        <f>IF(AD236=1,0,BV236-(1-(1-(1/(1+EXP(-(BT236-BP236)))*Parameters!$B$3))^12)*100)</f>
        <v/>
      </c>
      <c r="CI236" s="25">
        <f>IF(AD236=1,0,BV236-(1-(1-(1/(1+EXP(-(BT236-BQ236)))*Parameters!$B$3))^12)*100)</f>
        <v/>
      </c>
      <c r="CJ236" s="25">
        <f>IF(AD236=1,0,BV236-(1-(1-(1/(1+EXP(-(BT236-BR236)))*Parameters!$B$3))^12)*100)</f>
        <v/>
      </c>
    </row>
    <row r="237">
      <c r="A237" s="17" t="inlineStr">
        <is>
          <t>GNR_DIVERSE</t>
        </is>
      </c>
      <c r="B237" s="17" t="inlineStr">
        <is>
          <t>3617NECJ9</t>
        </is>
      </c>
      <c r="C237" s="17" t="inlineStr">
        <is>
          <t>PN</t>
        </is>
      </c>
      <c r="D237" s="17" t="inlineStr">
        <is>
          <t>BERKADIA COMMERCIAL MORTGAGE, LLC</t>
        </is>
      </c>
      <c r="E237" s="17" t="inlineStr">
        <is>
          <t>3617NECJ9_000000012722151</t>
        </is>
      </c>
      <c r="F237" s="17" t="n">
        <v>202603</v>
      </c>
      <c r="G237" s="18" t="n">
        <v>2.6</v>
      </c>
      <c r="H237" s="19" t="n">
        <v>8809514.859999999</v>
      </c>
      <c r="I237" s="17" t="n">
        <v>420</v>
      </c>
      <c r="J237" s="17" t="n">
        <v>20200610</v>
      </c>
      <c r="K237" s="17" t="n">
        <v>20550801</v>
      </c>
      <c r="L237" s="17" t="n"/>
      <c r="M237" s="17" t="n">
        <v>20300901</v>
      </c>
      <c r="N237" s="17" t="n">
        <v>10</v>
      </c>
      <c r="O237" s="17" t="inlineStr">
        <is>
          <t>223(A)(7)/232/223(F)</t>
        </is>
      </c>
      <c r="P237" s="17" t="inlineStr">
        <is>
          <t>MKT</t>
        </is>
      </c>
      <c r="Q237" s="17" t="n"/>
      <c r="R237" s="17" t="n"/>
      <c r="S237" s="17" t="n"/>
      <c r="T237" s="17" t="inlineStr">
        <is>
          <t>WA</t>
        </is>
      </c>
      <c r="U237" s="17" t="n">
        <v>92</v>
      </c>
      <c r="V237" s="17" t="n">
        <v>490.5</v>
      </c>
      <c r="W237" s="17" t="n">
        <v>69</v>
      </c>
      <c r="X237" s="17" t="n">
        <v>2020</v>
      </c>
      <c r="Y237" s="17" t="n">
        <v>-25</v>
      </c>
      <c r="Z237" s="17" t="n">
        <v>6</v>
      </c>
      <c r="AA237" s="20">
        <f>IF(ISNUMBER(W237),W237,IFERROR(MAX(0,(VALUE(LEFT(F237,4))-VALUE(LEFT(TEXT(J237,"00000000"),4)))*12+(VALUE(MID(F237,5,2))-VALUE(MID(TEXT(J237,"00000000"),5,2)))),""))</f>
        <v/>
      </c>
      <c r="AB237" s="20">
        <f>IFERROR((VALUE(LEFT(TEXT(K237,"00000000"),4))-VALUE(LEFT(F237,4)))*12+(VALUE(MID(TEXT(K237,"00000000"),5,2))-VALUE(MID(F237,5,2))),"")</f>
        <v/>
      </c>
      <c r="AC237" s="20">
        <f>IF(OR(L237="",NOT(ISNUMBER(L237))),0,MAX(0,MIN(60,(VALUE(LEFT(F237,4))-VALUE(LEFT(TEXT(L237,"00000000"),4)))*12+(VALUE(MID(F237,5,2))-VALUE(MID(TEXT(L237,"00000000"),5,2))))))</f>
        <v/>
      </c>
      <c r="AD237" s="20">
        <f>IF(OR(L237="",NOT(ISNUMBER(L237))),0,IF(VALUE(F237)&lt;VALUE(LEFT(TEXT(L237,"00000000"),6)),1,0))</f>
        <v/>
      </c>
      <c r="AE237" s="20">
        <f>IF(OR(M237="",NOT(ISNUMBER(M237))),0,IF(VALUE(F237)&lt;VALUE(LEFT(TEXT(M237,"00000000"),6)),1,0))</f>
        <v/>
      </c>
      <c r="AF237" s="20">
        <f>IF(AND(AD237=0,AE237=0),1,0)</f>
        <v/>
      </c>
      <c r="AG237" s="20">
        <f>IF(ISNUMBER(X237),X237,IFERROR(VALUE(LEFT(TEXT(J237,"00000000"),4)),""))</f>
        <v/>
      </c>
      <c r="AH237" s="20">
        <f>IFERROR(XLOOKUP(AG237,Vintage_Rates!$A$2:$A$1000,Vintage_Rates!$B$2:$B$1000,""),"")</f>
        <v/>
      </c>
      <c r="AI237" s="20">
        <f>IF(ISNUMBER(Y237),Y237,IFERROR((G237-AH237)*100,""))</f>
        <v/>
      </c>
      <c r="AJ237" s="20">
        <f>IF(ISNUMBER(V237),V237,IFERROR(XLOOKUP(VALUE(F237),PLC_Rates!$A$2:$A$1000,PLC_Rates!$B$2:$B$1000,""),""))</f>
        <v/>
      </c>
      <c r="AK237" s="20">
        <f>IF(ISNUMBER(Z237),Z237,IF(AE237=0,0,MAX(0,MIN(10,((VALUE(LEFT(TEXT(M237,"00000000"),4))-VALUE(LEFT(F237,4)))*12+(VALUE(MID(TEXT(M237,"00000000"),5,2))-VALUE(MID(F237,5,2))))/12))))</f>
        <v/>
      </c>
      <c r="AL237" s="20">
        <f>IFERROR(G237*100-AJ237,"")</f>
        <v/>
      </c>
      <c r="AM237" s="20">
        <f>IFERROR(G237*100-(AJ237+(1+AK237)*12.5),"")</f>
        <v/>
      </c>
      <c r="AN237" s="21">
        <f>IFERROR(MIN(H237/1000000,100),"")</f>
        <v/>
      </c>
      <c r="AO237" s="20">
        <f>IFERROR(INDEX(FHA_Lookup!$B$2:$B$11,MATCH(TRUE,ISNUMBER(SEARCH(FHA_Lookup!$A$2:$A$11,UPPER(SUBSTITUTE(O237," ","")))),0)),"OTHER")</f>
        <v/>
      </c>
      <c r="AP237" s="20">
        <f>IFERROR(INDEX(FHA_Lookup!$C$2:$C$11,MATCH(TRUE,ISNUMBER(SEARCH(FHA_Lookup!$A$2:$A$11,UPPER(SUBSTITUTE(O237," ","")))),0)),"OTHER")</f>
        <v/>
      </c>
      <c r="AQ237" s="20">
        <f>IF(AP237="NC",1,0)</f>
        <v/>
      </c>
      <c r="AR237" s="20">
        <f>IF(UPPER(TRIM(P237))="AFF",1,0)</f>
        <v/>
      </c>
      <c r="AS237" s="20">
        <f>IF(UPPER(TRIM(P237))="BAF",1,0)</f>
        <v/>
      </c>
      <c r="AT237" s="20">
        <f>IF(UPPER(TRIM(P237))="MKT",1,0)</f>
        <v/>
      </c>
      <c r="AU237" s="20">
        <f>IF(AO237="221d4",1,0)</f>
        <v/>
      </c>
      <c r="AV237" s="20">
        <f>IF(AO237="223a7",1,0)</f>
        <v/>
      </c>
      <c r="AW237" s="20">
        <f>IF(AO237="232",1,0)</f>
        <v/>
      </c>
      <c r="AX237" s="20">
        <f>IF(AO237="538",1,0)</f>
        <v/>
      </c>
      <c r="AY237" s="20">
        <f>IF(AO237="241",1,0)</f>
        <v/>
      </c>
      <c r="AZ237" s="20">
        <f>IF(AO237="220",1,0)</f>
        <v/>
      </c>
      <c r="BA237" s="20">
        <f>IF(AO237="OTHER",1,0)</f>
        <v/>
      </c>
      <c r="BB237" s="20">
        <f>IF(UPPER(TRIM(C237))="LM",1,0)</f>
        <v/>
      </c>
      <c r="BC237" s="20">
        <f>IF(UPPER(TRIM(C237))="PN",1,0)</f>
        <v/>
      </c>
      <c r="BD237" s="20">
        <f>IF(UPPER(TRIM(C237))="LS",1,0)</f>
        <v/>
      </c>
      <c r="BE237" s="20">
        <f>IF(UPPER(TRIM(C237))="RX",1,0)</f>
        <v/>
      </c>
      <c r="BF237" s="22">
        <f>IFERROR((Parameters!$C$6*AM237+Parameters!$C$7*MAX(AM237-(-150),0)+Parameters!$C$8*MAX(AM237-(-50),0)+Parameters!$C$9*MAX(AM237-(0),0)+Parameters!$C$10*MAX(AM237-(50),0)+Parameters!$C$11*MAX(AM237-(100),0)+Parameters!$C$12*MAX(AM237-(150),0)+Parameters!$C$13*MAX(AM237-(250),0)),0)</f>
        <v/>
      </c>
      <c r="BG237" s="22">
        <f>IFERROR((Parameters!$C$14*AA237+Parameters!$C$15*MAX(AA237-(12),0)+Parameters!$C$16*MAX(AA237-(36),0)+Parameters!$C$17*MAX(AA237-(60),0)+Parameters!$C$18*MAX(AA237-(84),0)+Parameters!$C$19*MAX(AA237-(120),0)+Parameters!$C$20*MAX(AA237-(180),0)),0)</f>
        <v/>
      </c>
      <c r="BH237" s="22">
        <f>IFERROR((Parameters!$C$21*AK237+Parameters!$C$22*MAX(AK237-(0),0)+Parameters!$C$23*MAX(AK237-(2),0)+Parameters!$C$24*MAX(AK237-(5),0)+Parameters!$C$25*MAX(AK237-(8),0)),0)</f>
        <v/>
      </c>
      <c r="BI237" s="22">
        <f>IFERROR((Parameters!$C$26*AI237+Parameters!$C$27*MAX(AI237-(-100),0)+Parameters!$C$28*MAX(AI237-(-25),0)+Parameters!$C$29*MAX(AI237-(25),0)+Parameters!$C$30*MAX(AI237-(100),0)),0)</f>
        <v/>
      </c>
      <c r="BJ237" s="22">
        <f>IFERROR((Parameters!$C$31*AN237+Parameters!$C$32*MAX(AN237-(2),0)+Parameters!$C$33*MAX(AN237-(10),0)+Parameters!$C$34*MAX(AN237-(25),0)),0)</f>
        <v/>
      </c>
      <c r="BK237" s="22">
        <f>IFERROR((Parameters!$C$35*AB237+Parameters!$C$36*MAX(AB237-(12),0)+Parameters!$C$37*MAX(AB237-(24),0)+Parameters!$C$38*MAX(AB237-(60),0)),0)</f>
        <v/>
      </c>
      <c r="BL237" s="22">
        <f>IFERROR((Parameters!$C$39*AC237+Parameters!$C$40*MAX(AC237-(6),0)+Parameters!$C$41*MAX(AC237-(12),0)+Parameters!$C$42*MAX(AC237-(24),0)),0)</f>
        <v/>
      </c>
      <c r="BM237" s="22">
        <f>IFERROR(Parameters!$C$43*(MAX(AM237,0)*MIN(MAX(AK237,0),10))/100,0)</f>
        <v/>
      </c>
      <c r="BN237" s="22">
        <f>Parameters!$C$44*AE237</f>
        <v/>
      </c>
      <c r="BO237" s="22">
        <f>Parameters!$C$45*AU237 + Parameters!$C$46*AV237 + Parameters!$C$47*AW237 + Parameters!$C$48*AX237 + Parameters!$C$49*AY237 + Parameters!$C$50*AZ237 + Parameters!$C$51*BA237</f>
        <v/>
      </c>
      <c r="BP237" s="22">
        <f>Parameters!$C$52*AQ237</f>
        <v/>
      </c>
      <c r="BQ237" s="22">
        <f>Parameters!$C$53*AR237+Parameters!$C$54*AS237+Parameters!$C$55*AT237</f>
        <v/>
      </c>
      <c r="BR237" s="22">
        <f>Parameters!$C$56*BB237+Parameters!$C$57*BC237+Parameters!$C$58*BD237+Parameters!$C$59*BE237</f>
        <v/>
      </c>
      <c r="BS237" s="23">
        <f>Parameters!$B$2</f>
        <v/>
      </c>
      <c r="BT237" s="23">
        <f>BS237+BF237 + BG237 + BH237 + BI237 + BJ237 + BK237 + BL237 + BM237 + BN237 + BO237 + BP237 + BQ237 + BR237</f>
        <v/>
      </c>
      <c r="BU237" s="24">
        <f>IF(AD237=1,0,1/(1+EXP(-BT237))*Parameters!$B$3)</f>
        <v/>
      </c>
      <c r="BV237" s="25">
        <f>(1-(1-BU237)^12)*100</f>
        <v/>
      </c>
      <c r="BW237" s="25">
        <f>IF(AD237=1,0,(1-(1-1/(1+EXP(-Parameters!$B$2)))^12)*100)</f>
        <v/>
      </c>
      <c r="BX237" s="25">
        <f>IF(AD237=1,0,BV237-(1-(1-(1/(1+EXP(-(BT237-BF237)))*Parameters!$B$3))^12)*100)</f>
        <v/>
      </c>
      <c r="BY237" s="25">
        <f>IF(AD237=1,0,BV237-(1-(1-(1/(1+EXP(-(BT237-BG237)))*Parameters!$B$3))^12)*100)</f>
        <v/>
      </c>
      <c r="BZ237" s="25">
        <f>IF(AD237=1,0,BV237-(1-(1-(1/(1+EXP(-(BT237-BH237)))*Parameters!$B$3))^12)*100)</f>
        <v/>
      </c>
      <c r="CA237" s="25">
        <f>IF(AD237=1,0,BV237-(1-(1-(1/(1+EXP(-(BT237-BI237)))*Parameters!$B$3))^12)*100)</f>
        <v/>
      </c>
      <c r="CB237" s="25">
        <f>IF(AD237=1,0,BV237-(1-(1-(1/(1+EXP(-(BT237-BJ237)))*Parameters!$B$3))^12)*100)</f>
        <v/>
      </c>
      <c r="CC237" s="25">
        <f>IF(AD237=1,0,BV237-(1-(1-(1/(1+EXP(-(BT237-BK237)))*Parameters!$B$3))^12)*100)</f>
        <v/>
      </c>
      <c r="CD237" s="25">
        <f>IF(AD237=1,0,BV237-(1-(1-(1/(1+EXP(-(BT237-BL237)))*Parameters!$B$3))^12)*100)</f>
        <v/>
      </c>
      <c r="CE237" s="25">
        <f>IF(AD237=1,0,BV237-(1-(1-(1/(1+EXP(-(BT237-BM237)))*Parameters!$B$3))^12)*100)</f>
        <v/>
      </c>
      <c r="CF237" s="25">
        <f>IF(AD237=1,0,BV237-(1-(1-(1/(1+EXP(-(BT237-BN237)))*Parameters!$B$3))^12)*100)</f>
        <v/>
      </c>
      <c r="CG237" s="25">
        <f>IF(AD237=1,0,BV237-(1-(1-(1/(1+EXP(-(BT237-BO237)))*Parameters!$B$3))^12)*100)</f>
        <v/>
      </c>
      <c r="CH237" s="25">
        <f>IF(AD237=1,0,BV237-(1-(1-(1/(1+EXP(-(BT237-BP237)))*Parameters!$B$3))^12)*100)</f>
        <v/>
      </c>
      <c r="CI237" s="25">
        <f>IF(AD237=1,0,BV237-(1-(1-(1/(1+EXP(-(BT237-BQ237)))*Parameters!$B$3))^12)*100)</f>
        <v/>
      </c>
      <c r="CJ237" s="25">
        <f>IF(AD237=1,0,BV237-(1-(1-(1/(1+EXP(-(BT237-BR237)))*Parameters!$B$3))^12)*100)</f>
        <v/>
      </c>
    </row>
    <row r="238">
      <c r="A238" s="17" t="inlineStr">
        <is>
          <t>GNR_DIVERSE</t>
        </is>
      </c>
      <c r="B238" s="17" t="inlineStr">
        <is>
          <t>3617NULT1</t>
        </is>
      </c>
      <c r="C238" s="17" t="inlineStr">
        <is>
          <t>LM</t>
        </is>
      </c>
      <c r="D238" s="17" t="inlineStr">
        <is>
          <t>DWIGHT CAPITAL LLC</t>
        </is>
      </c>
      <c r="E238" s="17" t="inlineStr">
        <is>
          <t>3617NULT1_000000008511201</t>
        </is>
      </c>
      <c r="F238" s="17" t="n">
        <v>202603</v>
      </c>
      <c r="G238" s="18" t="n">
        <v>3.4</v>
      </c>
      <c r="H238" s="19" t="n">
        <v>7594920.82</v>
      </c>
      <c r="I238" s="17" t="n">
        <v>420</v>
      </c>
      <c r="J238" s="17" t="n">
        <v>20170701</v>
      </c>
      <c r="K238" s="17" t="n">
        <v>20520801</v>
      </c>
      <c r="L238" s="17" t="n"/>
      <c r="M238" s="17" t="n">
        <v>20301101</v>
      </c>
      <c r="N238" s="17" t="n">
        <v>10</v>
      </c>
      <c r="O238" s="17" t="inlineStr">
        <is>
          <t>207/223(F)</t>
        </is>
      </c>
      <c r="P238" s="17" t="inlineStr">
        <is>
          <t>MKT</t>
        </is>
      </c>
      <c r="Q238" s="17" t="inlineStr">
        <is>
          <t>M</t>
        </is>
      </c>
      <c r="R238" s="17" t="n"/>
      <c r="S238" s="17" t="n">
        <v>1</v>
      </c>
      <c r="T238" s="17" t="inlineStr">
        <is>
          <t>MO</t>
        </is>
      </c>
      <c r="U238" s="17" t="n">
        <v>143</v>
      </c>
      <c r="V238" s="17" t="n">
        <v>490.5</v>
      </c>
      <c r="W238" s="17" t="n">
        <v>104</v>
      </c>
      <c r="X238" s="17" t="n">
        <v>2017</v>
      </c>
      <c r="Y238" s="17" t="n">
        <v>-7</v>
      </c>
      <c r="Z238" s="17" t="n">
        <v>5</v>
      </c>
      <c r="AA238" s="20">
        <f>IF(ISNUMBER(W238),W238,IFERROR(MAX(0,(VALUE(LEFT(F238,4))-VALUE(LEFT(TEXT(J238,"00000000"),4)))*12+(VALUE(MID(F238,5,2))-VALUE(MID(TEXT(J238,"00000000"),5,2)))),""))</f>
        <v/>
      </c>
      <c r="AB238" s="20">
        <f>IFERROR((VALUE(LEFT(TEXT(K238,"00000000"),4))-VALUE(LEFT(F238,4)))*12+(VALUE(MID(TEXT(K238,"00000000"),5,2))-VALUE(MID(F238,5,2))),"")</f>
        <v/>
      </c>
      <c r="AC238" s="20">
        <f>IF(OR(L238="",NOT(ISNUMBER(L238))),0,MAX(0,MIN(60,(VALUE(LEFT(F238,4))-VALUE(LEFT(TEXT(L238,"00000000"),4)))*12+(VALUE(MID(F238,5,2))-VALUE(MID(TEXT(L238,"00000000"),5,2))))))</f>
        <v/>
      </c>
      <c r="AD238" s="20">
        <f>IF(OR(L238="",NOT(ISNUMBER(L238))),0,IF(VALUE(F238)&lt;VALUE(LEFT(TEXT(L238,"00000000"),6)),1,0))</f>
        <v/>
      </c>
      <c r="AE238" s="20">
        <f>IF(OR(M238="",NOT(ISNUMBER(M238))),0,IF(VALUE(F238)&lt;VALUE(LEFT(TEXT(M238,"00000000"),6)),1,0))</f>
        <v/>
      </c>
      <c r="AF238" s="20">
        <f>IF(AND(AD238=0,AE238=0),1,0)</f>
        <v/>
      </c>
      <c r="AG238" s="20">
        <f>IF(ISNUMBER(X238),X238,IFERROR(VALUE(LEFT(TEXT(J238,"00000000"),4)),""))</f>
        <v/>
      </c>
      <c r="AH238" s="20">
        <f>IFERROR(XLOOKUP(AG238,Vintage_Rates!$A$2:$A$1000,Vintage_Rates!$B$2:$B$1000,""),"")</f>
        <v/>
      </c>
      <c r="AI238" s="20">
        <f>IF(ISNUMBER(Y238),Y238,IFERROR((G238-AH238)*100,""))</f>
        <v/>
      </c>
      <c r="AJ238" s="20">
        <f>IF(ISNUMBER(V238),V238,IFERROR(XLOOKUP(VALUE(F238),PLC_Rates!$A$2:$A$1000,PLC_Rates!$B$2:$B$1000,""),""))</f>
        <v/>
      </c>
      <c r="AK238" s="20">
        <f>IF(ISNUMBER(Z238),Z238,IF(AE238=0,0,MAX(0,MIN(10,((VALUE(LEFT(TEXT(M238,"00000000"),4))-VALUE(LEFT(F238,4)))*12+(VALUE(MID(TEXT(M238,"00000000"),5,2))-VALUE(MID(F238,5,2))))/12))))</f>
        <v/>
      </c>
      <c r="AL238" s="20">
        <f>IFERROR(G238*100-AJ238,"")</f>
        <v/>
      </c>
      <c r="AM238" s="20">
        <f>IFERROR(G238*100-(AJ238+(1+AK238)*12.5),"")</f>
        <v/>
      </c>
      <c r="AN238" s="21">
        <f>IFERROR(MIN(H238/1000000,100),"")</f>
        <v/>
      </c>
      <c r="AO238" s="20">
        <f>IFERROR(INDEX(FHA_Lookup!$B$2:$B$11,MATCH(TRUE,ISNUMBER(SEARCH(FHA_Lookup!$A$2:$A$11,UPPER(SUBSTITUTE(O238," ","")))),0)),"OTHER")</f>
        <v/>
      </c>
      <c r="AP238" s="20">
        <f>IFERROR(INDEX(FHA_Lookup!$C$2:$C$11,MATCH(TRUE,ISNUMBER(SEARCH(FHA_Lookup!$A$2:$A$11,UPPER(SUBSTITUTE(O238," ","")))),0)),"OTHER")</f>
        <v/>
      </c>
      <c r="AQ238" s="20">
        <f>IF(AP238="NC",1,0)</f>
        <v/>
      </c>
      <c r="AR238" s="20">
        <f>IF(UPPER(TRIM(P238))="AFF",1,0)</f>
        <v/>
      </c>
      <c r="AS238" s="20">
        <f>IF(UPPER(TRIM(P238))="BAF",1,0)</f>
        <v/>
      </c>
      <c r="AT238" s="20">
        <f>IF(UPPER(TRIM(P238))="MKT",1,0)</f>
        <v/>
      </c>
      <c r="AU238" s="20">
        <f>IF(AO238="221d4",1,0)</f>
        <v/>
      </c>
      <c r="AV238" s="20">
        <f>IF(AO238="223a7",1,0)</f>
        <v/>
      </c>
      <c r="AW238" s="20">
        <f>IF(AO238="232",1,0)</f>
        <v/>
      </c>
      <c r="AX238" s="20">
        <f>IF(AO238="538",1,0)</f>
        <v/>
      </c>
      <c r="AY238" s="20">
        <f>IF(AO238="241",1,0)</f>
        <v/>
      </c>
      <c r="AZ238" s="20">
        <f>IF(AO238="220",1,0)</f>
        <v/>
      </c>
      <c r="BA238" s="20">
        <f>IF(AO238="OTHER",1,0)</f>
        <v/>
      </c>
      <c r="BB238" s="20">
        <f>IF(UPPER(TRIM(C238))="LM",1,0)</f>
        <v/>
      </c>
      <c r="BC238" s="20">
        <f>IF(UPPER(TRIM(C238))="PN",1,0)</f>
        <v/>
      </c>
      <c r="BD238" s="20">
        <f>IF(UPPER(TRIM(C238))="LS",1,0)</f>
        <v/>
      </c>
      <c r="BE238" s="20">
        <f>IF(UPPER(TRIM(C238))="RX",1,0)</f>
        <v/>
      </c>
      <c r="BF238" s="22">
        <f>IFERROR((Parameters!$C$6*AM238+Parameters!$C$7*MAX(AM238-(-150),0)+Parameters!$C$8*MAX(AM238-(-50),0)+Parameters!$C$9*MAX(AM238-(0),0)+Parameters!$C$10*MAX(AM238-(50),0)+Parameters!$C$11*MAX(AM238-(100),0)+Parameters!$C$12*MAX(AM238-(150),0)+Parameters!$C$13*MAX(AM238-(250),0)),0)</f>
        <v/>
      </c>
      <c r="BG238" s="22">
        <f>IFERROR((Parameters!$C$14*AA238+Parameters!$C$15*MAX(AA238-(12),0)+Parameters!$C$16*MAX(AA238-(36),0)+Parameters!$C$17*MAX(AA238-(60),0)+Parameters!$C$18*MAX(AA238-(84),0)+Parameters!$C$19*MAX(AA238-(120),0)+Parameters!$C$20*MAX(AA238-(180),0)),0)</f>
        <v/>
      </c>
      <c r="BH238" s="22">
        <f>IFERROR((Parameters!$C$21*AK238+Parameters!$C$22*MAX(AK238-(0),0)+Parameters!$C$23*MAX(AK238-(2),0)+Parameters!$C$24*MAX(AK238-(5),0)+Parameters!$C$25*MAX(AK238-(8),0)),0)</f>
        <v/>
      </c>
      <c r="BI238" s="22">
        <f>IFERROR((Parameters!$C$26*AI238+Parameters!$C$27*MAX(AI238-(-100),0)+Parameters!$C$28*MAX(AI238-(-25),0)+Parameters!$C$29*MAX(AI238-(25),0)+Parameters!$C$30*MAX(AI238-(100),0)),0)</f>
        <v/>
      </c>
      <c r="BJ238" s="22">
        <f>IFERROR((Parameters!$C$31*AN238+Parameters!$C$32*MAX(AN238-(2),0)+Parameters!$C$33*MAX(AN238-(10),0)+Parameters!$C$34*MAX(AN238-(25),0)),0)</f>
        <v/>
      </c>
      <c r="BK238" s="22">
        <f>IFERROR((Parameters!$C$35*AB238+Parameters!$C$36*MAX(AB238-(12),0)+Parameters!$C$37*MAX(AB238-(24),0)+Parameters!$C$38*MAX(AB238-(60),0)),0)</f>
        <v/>
      </c>
      <c r="BL238" s="22">
        <f>IFERROR((Parameters!$C$39*AC238+Parameters!$C$40*MAX(AC238-(6),0)+Parameters!$C$41*MAX(AC238-(12),0)+Parameters!$C$42*MAX(AC238-(24),0)),0)</f>
        <v/>
      </c>
      <c r="BM238" s="22">
        <f>IFERROR(Parameters!$C$43*(MAX(AM238,0)*MIN(MAX(AK238,0),10))/100,0)</f>
        <v/>
      </c>
      <c r="BN238" s="22">
        <f>Parameters!$C$44*AE238</f>
        <v/>
      </c>
      <c r="BO238" s="22">
        <f>Parameters!$C$45*AU238 + Parameters!$C$46*AV238 + Parameters!$C$47*AW238 + Parameters!$C$48*AX238 + Parameters!$C$49*AY238 + Parameters!$C$50*AZ238 + Parameters!$C$51*BA238</f>
        <v/>
      </c>
      <c r="BP238" s="22">
        <f>Parameters!$C$52*AQ238</f>
        <v/>
      </c>
      <c r="BQ238" s="22">
        <f>Parameters!$C$53*AR238+Parameters!$C$54*AS238+Parameters!$C$55*AT238</f>
        <v/>
      </c>
      <c r="BR238" s="22">
        <f>Parameters!$C$56*BB238+Parameters!$C$57*BC238+Parameters!$C$58*BD238+Parameters!$C$59*BE238</f>
        <v/>
      </c>
      <c r="BS238" s="23">
        <f>Parameters!$B$2</f>
        <v/>
      </c>
      <c r="BT238" s="23">
        <f>BS238+BF238 + BG238 + BH238 + BI238 + BJ238 + BK238 + BL238 + BM238 + BN238 + BO238 + BP238 + BQ238 + BR238</f>
        <v/>
      </c>
      <c r="BU238" s="24">
        <f>IF(AD238=1,0,1/(1+EXP(-BT238))*Parameters!$B$3)</f>
        <v/>
      </c>
      <c r="BV238" s="25">
        <f>(1-(1-BU238)^12)*100</f>
        <v/>
      </c>
      <c r="BW238" s="25">
        <f>IF(AD238=1,0,(1-(1-1/(1+EXP(-Parameters!$B$2)))^12)*100)</f>
        <v/>
      </c>
      <c r="BX238" s="25">
        <f>IF(AD238=1,0,BV238-(1-(1-(1/(1+EXP(-(BT238-BF238)))*Parameters!$B$3))^12)*100)</f>
        <v/>
      </c>
      <c r="BY238" s="25">
        <f>IF(AD238=1,0,BV238-(1-(1-(1/(1+EXP(-(BT238-BG238)))*Parameters!$B$3))^12)*100)</f>
        <v/>
      </c>
      <c r="BZ238" s="25">
        <f>IF(AD238=1,0,BV238-(1-(1-(1/(1+EXP(-(BT238-BH238)))*Parameters!$B$3))^12)*100)</f>
        <v/>
      </c>
      <c r="CA238" s="25">
        <f>IF(AD238=1,0,BV238-(1-(1-(1/(1+EXP(-(BT238-BI238)))*Parameters!$B$3))^12)*100)</f>
        <v/>
      </c>
      <c r="CB238" s="25">
        <f>IF(AD238=1,0,BV238-(1-(1-(1/(1+EXP(-(BT238-BJ238)))*Parameters!$B$3))^12)*100)</f>
        <v/>
      </c>
      <c r="CC238" s="25">
        <f>IF(AD238=1,0,BV238-(1-(1-(1/(1+EXP(-(BT238-BK238)))*Parameters!$B$3))^12)*100)</f>
        <v/>
      </c>
      <c r="CD238" s="25">
        <f>IF(AD238=1,0,BV238-(1-(1-(1/(1+EXP(-(BT238-BL238)))*Parameters!$B$3))^12)*100)</f>
        <v/>
      </c>
      <c r="CE238" s="25">
        <f>IF(AD238=1,0,BV238-(1-(1-(1/(1+EXP(-(BT238-BM238)))*Parameters!$B$3))^12)*100)</f>
        <v/>
      </c>
      <c r="CF238" s="25">
        <f>IF(AD238=1,0,BV238-(1-(1-(1/(1+EXP(-(BT238-BN238)))*Parameters!$B$3))^12)*100)</f>
        <v/>
      </c>
      <c r="CG238" s="25">
        <f>IF(AD238=1,0,BV238-(1-(1-(1/(1+EXP(-(BT238-BO238)))*Parameters!$B$3))^12)*100)</f>
        <v/>
      </c>
      <c r="CH238" s="25">
        <f>IF(AD238=1,0,BV238-(1-(1-(1/(1+EXP(-(BT238-BP238)))*Parameters!$B$3))^12)*100)</f>
        <v/>
      </c>
      <c r="CI238" s="25">
        <f>IF(AD238=1,0,BV238-(1-(1-(1/(1+EXP(-(BT238-BQ238)))*Parameters!$B$3))^12)*100)</f>
        <v/>
      </c>
      <c r="CJ238" s="25">
        <f>IF(AD238=1,0,BV238-(1-(1-(1/(1+EXP(-(BT238-BR238)))*Parameters!$B$3))^12)*100)</f>
        <v/>
      </c>
    </row>
    <row r="239">
      <c r="A239" s="17" t="inlineStr">
        <is>
          <t>GNR_DIVERSE</t>
        </is>
      </c>
      <c r="B239" s="17" t="inlineStr">
        <is>
          <t>3617W8PU3</t>
        </is>
      </c>
      <c r="C239" s="17" t="inlineStr">
        <is>
          <t>LM</t>
        </is>
      </c>
      <c r="D239" s="17" t="inlineStr">
        <is>
          <t>LUMENT REAL ESTATE CAPITAL,LLC</t>
        </is>
      </c>
      <c r="E239" s="17" t="inlineStr">
        <is>
          <t>3617W8PU3_000000001722136</t>
        </is>
      </c>
      <c r="F239" s="17" t="n">
        <v>202603</v>
      </c>
      <c r="G239" s="18" t="n">
        <v>3.1</v>
      </c>
      <c r="H239" s="19" t="n">
        <v>10435239.64</v>
      </c>
      <c r="I239" s="17" t="n">
        <v>360</v>
      </c>
      <c r="J239" s="17" t="n">
        <v>20181016</v>
      </c>
      <c r="K239" s="17" t="n">
        <v>20481101</v>
      </c>
      <c r="L239" s="17" t="n"/>
      <c r="M239" s="17" t="n">
        <v>20311001</v>
      </c>
      <c r="N239" s="17" t="n">
        <v>10</v>
      </c>
      <c r="O239" s="17" t="inlineStr">
        <is>
          <t>232/223(F)</t>
        </is>
      </c>
      <c r="P239" s="17" t="inlineStr">
        <is>
          <t>MKT</t>
        </is>
      </c>
      <c r="Q239" s="17" t="inlineStr">
        <is>
          <t>M</t>
        </is>
      </c>
      <c r="R239" s="17" t="n"/>
      <c r="S239" s="17" t="n">
        <v>1</v>
      </c>
      <c r="T239" s="17" t="inlineStr">
        <is>
          <t>CT</t>
        </is>
      </c>
      <c r="U239" s="17" t="n">
        <v>222</v>
      </c>
      <c r="V239" s="17" t="n">
        <v>490.5</v>
      </c>
      <c r="W239" s="17" t="n">
        <v>89</v>
      </c>
      <c r="X239" s="17" t="n">
        <v>2018</v>
      </c>
      <c r="Y239" s="17" t="n">
        <v>-92</v>
      </c>
      <c r="Z239" s="17" t="n">
        <v>6</v>
      </c>
      <c r="AA239" s="20">
        <f>IF(ISNUMBER(W239),W239,IFERROR(MAX(0,(VALUE(LEFT(F239,4))-VALUE(LEFT(TEXT(J239,"00000000"),4)))*12+(VALUE(MID(F239,5,2))-VALUE(MID(TEXT(J239,"00000000"),5,2)))),""))</f>
        <v/>
      </c>
      <c r="AB239" s="20">
        <f>IFERROR((VALUE(LEFT(TEXT(K239,"00000000"),4))-VALUE(LEFT(F239,4)))*12+(VALUE(MID(TEXT(K239,"00000000"),5,2))-VALUE(MID(F239,5,2))),"")</f>
        <v/>
      </c>
      <c r="AC239" s="20">
        <f>IF(OR(L239="",NOT(ISNUMBER(L239))),0,MAX(0,MIN(60,(VALUE(LEFT(F239,4))-VALUE(LEFT(TEXT(L239,"00000000"),4)))*12+(VALUE(MID(F239,5,2))-VALUE(MID(TEXT(L239,"00000000"),5,2))))))</f>
        <v/>
      </c>
      <c r="AD239" s="20">
        <f>IF(OR(L239="",NOT(ISNUMBER(L239))),0,IF(VALUE(F239)&lt;VALUE(LEFT(TEXT(L239,"00000000"),6)),1,0))</f>
        <v/>
      </c>
      <c r="AE239" s="20">
        <f>IF(OR(M239="",NOT(ISNUMBER(M239))),0,IF(VALUE(F239)&lt;VALUE(LEFT(TEXT(M239,"00000000"),6)),1,0))</f>
        <v/>
      </c>
      <c r="AF239" s="20">
        <f>IF(AND(AD239=0,AE239=0),1,0)</f>
        <v/>
      </c>
      <c r="AG239" s="20">
        <f>IF(ISNUMBER(X239),X239,IFERROR(VALUE(LEFT(TEXT(J239,"00000000"),4)),""))</f>
        <v/>
      </c>
      <c r="AH239" s="20">
        <f>IFERROR(XLOOKUP(AG239,Vintage_Rates!$A$2:$A$1000,Vintage_Rates!$B$2:$B$1000,""),"")</f>
        <v/>
      </c>
      <c r="AI239" s="20">
        <f>IF(ISNUMBER(Y239),Y239,IFERROR((G239-AH239)*100,""))</f>
        <v/>
      </c>
      <c r="AJ239" s="20">
        <f>IF(ISNUMBER(V239),V239,IFERROR(XLOOKUP(VALUE(F239),PLC_Rates!$A$2:$A$1000,PLC_Rates!$B$2:$B$1000,""),""))</f>
        <v/>
      </c>
      <c r="AK239" s="20">
        <f>IF(ISNUMBER(Z239),Z239,IF(AE239=0,0,MAX(0,MIN(10,((VALUE(LEFT(TEXT(M239,"00000000"),4))-VALUE(LEFT(F239,4)))*12+(VALUE(MID(TEXT(M239,"00000000"),5,2))-VALUE(MID(F239,5,2))))/12))))</f>
        <v/>
      </c>
      <c r="AL239" s="20">
        <f>IFERROR(G239*100-AJ239,"")</f>
        <v/>
      </c>
      <c r="AM239" s="20">
        <f>IFERROR(G239*100-(AJ239+(1+AK239)*12.5),"")</f>
        <v/>
      </c>
      <c r="AN239" s="21">
        <f>IFERROR(MIN(H239/1000000,100),"")</f>
        <v/>
      </c>
      <c r="AO239" s="20">
        <f>IFERROR(INDEX(FHA_Lookup!$B$2:$B$11,MATCH(TRUE,ISNUMBER(SEARCH(FHA_Lookup!$A$2:$A$11,UPPER(SUBSTITUTE(O239," ","")))),0)),"OTHER")</f>
        <v/>
      </c>
      <c r="AP239" s="20">
        <f>IFERROR(INDEX(FHA_Lookup!$C$2:$C$11,MATCH(TRUE,ISNUMBER(SEARCH(FHA_Lookup!$A$2:$A$11,UPPER(SUBSTITUTE(O239," ","")))),0)),"OTHER")</f>
        <v/>
      </c>
      <c r="AQ239" s="20">
        <f>IF(AP239="NC",1,0)</f>
        <v/>
      </c>
      <c r="AR239" s="20">
        <f>IF(UPPER(TRIM(P239))="AFF",1,0)</f>
        <v/>
      </c>
      <c r="AS239" s="20">
        <f>IF(UPPER(TRIM(P239))="BAF",1,0)</f>
        <v/>
      </c>
      <c r="AT239" s="20">
        <f>IF(UPPER(TRIM(P239))="MKT",1,0)</f>
        <v/>
      </c>
      <c r="AU239" s="20">
        <f>IF(AO239="221d4",1,0)</f>
        <v/>
      </c>
      <c r="AV239" s="20">
        <f>IF(AO239="223a7",1,0)</f>
        <v/>
      </c>
      <c r="AW239" s="20">
        <f>IF(AO239="232",1,0)</f>
        <v/>
      </c>
      <c r="AX239" s="20">
        <f>IF(AO239="538",1,0)</f>
        <v/>
      </c>
      <c r="AY239" s="20">
        <f>IF(AO239="241",1,0)</f>
        <v/>
      </c>
      <c r="AZ239" s="20">
        <f>IF(AO239="220",1,0)</f>
        <v/>
      </c>
      <c r="BA239" s="20">
        <f>IF(AO239="OTHER",1,0)</f>
        <v/>
      </c>
      <c r="BB239" s="20">
        <f>IF(UPPER(TRIM(C239))="LM",1,0)</f>
        <v/>
      </c>
      <c r="BC239" s="20">
        <f>IF(UPPER(TRIM(C239))="PN",1,0)</f>
        <v/>
      </c>
      <c r="BD239" s="20">
        <f>IF(UPPER(TRIM(C239))="LS",1,0)</f>
        <v/>
      </c>
      <c r="BE239" s="20">
        <f>IF(UPPER(TRIM(C239))="RX",1,0)</f>
        <v/>
      </c>
      <c r="BF239" s="22">
        <f>IFERROR((Parameters!$C$6*AM239+Parameters!$C$7*MAX(AM239-(-150),0)+Parameters!$C$8*MAX(AM239-(-50),0)+Parameters!$C$9*MAX(AM239-(0),0)+Parameters!$C$10*MAX(AM239-(50),0)+Parameters!$C$11*MAX(AM239-(100),0)+Parameters!$C$12*MAX(AM239-(150),0)+Parameters!$C$13*MAX(AM239-(250),0)),0)</f>
        <v/>
      </c>
      <c r="BG239" s="22">
        <f>IFERROR((Parameters!$C$14*AA239+Parameters!$C$15*MAX(AA239-(12),0)+Parameters!$C$16*MAX(AA239-(36),0)+Parameters!$C$17*MAX(AA239-(60),0)+Parameters!$C$18*MAX(AA239-(84),0)+Parameters!$C$19*MAX(AA239-(120),0)+Parameters!$C$20*MAX(AA239-(180),0)),0)</f>
        <v/>
      </c>
      <c r="BH239" s="22">
        <f>IFERROR((Parameters!$C$21*AK239+Parameters!$C$22*MAX(AK239-(0),0)+Parameters!$C$23*MAX(AK239-(2),0)+Parameters!$C$24*MAX(AK239-(5),0)+Parameters!$C$25*MAX(AK239-(8),0)),0)</f>
        <v/>
      </c>
      <c r="BI239" s="22">
        <f>IFERROR((Parameters!$C$26*AI239+Parameters!$C$27*MAX(AI239-(-100),0)+Parameters!$C$28*MAX(AI239-(-25),0)+Parameters!$C$29*MAX(AI239-(25),0)+Parameters!$C$30*MAX(AI239-(100),0)),0)</f>
        <v/>
      </c>
      <c r="BJ239" s="22">
        <f>IFERROR((Parameters!$C$31*AN239+Parameters!$C$32*MAX(AN239-(2),0)+Parameters!$C$33*MAX(AN239-(10),0)+Parameters!$C$34*MAX(AN239-(25),0)),0)</f>
        <v/>
      </c>
      <c r="BK239" s="22">
        <f>IFERROR((Parameters!$C$35*AB239+Parameters!$C$36*MAX(AB239-(12),0)+Parameters!$C$37*MAX(AB239-(24),0)+Parameters!$C$38*MAX(AB239-(60),0)),0)</f>
        <v/>
      </c>
      <c r="BL239" s="22">
        <f>IFERROR((Parameters!$C$39*AC239+Parameters!$C$40*MAX(AC239-(6),0)+Parameters!$C$41*MAX(AC239-(12),0)+Parameters!$C$42*MAX(AC239-(24),0)),0)</f>
        <v/>
      </c>
      <c r="BM239" s="22">
        <f>IFERROR(Parameters!$C$43*(MAX(AM239,0)*MIN(MAX(AK239,0),10))/100,0)</f>
        <v/>
      </c>
      <c r="BN239" s="22">
        <f>Parameters!$C$44*AE239</f>
        <v/>
      </c>
      <c r="BO239" s="22">
        <f>Parameters!$C$45*AU239 + Parameters!$C$46*AV239 + Parameters!$C$47*AW239 + Parameters!$C$48*AX239 + Parameters!$C$49*AY239 + Parameters!$C$50*AZ239 + Parameters!$C$51*BA239</f>
        <v/>
      </c>
      <c r="BP239" s="22">
        <f>Parameters!$C$52*AQ239</f>
        <v/>
      </c>
      <c r="BQ239" s="22">
        <f>Parameters!$C$53*AR239+Parameters!$C$54*AS239+Parameters!$C$55*AT239</f>
        <v/>
      </c>
      <c r="BR239" s="22">
        <f>Parameters!$C$56*BB239+Parameters!$C$57*BC239+Parameters!$C$58*BD239+Parameters!$C$59*BE239</f>
        <v/>
      </c>
      <c r="BS239" s="23">
        <f>Parameters!$B$2</f>
        <v/>
      </c>
      <c r="BT239" s="23">
        <f>BS239+BF239 + BG239 + BH239 + BI239 + BJ239 + BK239 + BL239 + BM239 + BN239 + BO239 + BP239 + BQ239 + BR239</f>
        <v/>
      </c>
      <c r="BU239" s="24">
        <f>IF(AD239=1,0,1/(1+EXP(-BT239))*Parameters!$B$3)</f>
        <v/>
      </c>
      <c r="BV239" s="25">
        <f>(1-(1-BU239)^12)*100</f>
        <v/>
      </c>
      <c r="BW239" s="25">
        <f>IF(AD239=1,0,(1-(1-1/(1+EXP(-Parameters!$B$2)))^12)*100)</f>
        <v/>
      </c>
      <c r="BX239" s="25">
        <f>IF(AD239=1,0,BV239-(1-(1-(1/(1+EXP(-(BT239-BF239)))*Parameters!$B$3))^12)*100)</f>
        <v/>
      </c>
      <c r="BY239" s="25">
        <f>IF(AD239=1,0,BV239-(1-(1-(1/(1+EXP(-(BT239-BG239)))*Parameters!$B$3))^12)*100)</f>
        <v/>
      </c>
      <c r="BZ239" s="25">
        <f>IF(AD239=1,0,BV239-(1-(1-(1/(1+EXP(-(BT239-BH239)))*Parameters!$B$3))^12)*100)</f>
        <v/>
      </c>
      <c r="CA239" s="25">
        <f>IF(AD239=1,0,BV239-(1-(1-(1/(1+EXP(-(BT239-BI239)))*Parameters!$B$3))^12)*100)</f>
        <v/>
      </c>
      <c r="CB239" s="25">
        <f>IF(AD239=1,0,BV239-(1-(1-(1/(1+EXP(-(BT239-BJ239)))*Parameters!$B$3))^12)*100)</f>
        <v/>
      </c>
      <c r="CC239" s="25">
        <f>IF(AD239=1,0,BV239-(1-(1-(1/(1+EXP(-(BT239-BK239)))*Parameters!$B$3))^12)*100)</f>
        <v/>
      </c>
      <c r="CD239" s="25">
        <f>IF(AD239=1,0,BV239-(1-(1-(1/(1+EXP(-(BT239-BL239)))*Parameters!$B$3))^12)*100)</f>
        <v/>
      </c>
      <c r="CE239" s="25">
        <f>IF(AD239=1,0,BV239-(1-(1-(1/(1+EXP(-(BT239-BM239)))*Parameters!$B$3))^12)*100)</f>
        <v/>
      </c>
      <c r="CF239" s="25">
        <f>IF(AD239=1,0,BV239-(1-(1-(1/(1+EXP(-(BT239-BN239)))*Parameters!$B$3))^12)*100)</f>
        <v/>
      </c>
      <c r="CG239" s="25">
        <f>IF(AD239=1,0,BV239-(1-(1-(1/(1+EXP(-(BT239-BO239)))*Parameters!$B$3))^12)*100)</f>
        <v/>
      </c>
      <c r="CH239" s="25">
        <f>IF(AD239=1,0,BV239-(1-(1-(1/(1+EXP(-(BT239-BP239)))*Parameters!$B$3))^12)*100)</f>
        <v/>
      </c>
      <c r="CI239" s="25">
        <f>IF(AD239=1,0,BV239-(1-(1-(1/(1+EXP(-(BT239-BQ239)))*Parameters!$B$3))^12)*100)</f>
        <v/>
      </c>
      <c r="CJ239" s="25">
        <f>IF(AD239=1,0,BV239-(1-(1-(1/(1+EXP(-(BT239-BR239)))*Parameters!$B$3))^12)*100)</f>
        <v/>
      </c>
    </row>
    <row r="240">
      <c r="A240" s="17" t="inlineStr">
        <is>
          <t>GNR_DIVERSE</t>
        </is>
      </c>
      <c r="B240" s="17" t="inlineStr">
        <is>
          <t>3617NBXZ6</t>
        </is>
      </c>
      <c r="C240" s="17" t="inlineStr">
        <is>
          <t>PN</t>
        </is>
      </c>
      <c r="D240" s="17" t="inlineStr">
        <is>
          <t>GREYSTONE FUNDING COMPANY LLC</t>
        </is>
      </c>
      <c r="E240" s="17" t="inlineStr">
        <is>
          <t>3617NBXZ6_000000011311384</t>
        </is>
      </c>
      <c r="F240" s="17" t="n">
        <v>202603</v>
      </c>
      <c r="G240" s="18" t="n">
        <v>2.97</v>
      </c>
      <c r="H240" s="19" t="n">
        <v>32630466.96</v>
      </c>
      <c r="I240" s="17" t="n">
        <v>420</v>
      </c>
      <c r="J240" s="17" t="n">
        <v>20200401</v>
      </c>
      <c r="K240" s="17" t="n">
        <v>20550501</v>
      </c>
      <c r="L240" s="17" t="n"/>
      <c r="M240" s="17" t="n">
        <v>20300601</v>
      </c>
      <c r="N240" s="17" t="n">
        <v>10</v>
      </c>
      <c r="O240" s="17" t="inlineStr">
        <is>
          <t>207/223(F)</t>
        </is>
      </c>
      <c r="P240" s="17" t="inlineStr">
        <is>
          <t>MKT</t>
        </is>
      </c>
      <c r="Q240" s="17" t="n"/>
      <c r="R240" s="17" t="n"/>
      <c r="S240" s="17" t="n"/>
      <c r="T240" s="17" t="inlineStr">
        <is>
          <t>TX</t>
        </is>
      </c>
      <c r="U240" s="17" t="n">
        <v>290</v>
      </c>
      <c r="V240" s="17" t="n">
        <v>490.5</v>
      </c>
      <c r="W240" s="17" t="n">
        <v>71</v>
      </c>
      <c r="X240" s="17" t="n">
        <v>2020</v>
      </c>
      <c r="Y240" s="17" t="n">
        <v>12</v>
      </c>
      <c r="Z240" s="17" t="n">
        <v>5</v>
      </c>
      <c r="AA240" s="20">
        <f>IF(ISNUMBER(W240),W240,IFERROR(MAX(0,(VALUE(LEFT(F240,4))-VALUE(LEFT(TEXT(J240,"00000000"),4)))*12+(VALUE(MID(F240,5,2))-VALUE(MID(TEXT(J240,"00000000"),5,2)))),""))</f>
        <v/>
      </c>
      <c r="AB240" s="20">
        <f>IFERROR((VALUE(LEFT(TEXT(K240,"00000000"),4))-VALUE(LEFT(F240,4)))*12+(VALUE(MID(TEXT(K240,"00000000"),5,2))-VALUE(MID(F240,5,2))),"")</f>
        <v/>
      </c>
      <c r="AC240" s="20">
        <f>IF(OR(L240="",NOT(ISNUMBER(L240))),0,MAX(0,MIN(60,(VALUE(LEFT(F240,4))-VALUE(LEFT(TEXT(L240,"00000000"),4)))*12+(VALUE(MID(F240,5,2))-VALUE(MID(TEXT(L240,"00000000"),5,2))))))</f>
        <v/>
      </c>
      <c r="AD240" s="20">
        <f>IF(OR(L240="",NOT(ISNUMBER(L240))),0,IF(VALUE(F240)&lt;VALUE(LEFT(TEXT(L240,"00000000"),6)),1,0))</f>
        <v/>
      </c>
      <c r="AE240" s="20">
        <f>IF(OR(M240="",NOT(ISNUMBER(M240))),0,IF(VALUE(F240)&lt;VALUE(LEFT(TEXT(M240,"00000000"),6)),1,0))</f>
        <v/>
      </c>
      <c r="AF240" s="20">
        <f>IF(AND(AD240=0,AE240=0),1,0)</f>
        <v/>
      </c>
      <c r="AG240" s="20">
        <f>IF(ISNUMBER(X240),X240,IFERROR(VALUE(LEFT(TEXT(J240,"00000000"),4)),""))</f>
        <v/>
      </c>
      <c r="AH240" s="20">
        <f>IFERROR(XLOOKUP(AG240,Vintage_Rates!$A$2:$A$1000,Vintage_Rates!$B$2:$B$1000,""),"")</f>
        <v/>
      </c>
      <c r="AI240" s="20">
        <f>IF(ISNUMBER(Y240),Y240,IFERROR((G240-AH240)*100,""))</f>
        <v/>
      </c>
      <c r="AJ240" s="20">
        <f>IF(ISNUMBER(V240),V240,IFERROR(XLOOKUP(VALUE(F240),PLC_Rates!$A$2:$A$1000,PLC_Rates!$B$2:$B$1000,""),""))</f>
        <v/>
      </c>
      <c r="AK240" s="20">
        <f>IF(ISNUMBER(Z240),Z240,IF(AE240=0,0,MAX(0,MIN(10,((VALUE(LEFT(TEXT(M240,"00000000"),4))-VALUE(LEFT(F240,4)))*12+(VALUE(MID(TEXT(M240,"00000000"),5,2))-VALUE(MID(F240,5,2))))/12))))</f>
        <v/>
      </c>
      <c r="AL240" s="20">
        <f>IFERROR(G240*100-AJ240,"")</f>
        <v/>
      </c>
      <c r="AM240" s="20">
        <f>IFERROR(G240*100-(AJ240+(1+AK240)*12.5),"")</f>
        <v/>
      </c>
      <c r="AN240" s="21">
        <f>IFERROR(MIN(H240/1000000,100),"")</f>
        <v/>
      </c>
      <c r="AO240" s="20">
        <f>IFERROR(INDEX(FHA_Lookup!$B$2:$B$11,MATCH(TRUE,ISNUMBER(SEARCH(FHA_Lookup!$A$2:$A$11,UPPER(SUBSTITUTE(O240," ","")))),0)),"OTHER")</f>
        <v/>
      </c>
      <c r="AP240" s="20">
        <f>IFERROR(INDEX(FHA_Lookup!$C$2:$C$11,MATCH(TRUE,ISNUMBER(SEARCH(FHA_Lookup!$A$2:$A$11,UPPER(SUBSTITUTE(O240," ","")))),0)),"OTHER")</f>
        <v/>
      </c>
      <c r="AQ240" s="20">
        <f>IF(AP240="NC",1,0)</f>
        <v/>
      </c>
      <c r="AR240" s="20">
        <f>IF(UPPER(TRIM(P240))="AFF",1,0)</f>
        <v/>
      </c>
      <c r="AS240" s="20">
        <f>IF(UPPER(TRIM(P240))="BAF",1,0)</f>
        <v/>
      </c>
      <c r="AT240" s="20">
        <f>IF(UPPER(TRIM(P240))="MKT",1,0)</f>
        <v/>
      </c>
      <c r="AU240" s="20">
        <f>IF(AO240="221d4",1,0)</f>
        <v/>
      </c>
      <c r="AV240" s="20">
        <f>IF(AO240="223a7",1,0)</f>
        <v/>
      </c>
      <c r="AW240" s="20">
        <f>IF(AO240="232",1,0)</f>
        <v/>
      </c>
      <c r="AX240" s="20">
        <f>IF(AO240="538",1,0)</f>
        <v/>
      </c>
      <c r="AY240" s="20">
        <f>IF(AO240="241",1,0)</f>
        <v/>
      </c>
      <c r="AZ240" s="20">
        <f>IF(AO240="220",1,0)</f>
        <v/>
      </c>
      <c r="BA240" s="20">
        <f>IF(AO240="OTHER",1,0)</f>
        <v/>
      </c>
      <c r="BB240" s="20">
        <f>IF(UPPER(TRIM(C240))="LM",1,0)</f>
        <v/>
      </c>
      <c r="BC240" s="20">
        <f>IF(UPPER(TRIM(C240))="PN",1,0)</f>
        <v/>
      </c>
      <c r="BD240" s="20">
        <f>IF(UPPER(TRIM(C240))="LS",1,0)</f>
        <v/>
      </c>
      <c r="BE240" s="20">
        <f>IF(UPPER(TRIM(C240))="RX",1,0)</f>
        <v/>
      </c>
      <c r="BF240" s="22">
        <f>IFERROR((Parameters!$C$6*AM240+Parameters!$C$7*MAX(AM240-(-150),0)+Parameters!$C$8*MAX(AM240-(-50),0)+Parameters!$C$9*MAX(AM240-(0),0)+Parameters!$C$10*MAX(AM240-(50),0)+Parameters!$C$11*MAX(AM240-(100),0)+Parameters!$C$12*MAX(AM240-(150),0)+Parameters!$C$13*MAX(AM240-(250),0)),0)</f>
        <v/>
      </c>
      <c r="BG240" s="22">
        <f>IFERROR((Parameters!$C$14*AA240+Parameters!$C$15*MAX(AA240-(12),0)+Parameters!$C$16*MAX(AA240-(36),0)+Parameters!$C$17*MAX(AA240-(60),0)+Parameters!$C$18*MAX(AA240-(84),0)+Parameters!$C$19*MAX(AA240-(120),0)+Parameters!$C$20*MAX(AA240-(180),0)),0)</f>
        <v/>
      </c>
      <c r="BH240" s="22">
        <f>IFERROR((Parameters!$C$21*AK240+Parameters!$C$22*MAX(AK240-(0),0)+Parameters!$C$23*MAX(AK240-(2),0)+Parameters!$C$24*MAX(AK240-(5),0)+Parameters!$C$25*MAX(AK240-(8),0)),0)</f>
        <v/>
      </c>
      <c r="BI240" s="22">
        <f>IFERROR((Parameters!$C$26*AI240+Parameters!$C$27*MAX(AI240-(-100),0)+Parameters!$C$28*MAX(AI240-(-25),0)+Parameters!$C$29*MAX(AI240-(25),0)+Parameters!$C$30*MAX(AI240-(100),0)),0)</f>
        <v/>
      </c>
      <c r="BJ240" s="22">
        <f>IFERROR((Parameters!$C$31*AN240+Parameters!$C$32*MAX(AN240-(2),0)+Parameters!$C$33*MAX(AN240-(10),0)+Parameters!$C$34*MAX(AN240-(25),0)),0)</f>
        <v/>
      </c>
      <c r="BK240" s="22">
        <f>IFERROR((Parameters!$C$35*AB240+Parameters!$C$36*MAX(AB240-(12),0)+Parameters!$C$37*MAX(AB240-(24),0)+Parameters!$C$38*MAX(AB240-(60),0)),0)</f>
        <v/>
      </c>
      <c r="BL240" s="22">
        <f>IFERROR((Parameters!$C$39*AC240+Parameters!$C$40*MAX(AC240-(6),0)+Parameters!$C$41*MAX(AC240-(12),0)+Parameters!$C$42*MAX(AC240-(24),0)),0)</f>
        <v/>
      </c>
      <c r="BM240" s="22">
        <f>IFERROR(Parameters!$C$43*(MAX(AM240,0)*MIN(MAX(AK240,0),10))/100,0)</f>
        <v/>
      </c>
      <c r="BN240" s="22">
        <f>Parameters!$C$44*AE240</f>
        <v/>
      </c>
      <c r="BO240" s="22">
        <f>Parameters!$C$45*AU240 + Parameters!$C$46*AV240 + Parameters!$C$47*AW240 + Parameters!$C$48*AX240 + Parameters!$C$49*AY240 + Parameters!$C$50*AZ240 + Parameters!$C$51*BA240</f>
        <v/>
      </c>
      <c r="BP240" s="22">
        <f>Parameters!$C$52*AQ240</f>
        <v/>
      </c>
      <c r="BQ240" s="22">
        <f>Parameters!$C$53*AR240+Parameters!$C$54*AS240+Parameters!$C$55*AT240</f>
        <v/>
      </c>
      <c r="BR240" s="22">
        <f>Parameters!$C$56*BB240+Parameters!$C$57*BC240+Parameters!$C$58*BD240+Parameters!$C$59*BE240</f>
        <v/>
      </c>
      <c r="BS240" s="23">
        <f>Parameters!$B$2</f>
        <v/>
      </c>
      <c r="BT240" s="23">
        <f>BS240+BF240 + BG240 + BH240 + BI240 + BJ240 + BK240 + BL240 + BM240 + BN240 + BO240 + BP240 + BQ240 + BR240</f>
        <v/>
      </c>
      <c r="BU240" s="24">
        <f>IF(AD240=1,0,1/(1+EXP(-BT240))*Parameters!$B$3)</f>
        <v/>
      </c>
      <c r="BV240" s="25">
        <f>(1-(1-BU240)^12)*100</f>
        <v/>
      </c>
      <c r="BW240" s="25">
        <f>IF(AD240=1,0,(1-(1-1/(1+EXP(-Parameters!$B$2)))^12)*100)</f>
        <v/>
      </c>
      <c r="BX240" s="25">
        <f>IF(AD240=1,0,BV240-(1-(1-(1/(1+EXP(-(BT240-BF240)))*Parameters!$B$3))^12)*100)</f>
        <v/>
      </c>
      <c r="BY240" s="25">
        <f>IF(AD240=1,0,BV240-(1-(1-(1/(1+EXP(-(BT240-BG240)))*Parameters!$B$3))^12)*100)</f>
        <v/>
      </c>
      <c r="BZ240" s="25">
        <f>IF(AD240=1,0,BV240-(1-(1-(1/(1+EXP(-(BT240-BH240)))*Parameters!$B$3))^12)*100)</f>
        <v/>
      </c>
      <c r="CA240" s="25">
        <f>IF(AD240=1,0,BV240-(1-(1-(1/(1+EXP(-(BT240-BI240)))*Parameters!$B$3))^12)*100)</f>
        <v/>
      </c>
      <c r="CB240" s="25">
        <f>IF(AD240=1,0,BV240-(1-(1-(1/(1+EXP(-(BT240-BJ240)))*Parameters!$B$3))^12)*100)</f>
        <v/>
      </c>
      <c r="CC240" s="25">
        <f>IF(AD240=1,0,BV240-(1-(1-(1/(1+EXP(-(BT240-BK240)))*Parameters!$B$3))^12)*100)</f>
        <v/>
      </c>
      <c r="CD240" s="25">
        <f>IF(AD240=1,0,BV240-(1-(1-(1/(1+EXP(-(BT240-BL240)))*Parameters!$B$3))^12)*100)</f>
        <v/>
      </c>
      <c r="CE240" s="25">
        <f>IF(AD240=1,0,BV240-(1-(1-(1/(1+EXP(-(BT240-BM240)))*Parameters!$B$3))^12)*100)</f>
        <v/>
      </c>
      <c r="CF240" s="25">
        <f>IF(AD240=1,0,BV240-(1-(1-(1/(1+EXP(-(BT240-BN240)))*Parameters!$B$3))^12)*100)</f>
        <v/>
      </c>
      <c r="CG240" s="25">
        <f>IF(AD240=1,0,BV240-(1-(1-(1/(1+EXP(-(BT240-BO240)))*Parameters!$B$3))^12)*100)</f>
        <v/>
      </c>
      <c r="CH240" s="25">
        <f>IF(AD240=1,0,BV240-(1-(1-(1/(1+EXP(-(BT240-BP240)))*Parameters!$B$3))^12)*100)</f>
        <v/>
      </c>
      <c r="CI240" s="25">
        <f>IF(AD240=1,0,BV240-(1-(1-(1/(1+EXP(-(BT240-BQ240)))*Parameters!$B$3))^12)*100)</f>
        <v/>
      </c>
      <c r="CJ240" s="25">
        <f>IF(AD240=1,0,BV240-(1-(1-(1/(1+EXP(-(BT240-BR240)))*Parameters!$B$3))^12)*100)</f>
        <v/>
      </c>
    </row>
    <row r="241">
      <c r="A241" s="17" t="inlineStr">
        <is>
          <t>GNR_DIVERSE</t>
        </is>
      </c>
      <c r="B241" s="17" t="inlineStr">
        <is>
          <t>3617ACML1</t>
        </is>
      </c>
      <c r="C241" s="17" t="inlineStr">
        <is>
          <t>PN</t>
        </is>
      </c>
      <c r="D241" s="17" t="inlineStr">
        <is>
          <t>GREYSTONE FUNDING COMPANY LLC</t>
        </is>
      </c>
      <c r="E241" s="17" t="inlineStr">
        <is>
          <t>3617ACML1_000000011435761</t>
        </is>
      </c>
      <c r="F241" s="17" t="n">
        <v>202603</v>
      </c>
      <c r="G241" s="18" t="n">
        <v>4.13</v>
      </c>
      <c r="H241" s="19" t="n">
        <v>17140484.88</v>
      </c>
      <c r="I241" s="17" t="n">
        <v>480</v>
      </c>
      <c r="J241" s="17" t="n">
        <v>20170301</v>
      </c>
      <c r="K241" s="17" t="n">
        <v>20570401</v>
      </c>
      <c r="L241" s="17" t="n"/>
      <c r="M241" s="17" t="n">
        <v>20270501</v>
      </c>
      <c r="N241" s="17" t="n">
        <v>10</v>
      </c>
      <c r="O241" s="17" t="inlineStr">
        <is>
          <t>221D4/223A7</t>
        </is>
      </c>
      <c r="P241" s="17" t="inlineStr">
        <is>
          <t>MKT</t>
        </is>
      </c>
      <c r="Q241" s="17" t="n"/>
      <c r="R241" s="17" t="n"/>
      <c r="S241" s="17" t="n"/>
      <c r="T241" s="17" t="inlineStr">
        <is>
          <t>TX</t>
        </is>
      </c>
      <c r="U241" s="17" t="n">
        <v>198</v>
      </c>
      <c r="V241" s="17" t="n">
        <v>490.5</v>
      </c>
      <c r="W241" s="17" t="n">
        <v>108</v>
      </c>
      <c r="X241" s="17" t="n">
        <v>2017</v>
      </c>
      <c r="Y241" s="17" t="n">
        <v>66</v>
      </c>
      <c r="Z241" s="17" t="n">
        <v>2</v>
      </c>
      <c r="AA241" s="20">
        <f>IF(ISNUMBER(W241),W241,IFERROR(MAX(0,(VALUE(LEFT(F241,4))-VALUE(LEFT(TEXT(J241,"00000000"),4)))*12+(VALUE(MID(F241,5,2))-VALUE(MID(TEXT(J241,"00000000"),5,2)))),""))</f>
        <v/>
      </c>
      <c r="AB241" s="20">
        <f>IFERROR((VALUE(LEFT(TEXT(K241,"00000000"),4))-VALUE(LEFT(F241,4)))*12+(VALUE(MID(TEXT(K241,"00000000"),5,2))-VALUE(MID(F241,5,2))),"")</f>
        <v/>
      </c>
      <c r="AC241" s="20">
        <f>IF(OR(L241="",NOT(ISNUMBER(L241))),0,MAX(0,MIN(60,(VALUE(LEFT(F241,4))-VALUE(LEFT(TEXT(L241,"00000000"),4)))*12+(VALUE(MID(F241,5,2))-VALUE(MID(TEXT(L241,"00000000"),5,2))))))</f>
        <v/>
      </c>
      <c r="AD241" s="20">
        <f>IF(OR(L241="",NOT(ISNUMBER(L241))),0,IF(VALUE(F241)&lt;VALUE(LEFT(TEXT(L241,"00000000"),6)),1,0))</f>
        <v/>
      </c>
      <c r="AE241" s="20">
        <f>IF(OR(M241="",NOT(ISNUMBER(M241))),0,IF(VALUE(F241)&lt;VALUE(LEFT(TEXT(M241,"00000000"),6)),1,0))</f>
        <v/>
      </c>
      <c r="AF241" s="20">
        <f>IF(AND(AD241=0,AE241=0),1,0)</f>
        <v/>
      </c>
      <c r="AG241" s="20">
        <f>IF(ISNUMBER(X241),X241,IFERROR(VALUE(LEFT(TEXT(J241,"00000000"),4)),""))</f>
        <v/>
      </c>
      <c r="AH241" s="20">
        <f>IFERROR(XLOOKUP(AG241,Vintage_Rates!$A$2:$A$1000,Vintage_Rates!$B$2:$B$1000,""),"")</f>
        <v/>
      </c>
      <c r="AI241" s="20">
        <f>IF(ISNUMBER(Y241),Y241,IFERROR((G241-AH241)*100,""))</f>
        <v/>
      </c>
      <c r="AJ241" s="20">
        <f>IF(ISNUMBER(V241),V241,IFERROR(XLOOKUP(VALUE(F241),PLC_Rates!$A$2:$A$1000,PLC_Rates!$B$2:$B$1000,""),""))</f>
        <v/>
      </c>
      <c r="AK241" s="20">
        <f>IF(ISNUMBER(Z241),Z241,IF(AE241=0,0,MAX(0,MIN(10,((VALUE(LEFT(TEXT(M241,"00000000"),4))-VALUE(LEFT(F241,4)))*12+(VALUE(MID(TEXT(M241,"00000000"),5,2))-VALUE(MID(F241,5,2))))/12))))</f>
        <v/>
      </c>
      <c r="AL241" s="20">
        <f>IFERROR(G241*100-AJ241,"")</f>
        <v/>
      </c>
      <c r="AM241" s="20">
        <f>IFERROR(G241*100-(AJ241+(1+AK241)*12.5),"")</f>
        <v/>
      </c>
      <c r="AN241" s="21">
        <f>IFERROR(MIN(H241/1000000,100),"")</f>
        <v/>
      </c>
      <c r="AO241" s="20">
        <f>IFERROR(INDEX(FHA_Lookup!$B$2:$B$11,MATCH(TRUE,ISNUMBER(SEARCH(FHA_Lookup!$A$2:$A$11,UPPER(SUBSTITUTE(O241," ","")))),0)),"OTHER")</f>
        <v/>
      </c>
      <c r="AP241" s="20">
        <f>IFERROR(INDEX(FHA_Lookup!$C$2:$C$11,MATCH(TRUE,ISNUMBER(SEARCH(FHA_Lookup!$A$2:$A$11,UPPER(SUBSTITUTE(O241," ","")))),0)),"OTHER")</f>
        <v/>
      </c>
      <c r="AQ241" s="20">
        <f>IF(AP241="NC",1,0)</f>
        <v/>
      </c>
      <c r="AR241" s="20">
        <f>IF(UPPER(TRIM(P241))="AFF",1,0)</f>
        <v/>
      </c>
      <c r="AS241" s="20">
        <f>IF(UPPER(TRIM(P241))="BAF",1,0)</f>
        <v/>
      </c>
      <c r="AT241" s="20">
        <f>IF(UPPER(TRIM(P241))="MKT",1,0)</f>
        <v/>
      </c>
      <c r="AU241" s="20">
        <f>IF(AO241="221d4",1,0)</f>
        <v/>
      </c>
      <c r="AV241" s="20">
        <f>IF(AO241="223a7",1,0)</f>
        <v/>
      </c>
      <c r="AW241" s="20">
        <f>IF(AO241="232",1,0)</f>
        <v/>
      </c>
      <c r="AX241" s="20">
        <f>IF(AO241="538",1,0)</f>
        <v/>
      </c>
      <c r="AY241" s="20">
        <f>IF(AO241="241",1,0)</f>
        <v/>
      </c>
      <c r="AZ241" s="20">
        <f>IF(AO241="220",1,0)</f>
        <v/>
      </c>
      <c r="BA241" s="20">
        <f>IF(AO241="OTHER",1,0)</f>
        <v/>
      </c>
      <c r="BB241" s="20">
        <f>IF(UPPER(TRIM(C241))="LM",1,0)</f>
        <v/>
      </c>
      <c r="BC241" s="20">
        <f>IF(UPPER(TRIM(C241))="PN",1,0)</f>
        <v/>
      </c>
      <c r="BD241" s="20">
        <f>IF(UPPER(TRIM(C241))="LS",1,0)</f>
        <v/>
      </c>
      <c r="BE241" s="20">
        <f>IF(UPPER(TRIM(C241))="RX",1,0)</f>
        <v/>
      </c>
      <c r="BF241" s="22">
        <f>IFERROR((Parameters!$C$6*AM241+Parameters!$C$7*MAX(AM241-(-150),0)+Parameters!$C$8*MAX(AM241-(-50),0)+Parameters!$C$9*MAX(AM241-(0),0)+Parameters!$C$10*MAX(AM241-(50),0)+Parameters!$C$11*MAX(AM241-(100),0)+Parameters!$C$12*MAX(AM241-(150),0)+Parameters!$C$13*MAX(AM241-(250),0)),0)</f>
        <v/>
      </c>
      <c r="BG241" s="22">
        <f>IFERROR((Parameters!$C$14*AA241+Parameters!$C$15*MAX(AA241-(12),0)+Parameters!$C$16*MAX(AA241-(36),0)+Parameters!$C$17*MAX(AA241-(60),0)+Parameters!$C$18*MAX(AA241-(84),0)+Parameters!$C$19*MAX(AA241-(120),0)+Parameters!$C$20*MAX(AA241-(180),0)),0)</f>
        <v/>
      </c>
      <c r="BH241" s="22">
        <f>IFERROR((Parameters!$C$21*AK241+Parameters!$C$22*MAX(AK241-(0),0)+Parameters!$C$23*MAX(AK241-(2),0)+Parameters!$C$24*MAX(AK241-(5),0)+Parameters!$C$25*MAX(AK241-(8),0)),0)</f>
        <v/>
      </c>
      <c r="BI241" s="22">
        <f>IFERROR((Parameters!$C$26*AI241+Parameters!$C$27*MAX(AI241-(-100),0)+Parameters!$C$28*MAX(AI241-(-25),0)+Parameters!$C$29*MAX(AI241-(25),0)+Parameters!$C$30*MAX(AI241-(100),0)),0)</f>
        <v/>
      </c>
      <c r="BJ241" s="22">
        <f>IFERROR((Parameters!$C$31*AN241+Parameters!$C$32*MAX(AN241-(2),0)+Parameters!$C$33*MAX(AN241-(10),0)+Parameters!$C$34*MAX(AN241-(25),0)),0)</f>
        <v/>
      </c>
      <c r="BK241" s="22">
        <f>IFERROR((Parameters!$C$35*AB241+Parameters!$C$36*MAX(AB241-(12),0)+Parameters!$C$37*MAX(AB241-(24),0)+Parameters!$C$38*MAX(AB241-(60),0)),0)</f>
        <v/>
      </c>
      <c r="BL241" s="22">
        <f>IFERROR((Parameters!$C$39*AC241+Parameters!$C$40*MAX(AC241-(6),0)+Parameters!$C$41*MAX(AC241-(12),0)+Parameters!$C$42*MAX(AC241-(24),0)),0)</f>
        <v/>
      </c>
      <c r="BM241" s="22">
        <f>IFERROR(Parameters!$C$43*(MAX(AM241,0)*MIN(MAX(AK241,0),10))/100,0)</f>
        <v/>
      </c>
      <c r="BN241" s="22">
        <f>Parameters!$C$44*AE241</f>
        <v/>
      </c>
      <c r="BO241" s="22">
        <f>Parameters!$C$45*AU241 + Parameters!$C$46*AV241 + Parameters!$C$47*AW241 + Parameters!$C$48*AX241 + Parameters!$C$49*AY241 + Parameters!$C$50*AZ241 + Parameters!$C$51*BA241</f>
        <v/>
      </c>
      <c r="BP241" s="22">
        <f>Parameters!$C$52*AQ241</f>
        <v/>
      </c>
      <c r="BQ241" s="22">
        <f>Parameters!$C$53*AR241+Parameters!$C$54*AS241+Parameters!$C$55*AT241</f>
        <v/>
      </c>
      <c r="BR241" s="22">
        <f>Parameters!$C$56*BB241+Parameters!$C$57*BC241+Parameters!$C$58*BD241+Parameters!$C$59*BE241</f>
        <v/>
      </c>
      <c r="BS241" s="23">
        <f>Parameters!$B$2</f>
        <v/>
      </c>
      <c r="BT241" s="23">
        <f>BS241+BF241 + BG241 + BH241 + BI241 + BJ241 + BK241 + BL241 + BM241 + BN241 + BO241 + BP241 + BQ241 + BR241</f>
        <v/>
      </c>
      <c r="BU241" s="24">
        <f>IF(AD241=1,0,1/(1+EXP(-BT241))*Parameters!$B$3)</f>
        <v/>
      </c>
      <c r="BV241" s="25">
        <f>(1-(1-BU241)^12)*100</f>
        <v/>
      </c>
      <c r="BW241" s="25">
        <f>IF(AD241=1,0,(1-(1-1/(1+EXP(-Parameters!$B$2)))^12)*100)</f>
        <v/>
      </c>
      <c r="BX241" s="25">
        <f>IF(AD241=1,0,BV241-(1-(1-(1/(1+EXP(-(BT241-BF241)))*Parameters!$B$3))^12)*100)</f>
        <v/>
      </c>
      <c r="BY241" s="25">
        <f>IF(AD241=1,0,BV241-(1-(1-(1/(1+EXP(-(BT241-BG241)))*Parameters!$B$3))^12)*100)</f>
        <v/>
      </c>
      <c r="BZ241" s="25">
        <f>IF(AD241=1,0,BV241-(1-(1-(1/(1+EXP(-(BT241-BH241)))*Parameters!$B$3))^12)*100)</f>
        <v/>
      </c>
      <c r="CA241" s="25">
        <f>IF(AD241=1,0,BV241-(1-(1-(1/(1+EXP(-(BT241-BI241)))*Parameters!$B$3))^12)*100)</f>
        <v/>
      </c>
      <c r="CB241" s="25">
        <f>IF(AD241=1,0,BV241-(1-(1-(1/(1+EXP(-(BT241-BJ241)))*Parameters!$B$3))^12)*100)</f>
        <v/>
      </c>
      <c r="CC241" s="25">
        <f>IF(AD241=1,0,BV241-(1-(1-(1/(1+EXP(-(BT241-BK241)))*Parameters!$B$3))^12)*100)</f>
        <v/>
      </c>
      <c r="CD241" s="25">
        <f>IF(AD241=1,0,BV241-(1-(1-(1/(1+EXP(-(BT241-BL241)))*Parameters!$B$3))^12)*100)</f>
        <v/>
      </c>
      <c r="CE241" s="25">
        <f>IF(AD241=1,0,BV241-(1-(1-(1/(1+EXP(-(BT241-BM241)))*Parameters!$B$3))^12)*100)</f>
        <v/>
      </c>
      <c r="CF241" s="25">
        <f>IF(AD241=1,0,BV241-(1-(1-(1/(1+EXP(-(BT241-BN241)))*Parameters!$B$3))^12)*100)</f>
        <v/>
      </c>
      <c r="CG241" s="25">
        <f>IF(AD241=1,0,BV241-(1-(1-(1/(1+EXP(-(BT241-BO241)))*Parameters!$B$3))^12)*100)</f>
        <v/>
      </c>
      <c r="CH241" s="25">
        <f>IF(AD241=1,0,BV241-(1-(1-(1/(1+EXP(-(BT241-BP241)))*Parameters!$B$3))^12)*100)</f>
        <v/>
      </c>
      <c r="CI241" s="25">
        <f>IF(AD241=1,0,BV241-(1-(1-(1/(1+EXP(-(BT241-BQ241)))*Parameters!$B$3))^12)*100)</f>
        <v/>
      </c>
      <c r="CJ241" s="25">
        <f>IF(AD241=1,0,BV241-(1-(1-(1/(1+EXP(-(BT241-BR241)))*Parameters!$B$3))^12)*100)</f>
        <v/>
      </c>
    </row>
    <row r="242">
      <c r="A242" s="17" t="inlineStr">
        <is>
          <t>GNR_DIVERSE</t>
        </is>
      </c>
      <c r="B242" s="17" t="inlineStr">
        <is>
          <t>3617U4HS8</t>
        </is>
      </c>
      <c r="C242" s="17" t="inlineStr">
        <is>
          <t>LM</t>
        </is>
      </c>
      <c r="D242" s="17" t="inlineStr">
        <is>
          <t>CENTURY HEALTH &amp; HOUSING CAPITAL, LLC</t>
        </is>
      </c>
      <c r="E242" s="17" t="inlineStr">
        <is>
          <t>3617U4HS8_000000001411279</t>
        </is>
      </c>
      <c r="F242" s="17" t="n">
        <v>202603</v>
      </c>
      <c r="G242" s="18" t="n">
        <v>3.32</v>
      </c>
      <c r="H242" s="19" t="n">
        <v>4854996.8</v>
      </c>
      <c r="I242" s="17" t="n">
        <v>403</v>
      </c>
      <c r="J242" s="17" t="n">
        <v>20210331</v>
      </c>
      <c r="K242" s="17" t="n">
        <v>20541101</v>
      </c>
      <c r="L242" s="17" t="n">
        <v>20220501</v>
      </c>
      <c r="M242" s="17" t="n">
        <v>20310501</v>
      </c>
      <c r="N242" s="17" t="n">
        <v>9</v>
      </c>
      <c r="O242" s="17" t="inlineStr">
        <is>
          <t>207/223(f)</t>
        </is>
      </c>
      <c r="P242" s="17" t="inlineStr">
        <is>
          <t>BAF</t>
        </is>
      </c>
      <c r="Q242" s="17" t="inlineStr">
        <is>
          <t>M</t>
        </is>
      </c>
      <c r="R242" s="17" t="n"/>
      <c r="S242" s="17" t="n">
        <v>1</v>
      </c>
      <c r="T242" s="17" t="inlineStr">
        <is>
          <t>NY</t>
        </is>
      </c>
      <c r="U242" s="17" t="n">
        <v>100</v>
      </c>
      <c r="V242" s="17" t="n">
        <v>490.5</v>
      </c>
      <c r="W242" s="17" t="n">
        <v>60</v>
      </c>
      <c r="X242" s="17" t="n">
        <v>2021</v>
      </c>
      <c r="Y242" s="17" t="n">
        <v>74</v>
      </c>
      <c r="Z242" s="17" t="n">
        <v>7</v>
      </c>
      <c r="AA242" s="20">
        <f>IF(ISNUMBER(W242),W242,IFERROR(MAX(0,(VALUE(LEFT(F242,4))-VALUE(LEFT(TEXT(J242,"00000000"),4)))*12+(VALUE(MID(F242,5,2))-VALUE(MID(TEXT(J242,"00000000"),5,2)))),""))</f>
        <v/>
      </c>
      <c r="AB242" s="20">
        <f>IFERROR((VALUE(LEFT(TEXT(K242,"00000000"),4))-VALUE(LEFT(F242,4)))*12+(VALUE(MID(TEXT(K242,"00000000"),5,2))-VALUE(MID(F242,5,2))),"")</f>
        <v/>
      </c>
      <c r="AC242" s="20">
        <f>IF(OR(L242="",NOT(ISNUMBER(L242))),0,MAX(0,MIN(60,(VALUE(LEFT(F242,4))-VALUE(LEFT(TEXT(L242,"00000000"),4)))*12+(VALUE(MID(F242,5,2))-VALUE(MID(TEXT(L242,"00000000"),5,2))))))</f>
        <v/>
      </c>
      <c r="AD242" s="20">
        <f>IF(OR(L242="",NOT(ISNUMBER(L242))),0,IF(VALUE(F242)&lt;VALUE(LEFT(TEXT(L242,"00000000"),6)),1,0))</f>
        <v/>
      </c>
      <c r="AE242" s="20">
        <f>IF(OR(M242="",NOT(ISNUMBER(M242))),0,IF(VALUE(F242)&lt;VALUE(LEFT(TEXT(M242,"00000000"),6)),1,0))</f>
        <v/>
      </c>
      <c r="AF242" s="20">
        <f>IF(AND(AD242=0,AE242=0),1,0)</f>
        <v/>
      </c>
      <c r="AG242" s="20">
        <f>IF(ISNUMBER(X242),X242,IFERROR(VALUE(LEFT(TEXT(J242,"00000000"),4)),""))</f>
        <v/>
      </c>
      <c r="AH242" s="20">
        <f>IFERROR(XLOOKUP(AG242,Vintage_Rates!$A$2:$A$1000,Vintage_Rates!$B$2:$B$1000,""),"")</f>
        <v/>
      </c>
      <c r="AI242" s="20">
        <f>IF(ISNUMBER(Y242),Y242,IFERROR((G242-AH242)*100,""))</f>
        <v/>
      </c>
      <c r="AJ242" s="20">
        <f>IF(ISNUMBER(V242),V242,IFERROR(XLOOKUP(VALUE(F242),PLC_Rates!$A$2:$A$1000,PLC_Rates!$B$2:$B$1000,""),""))</f>
        <v/>
      </c>
      <c r="AK242" s="20">
        <f>IF(ISNUMBER(Z242),Z242,IF(AE242=0,0,MAX(0,MIN(10,((VALUE(LEFT(TEXT(M242,"00000000"),4))-VALUE(LEFT(F242,4)))*12+(VALUE(MID(TEXT(M242,"00000000"),5,2))-VALUE(MID(F242,5,2))))/12))))</f>
        <v/>
      </c>
      <c r="AL242" s="20">
        <f>IFERROR(G242*100-AJ242,"")</f>
        <v/>
      </c>
      <c r="AM242" s="20">
        <f>IFERROR(G242*100-(AJ242+(1+AK242)*12.5),"")</f>
        <v/>
      </c>
      <c r="AN242" s="21">
        <f>IFERROR(MIN(H242/1000000,100),"")</f>
        <v/>
      </c>
      <c r="AO242" s="20">
        <f>IFERROR(INDEX(FHA_Lookup!$B$2:$B$11,MATCH(TRUE,ISNUMBER(SEARCH(FHA_Lookup!$A$2:$A$11,UPPER(SUBSTITUTE(O242," ","")))),0)),"OTHER")</f>
        <v/>
      </c>
      <c r="AP242" s="20">
        <f>IFERROR(INDEX(FHA_Lookup!$C$2:$C$11,MATCH(TRUE,ISNUMBER(SEARCH(FHA_Lookup!$A$2:$A$11,UPPER(SUBSTITUTE(O242," ","")))),0)),"OTHER")</f>
        <v/>
      </c>
      <c r="AQ242" s="20">
        <f>IF(AP242="NC",1,0)</f>
        <v/>
      </c>
      <c r="AR242" s="20">
        <f>IF(UPPER(TRIM(P242))="AFF",1,0)</f>
        <v/>
      </c>
      <c r="AS242" s="20">
        <f>IF(UPPER(TRIM(P242))="BAF",1,0)</f>
        <v/>
      </c>
      <c r="AT242" s="20">
        <f>IF(UPPER(TRIM(P242))="MKT",1,0)</f>
        <v/>
      </c>
      <c r="AU242" s="20">
        <f>IF(AO242="221d4",1,0)</f>
        <v/>
      </c>
      <c r="AV242" s="20">
        <f>IF(AO242="223a7",1,0)</f>
        <v/>
      </c>
      <c r="AW242" s="20">
        <f>IF(AO242="232",1,0)</f>
        <v/>
      </c>
      <c r="AX242" s="20">
        <f>IF(AO242="538",1,0)</f>
        <v/>
      </c>
      <c r="AY242" s="20">
        <f>IF(AO242="241",1,0)</f>
        <v/>
      </c>
      <c r="AZ242" s="20">
        <f>IF(AO242="220",1,0)</f>
        <v/>
      </c>
      <c r="BA242" s="20">
        <f>IF(AO242="OTHER",1,0)</f>
        <v/>
      </c>
      <c r="BB242" s="20">
        <f>IF(UPPER(TRIM(C242))="LM",1,0)</f>
        <v/>
      </c>
      <c r="BC242" s="20">
        <f>IF(UPPER(TRIM(C242))="PN",1,0)</f>
        <v/>
      </c>
      <c r="BD242" s="20">
        <f>IF(UPPER(TRIM(C242))="LS",1,0)</f>
        <v/>
      </c>
      <c r="BE242" s="20">
        <f>IF(UPPER(TRIM(C242))="RX",1,0)</f>
        <v/>
      </c>
      <c r="BF242" s="22">
        <f>IFERROR((Parameters!$C$6*AM242+Parameters!$C$7*MAX(AM242-(-150),0)+Parameters!$C$8*MAX(AM242-(-50),0)+Parameters!$C$9*MAX(AM242-(0),0)+Parameters!$C$10*MAX(AM242-(50),0)+Parameters!$C$11*MAX(AM242-(100),0)+Parameters!$C$12*MAX(AM242-(150),0)+Parameters!$C$13*MAX(AM242-(250),0)),0)</f>
        <v/>
      </c>
      <c r="BG242" s="22">
        <f>IFERROR((Parameters!$C$14*AA242+Parameters!$C$15*MAX(AA242-(12),0)+Parameters!$C$16*MAX(AA242-(36),0)+Parameters!$C$17*MAX(AA242-(60),0)+Parameters!$C$18*MAX(AA242-(84),0)+Parameters!$C$19*MAX(AA242-(120),0)+Parameters!$C$20*MAX(AA242-(180),0)),0)</f>
        <v/>
      </c>
      <c r="BH242" s="22">
        <f>IFERROR((Parameters!$C$21*AK242+Parameters!$C$22*MAX(AK242-(0),0)+Parameters!$C$23*MAX(AK242-(2),0)+Parameters!$C$24*MAX(AK242-(5),0)+Parameters!$C$25*MAX(AK242-(8),0)),0)</f>
        <v/>
      </c>
      <c r="BI242" s="22">
        <f>IFERROR((Parameters!$C$26*AI242+Parameters!$C$27*MAX(AI242-(-100),0)+Parameters!$C$28*MAX(AI242-(-25),0)+Parameters!$C$29*MAX(AI242-(25),0)+Parameters!$C$30*MAX(AI242-(100),0)),0)</f>
        <v/>
      </c>
      <c r="BJ242" s="22">
        <f>IFERROR((Parameters!$C$31*AN242+Parameters!$C$32*MAX(AN242-(2),0)+Parameters!$C$33*MAX(AN242-(10),0)+Parameters!$C$34*MAX(AN242-(25),0)),0)</f>
        <v/>
      </c>
      <c r="BK242" s="22">
        <f>IFERROR((Parameters!$C$35*AB242+Parameters!$C$36*MAX(AB242-(12),0)+Parameters!$C$37*MAX(AB242-(24),0)+Parameters!$C$38*MAX(AB242-(60),0)),0)</f>
        <v/>
      </c>
      <c r="BL242" s="22">
        <f>IFERROR((Parameters!$C$39*AC242+Parameters!$C$40*MAX(AC242-(6),0)+Parameters!$C$41*MAX(AC242-(12),0)+Parameters!$C$42*MAX(AC242-(24),0)),0)</f>
        <v/>
      </c>
      <c r="BM242" s="22">
        <f>IFERROR(Parameters!$C$43*(MAX(AM242,0)*MIN(MAX(AK242,0),10))/100,0)</f>
        <v/>
      </c>
      <c r="BN242" s="22">
        <f>Parameters!$C$44*AE242</f>
        <v/>
      </c>
      <c r="BO242" s="22">
        <f>Parameters!$C$45*AU242 + Parameters!$C$46*AV242 + Parameters!$C$47*AW242 + Parameters!$C$48*AX242 + Parameters!$C$49*AY242 + Parameters!$C$50*AZ242 + Parameters!$C$51*BA242</f>
        <v/>
      </c>
      <c r="BP242" s="22">
        <f>Parameters!$C$52*AQ242</f>
        <v/>
      </c>
      <c r="BQ242" s="22">
        <f>Parameters!$C$53*AR242+Parameters!$C$54*AS242+Parameters!$C$55*AT242</f>
        <v/>
      </c>
      <c r="BR242" s="22">
        <f>Parameters!$C$56*BB242+Parameters!$C$57*BC242+Parameters!$C$58*BD242+Parameters!$C$59*BE242</f>
        <v/>
      </c>
      <c r="BS242" s="23">
        <f>Parameters!$B$2</f>
        <v/>
      </c>
      <c r="BT242" s="23">
        <f>BS242+BF242 + BG242 + BH242 + BI242 + BJ242 + BK242 + BL242 + BM242 + BN242 + BO242 + BP242 + BQ242 + BR242</f>
        <v/>
      </c>
      <c r="BU242" s="24">
        <f>IF(AD242=1,0,1/(1+EXP(-BT242))*Parameters!$B$3)</f>
        <v/>
      </c>
      <c r="BV242" s="25">
        <f>(1-(1-BU242)^12)*100</f>
        <v/>
      </c>
      <c r="BW242" s="25">
        <f>IF(AD242=1,0,(1-(1-1/(1+EXP(-Parameters!$B$2)))^12)*100)</f>
        <v/>
      </c>
      <c r="BX242" s="25">
        <f>IF(AD242=1,0,BV242-(1-(1-(1/(1+EXP(-(BT242-BF242)))*Parameters!$B$3))^12)*100)</f>
        <v/>
      </c>
      <c r="BY242" s="25">
        <f>IF(AD242=1,0,BV242-(1-(1-(1/(1+EXP(-(BT242-BG242)))*Parameters!$B$3))^12)*100)</f>
        <v/>
      </c>
      <c r="BZ242" s="25">
        <f>IF(AD242=1,0,BV242-(1-(1-(1/(1+EXP(-(BT242-BH242)))*Parameters!$B$3))^12)*100)</f>
        <v/>
      </c>
      <c r="CA242" s="25">
        <f>IF(AD242=1,0,BV242-(1-(1-(1/(1+EXP(-(BT242-BI242)))*Parameters!$B$3))^12)*100)</f>
        <v/>
      </c>
      <c r="CB242" s="25">
        <f>IF(AD242=1,0,BV242-(1-(1-(1/(1+EXP(-(BT242-BJ242)))*Parameters!$B$3))^12)*100)</f>
        <v/>
      </c>
      <c r="CC242" s="25">
        <f>IF(AD242=1,0,BV242-(1-(1-(1/(1+EXP(-(BT242-BK242)))*Parameters!$B$3))^12)*100)</f>
        <v/>
      </c>
      <c r="CD242" s="25">
        <f>IF(AD242=1,0,BV242-(1-(1-(1/(1+EXP(-(BT242-BL242)))*Parameters!$B$3))^12)*100)</f>
        <v/>
      </c>
      <c r="CE242" s="25">
        <f>IF(AD242=1,0,BV242-(1-(1-(1/(1+EXP(-(BT242-BM242)))*Parameters!$B$3))^12)*100)</f>
        <v/>
      </c>
      <c r="CF242" s="25">
        <f>IF(AD242=1,0,BV242-(1-(1-(1/(1+EXP(-(BT242-BN242)))*Parameters!$B$3))^12)*100)</f>
        <v/>
      </c>
      <c r="CG242" s="25">
        <f>IF(AD242=1,0,BV242-(1-(1-(1/(1+EXP(-(BT242-BO242)))*Parameters!$B$3))^12)*100)</f>
        <v/>
      </c>
      <c r="CH242" s="25">
        <f>IF(AD242=1,0,BV242-(1-(1-(1/(1+EXP(-(BT242-BP242)))*Parameters!$B$3))^12)*100)</f>
        <v/>
      </c>
      <c r="CI242" s="25">
        <f>IF(AD242=1,0,BV242-(1-(1-(1/(1+EXP(-(BT242-BQ242)))*Parameters!$B$3))^12)*100)</f>
        <v/>
      </c>
      <c r="CJ242" s="25">
        <f>IF(AD242=1,0,BV242-(1-(1-(1/(1+EXP(-(BT242-BR242)))*Parameters!$B$3))^12)*100)</f>
        <v/>
      </c>
    </row>
    <row r="243">
      <c r="A243" s="17" t="inlineStr">
        <is>
          <t>GNR_USDA_538</t>
        </is>
      </c>
      <c r="B243" s="17" t="inlineStr">
        <is>
          <t>3617NW2X9</t>
        </is>
      </c>
      <c r="C243" s="17" t="inlineStr">
        <is>
          <t>PN</t>
        </is>
      </c>
      <c r="D243" s="17" t="inlineStr">
        <is>
          <t>GREYSTONE SERVICING COMPANY LLC</t>
        </is>
      </c>
      <c r="E243" s="17" t="inlineStr">
        <is>
          <t>3617NW2X9_020090958894014</t>
        </is>
      </c>
      <c r="F243" s="17" t="n">
        <v>202603</v>
      </c>
      <c r="G243" s="18" t="n">
        <v>3.8</v>
      </c>
      <c r="H243" s="19" t="n">
        <v>451560.86</v>
      </c>
      <c r="I243" s="17" t="n">
        <v>476</v>
      </c>
      <c r="J243" s="17" t="n">
        <v>20210304</v>
      </c>
      <c r="K243" s="17" t="n">
        <v>20610401</v>
      </c>
      <c r="L243" s="17" t="n"/>
      <c r="M243" s="17" t="n">
        <v>20310901</v>
      </c>
      <c r="N243" s="17" t="n">
        <v>10</v>
      </c>
      <c r="O243" s="17" t="inlineStr">
        <is>
          <t>538</t>
        </is>
      </c>
      <c r="P243" s="17" t="n"/>
      <c r="Q243" s="17" t="n"/>
      <c r="R243" s="17" t="n"/>
      <c r="S243" s="17" t="n"/>
      <c r="T243" s="17" t="inlineStr">
        <is>
          <t>KY</t>
        </is>
      </c>
      <c r="U243" s="17" t="n">
        <v>0</v>
      </c>
      <c r="V243" s="17" t="n">
        <v>490.5</v>
      </c>
      <c r="W243" s="17" t="n">
        <v>60</v>
      </c>
      <c r="X243" s="17" t="n">
        <v>2021</v>
      </c>
      <c r="Y243" s="17" t="n">
        <v>122</v>
      </c>
      <c r="Z243" s="17" t="n">
        <v>6</v>
      </c>
      <c r="AA243" s="20">
        <f>IF(ISNUMBER(W243),W243,IFERROR(MAX(0,(VALUE(LEFT(F243,4))-VALUE(LEFT(TEXT(J243,"00000000"),4)))*12+(VALUE(MID(F243,5,2))-VALUE(MID(TEXT(J243,"00000000"),5,2)))),""))</f>
        <v/>
      </c>
      <c r="AB243" s="20">
        <f>IFERROR((VALUE(LEFT(TEXT(K243,"00000000"),4))-VALUE(LEFT(F243,4)))*12+(VALUE(MID(TEXT(K243,"00000000"),5,2))-VALUE(MID(F243,5,2))),"")</f>
        <v/>
      </c>
      <c r="AC243" s="20">
        <f>IF(OR(L243="",NOT(ISNUMBER(L243))),0,MAX(0,MIN(60,(VALUE(LEFT(F243,4))-VALUE(LEFT(TEXT(L243,"00000000"),4)))*12+(VALUE(MID(F243,5,2))-VALUE(MID(TEXT(L243,"00000000"),5,2))))))</f>
        <v/>
      </c>
      <c r="AD243" s="20">
        <f>IF(OR(L243="",NOT(ISNUMBER(L243))),0,IF(VALUE(F243)&lt;VALUE(LEFT(TEXT(L243,"00000000"),6)),1,0))</f>
        <v/>
      </c>
      <c r="AE243" s="20">
        <f>IF(OR(M243="",NOT(ISNUMBER(M243))),0,IF(VALUE(F243)&lt;VALUE(LEFT(TEXT(M243,"00000000"),6)),1,0))</f>
        <v/>
      </c>
      <c r="AF243" s="20">
        <f>IF(AND(AD243=0,AE243=0),1,0)</f>
        <v/>
      </c>
      <c r="AG243" s="20">
        <f>IF(ISNUMBER(X243),X243,IFERROR(VALUE(LEFT(TEXT(J243,"00000000"),4)),""))</f>
        <v/>
      </c>
      <c r="AH243" s="20">
        <f>IFERROR(XLOOKUP(AG243,Vintage_Rates!$A$2:$A$1000,Vintage_Rates!$B$2:$B$1000,""),"")</f>
        <v/>
      </c>
      <c r="AI243" s="20">
        <f>IF(ISNUMBER(Y243),Y243,IFERROR((G243-AH243)*100,""))</f>
        <v/>
      </c>
      <c r="AJ243" s="20">
        <f>IF(ISNUMBER(V243),V243,IFERROR(XLOOKUP(VALUE(F243),PLC_Rates!$A$2:$A$1000,PLC_Rates!$B$2:$B$1000,""),""))</f>
        <v/>
      </c>
      <c r="AK243" s="20">
        <f>IF(ISNUMBER(Z243),Z243,IF(AE243=0,0,MAX(0,MIN(10,((VALUE(LEFT(TEXT(M243,"00000000"),4))-VALUE(LEFT(F243,4)))*12+(VALUE(MID(TEXT(M243,"00000000"),5,2))-VALUE(MID(F243,5,2))))/12))))</f>
        <v/>
      </c>
      <c r="AL243" s="20">
        <f>IFERROR(G243*100-AJ243,"")</f>
        <v/>
      </c>
      <c r="AM243" s="20">
        <f>IFERROR(G243*100-(AJ243+(1+AK243)*12.5),"")</f>
        <v/>
      </c>
      <c r="AN243" s="21">
        <f>IFERROR(MIN(H243/1000000,100),"")</f>
        <v/>
      </c>
      <c r="AO243" s="20">
        <f>IFERROR(INDEX(FHA_Lookup!$B$2:$B$11,MATCH(TRUE,ISNUMBER(SEARCH(FHA_Lookup!$A$2:$A$11,UPPER(SUBSTITUTE(O243," ","")))),0)),"OTHER")</f>
        <v/>
      </c>
      <c r="AP243" s="20">
        <f>IFERROR(INDEX(FHA_Lookup!$C$2:$C$11,MATCH(TRUE,ISNUMBER(SEARCH(FHA_Lookup!$A$2:$A$11,UPPER(SUBSTITUTE(O243," ","")))),0)),"OTHER")</f>
        <v/>
      </c>
      <c r="AQ243" s="20">
        <f>IF(AP243="NC",1,0)</f>
        <v/>
      </c>
      <c r="AR243" s="20">
        <f>IF(UPPER(TRIM(P243))="AFF",1,0)</f>
        <v/>
      </c>
      <c r="AS243" s="20">
        <f>IF(UPPER(TRIM(P243))="BAF",1,0)</f>
        <v/>
      </c>
      <c r="AT243" s="20">
        <f>IF(UPPER(TRIM(P243))="MKT",1,0)</f>
        <v/>
      </c>
      <c r="AU243" s="20">
        <f>IF(AO243="221d4",1,0)</f>
        <v/>
      </c>
      <c r="AV243" s="20">
        <f>IF(AO243="223a7",1,0)</f>
        <v/>
      </c>
      <c r="AW243" s="20">
        <f>IF(AO243="232",1,0)</f>
        <v/>
      </c>
      <c r="AX243" s="20">
        <f>IF(AO243="538",1,0)</f>
        <v/>
      </c>
      <c r="AY243" s="20">
        <f>IF(AO243="241",1,0)</f>
        <v/>
      </c>
      <c r="AZ243" s="20">
        <f>IF(AO243="220",1,0)</f>
        <v/>
      </c>
      <c r="BA243" s="20">
        <f>IF(AO243="OTHER",1,0)</f>
        <v/>
      </c>
      <c r="BB243" s="20">
        <f>IF(UPPER(TRIM(C243))="LM",1,0)</f>
        <v/>
      </c>
      <c r="BC243" s="20">
        <f>IF(UPPER(TRIM(C243))="PN",1,0)</f>
        <v/>
      </c>
      <c r="BD243" s="20">
        <f>IF(UPPER(TRIM(C243))="LS",1,0)</f>
        <v/>
      </c>
      <c r="BE243" s="20">
        <f>IF(UPPER(TRIM(C243))="RX",1,0)</f>
        <v/>
      </c>
      <c r="BF243" s="22">
        <f>IFERROR((Parameters!$C$6*AM243+Parameters!$C$7*MAX(AM243-(-150),0)+Parameters!$C$8*MAX(AM243-(-50),0)+Parameters!$C$9*MAX(AM243-(0),0)+Parameters!$C$10*MAX(AM243-(50),0)+Parameters!$C$11*MAX(AM243-(100),0)+Parameters!$C$12*MAX(AM243-(150),0)+Parameters!$C$13*MAX(AM243-(250),0)),0)</f>
        <v/>
      </c>
      <c r="BG243" s="22">
        <f>IFERROR((Parameters!$C$14*AA243+Parameters!$C$15*MAX(AA243-(12),0)+Parameters!$C$16*MAX(AA243-(36),0)+Parameters!$C$17*MAX(AA243-(60),0)+Parameters!$C$18*MAX(AA243-(84),0)+Parameters!$C$19*MAX(AA243-(120),0)+Parameters!$C$20*MAX(AA243-(180),0)),0)</f>
        <v/>
      </c>
      <c r="BH243" s="22">
        <f>IFERROR((Parameters!$C$21*AK243+Parameters!$C$22*MAX(AK243-(0),0)+Parameters!$C$23*MAX(AK243-(2),0)+Parameters!$C$24*MAX(AK243-(5),0)+Parameters!$C$25*MAX(AK243-(8),0)),0)</f>
        <v/>
      </c>
      <c r="BI243" s="22">
        <f>IFERROR((Parameters!$C$26*AI243+Parameters!$C$27*MAX(AI243-(-100),0)+Parameters!$C$28*MAX(AI243-(-25),0)+Parameters!$C$29*MAX(AI243-(25),0)+Parameters!$C$30*MAX(AI243-(100),0)),0)</f>
        <v/>
      </c>
      <c r="BJ243" s="22">
        <f>IFERROR((Parameters!$C$31*AN243+Parameters!$C$32*MAX(AN243-(2),0)+Parameters!$C$33*MAX(AN243-(10),0)+Parameters!$C$34*MAX(AN243-(25),0)),0)</f>
        <v/>
      </c>
      <c r="BK243" s="22">
        <f>IFERROR((Parameters!$C$35*AB243+Parameters!$C$36*MAX(AB243-(12),0)+Parameters!$C$37*MAX(AB243-(24),0)+Parameters!$C$38*MAX(AB243-(60),0)),0)</f>
        <v/>
      </c>
      <c r="BL243" s="22">
        <f>IFERROR((Parameters!$C$39*AC243+Parameters!$C$40*MAX(AC243-(6),0)+Parameters!$C$41*MAX(AC243-(12),0)+Parameters!$C$42*MAX(AC243-(24),0)),0)</f>
        <v/>
      </c>
      <c r="BM243" s="22">
        <f>IFERROR(Parameters!$C$43*(MAX(AM243,0)*MIN(MAX(AK243,0),10))/100,0)</f>
        <v/>
      </c>
      <c r="BN243" s="22">
        <f>Parameters!$C$44*AE243</f>
        <v/>
      </c>
      <c r="BO243" s="22">
        <f>Parameters!$C$45*AU243 + Parameters!$C$46*AV243 + Parameters!$C$47*AW243 + Parameters!$C$48*AX243 + Parameters!$C$49*AY243 + Parameters!$C$50*AZ243 + Parameters!$C$51*BA243</f>
        <v/>
      </c>
      <c r="BP243" s="22">
        <f>Parameters!$C$52*AQ243</f>
        <v/>
      </c>
      <c r="BQ243" s="22">
        <f>Parameters!$C$53*AR243+Parameters!$C$54*AS243+Parameters!$C$55*AT243</f>
        <v/>
      </c>
      <c r="BR243" s="22">
        <f>Parameters!$C$56*BB243+Parameters!$C$57*BC243+Parameters!$C$58*BD243+Parameters!$C$59*BE243</f>
        <v/>
      </c>
      <c r="BS243" s="23">
        <f>Parameters!$B$2</f>
        <v/>
      </c>
      <c r="BT243" s="23">
        <f>BS243+BF243 + BG243 + BH243 + BI243 + BJ243 + BK243 + BL243 + BM243 + BN243 + BO243 + BP243 + BQ243 + BR243</f>
        <v/>
      </c>
      <c r="BU243" s="24">
        <f>IF(AD243=1,0,1/(1+EXP(-BT243))*Parameters!$B$3)</f>
        <v/>
      </c>
      <c r="BV243" s="25">
        <f>(1-(1-BU243)^12)*100</f>
        <v/>
      </c>
      <c r="BW243" s="25">
        <f>IF(AD243=1,0,(1-(1-1/(1+EXP(-Parameters!$B$2)))^12)*100)</f>
        <v/>
      </c>
      <c r="BX243" s="25">
        <f>IF(AD243=1,0,BV243-(1-(1-(1/(1+EXP(-(BT243-BF243)))*Parameters!$B$3))^12)*100)</f>
        <v/>
      </c>
      <c r="BY243" s="25">
        <f>IF(AD243=1,0,BV243-(1-(1-(1/(1+EXP(-(BT243-BG243)))*Parameters!$B$3))^12)*100)</f>
        <v/>
      </c>
      <c r="BZ243" s="25">
        <f>IF(AD243=1,0,BV243-(1-(1-(1/(1+EXP(-(BT243-BH243)))*Parameters!$B$3))^12)*100)</f>
        <v/>
      </c>
      <c r="CA243" s="25">
        <f>IF(AD243=1,0,BV243-(1-(1-(1/(1+EXP(-(BT243-BI243)))*Parameters!$B$3))^12)*100)</f>
        <v/>
      </c>
      <c r="CB243" s="25">
        <f>IF(AD243=1,0,BV243-(1-(1-(1/(1+EXP(-(BT243-BJ243)))*Parameters!$B$3))^12)*100)</f>
        <v/>
      </c>
      <c r="CC243" s="25">
        <f>IF(AD243=1,0,BV243-(1-(1-(1/(1+EXP(-(BT243-BK243)))*Parameters!$B$3))^12)*100)</f>
        <v/>
      </c>
      <c r="CD243" s="25">
        <f>IF(AD243=1,0,BV243-(1-(1-(1/(1+EXP(-(BT243-BL243)))*Parameters!$B$3))^12)*100)</f>
        <v/>
      </c>
      <c r="CE243" s="25">
        <f>IF(AD243=1,0,BV243-(1-(1-(1/(1+EXP(-(BT243-BM243)))*Parameters!$B$3))^12)*100)</f>
        <v/>
      </c>
      <c r="CF243" s="25">
        <f>IF(AD243=1,0,BV243-(1-(1-(1/(1+EXP(-(BT243-BN243)))*Parameters!$B$3))^12)*100)</f>
        <v/>
      </c>
      <c r="CG243" s="25">
        <f>IF(AD243=1,0,BV243-(1-(1-(1/(1+EXP(-(BT243-BO243)))*Parameters!$B$3))^12)*100)</f>
        <v/>
      </c>
      <c r="CH243" s="25">
        <f>IF(AD243=1,0,BV243-(1-(1-(1/(1+EXP(-(BT243-BP243)))*Parameters!$B$3))^12)*100)</f>
        <v/>
      </c>
      <c r="CI243" s="25">
        <f>IF(AD243=1,0,BV243-(1-(1-(1/(1+EXP(-(BT243-BQ243)))*Parameters!$B$3))^12)*100)</f>
        <v/>
      </c>
      <c r="CJ243" s="25">
        <f>IF(AD243=1,0,BV243-(1-(1-(1/(1+EXP(-(BT243-BR243)))*Parameters!$B$3))^12)*100)</f>
        <v/>
      </c>
    </row>
    <row r="244">
      <c r="A244" s="17" t="inlineStr">
        <is>
          <t>GNR_USDA_538</t>
        </is>
      </c>
      <c r="B244" s="17" t="inlineStr">
        <is>
          <t>36183PDQ7</t>
        </is>
      </c>
      <c r="C244" s="17" t="inlineStr">
        <is>
          <t>PN</t>
        </is>
      </c>
      <c r="D244" s="17" t="inlineStr">
        <is>
          <t>CHURCHILL MORTGAGE INVESTMENT LLC</t>
        </is>
      </c>
      <c r="E244" s="17" t="inlineStr">
        <is>
          <t>36183PDQ7_046028387592254</t>
        </is>
      </c>
      <c r="F244" s="17" t="n">
        <v>202603</v>
      </c>
      <c r="G244" s="18" t="n">
        <v>4.25</v>
      </c>
      <c r="H244" s="19" t="n">
        <v>1054521.76</v>
      </c>
      <c r="I244" s="17" t="n">
        <v>371</v>
      </c>
      <c r="J244" s="17" t="n">
        <v>20141201</v>
      </c>
      <c r="K244" s="17" t="n">
        <v>20460201</v>
      </c>
      <c r="L244" s="17" t="n"/>
      <c r="M244" s="17" t="n">
        <v>20260301</v>
      </c>
      <c r="N244" s="17" t="n">
        <v>10</v>
      </c>
      <c r="O244" s="17" t="inlineStr">
        <is>
          <t>538</t>
        </is>
      </c>
      <c r="P244" s="17" t="n"/>
      <c r="Q244" s="17" t="n"/>
      <c r="R244" s="17" t="n"/>
      <c r="S244" s="17" t="n"/>
      <c r="T244" s="17" t="inlineStr">
        <is>
          <t>SC</t>
        </is>
      </c>
      <c r="U244" s="17" t="n">
        <v>0</v>
      </c>
      <c r="V244" s="17" t="n">
        <v>490.5</v>
      </c>
      <c r="W244" s="17" t="n">
        <v>135</v>
      </c>
      <c r="X244" s="17" t="n">
        <v>2014</v>
      </c>
      <c r="Y244" s="17" t="n">
        <v>40</v>
      </c>
      <c r="Z244" s="17" t="n">
        <v>0</v>
      </c>
      <c r="AA244" s="20">
        <f>IF(ISNUMBER(W244),W244,IFERROR(MAX(0,(VALUE(LEFT(F244,4))-VALUE(LEFT(TEXT(J244,"00000000"),4)))*12+(VALUE(MID(F244,5,2))-VALUE(MID(TEXT(J244,"00000000"),5,2)))),""))</f>
        <v/>
      </c>
      <c r="AB244" s="20">
        <f>IFERROR((VALUE(LEFT(TEXT(K244,"00000000"),4))-VALUE(LEFT(F244,4)))*12+(VALUE(MID(TEXT(K244,"00000000"),5,2))-VALUE(MID(F244,5,2))),"")</f>
        <v/>
      </c>
      <c r="AC244" s="20">
        <f>IF(OR(L244="",NOT(ISNUMBER(L244))),0,MAX(0,MIN(60,(VALUE(LEFT(F244,4))-VALUE(LEFT(TEXT(L244,"00000000"),4)))*12+(VALUE(MID(F244,5,2))-VALUE(MID(TEXT(L244,"00000000"),5,2))))))</f>
        <v/>
      </c>
      <c r="AD244" s="20">
        <f>IF(OR(L244="",NOT(ISNUMBER(L244))),0,IF(VALUE(F244)&lt;VALUE(LEFT(TEXT(L244,"00000000"),6)),1,0))</f>
        <v/>
      </c>
      <c r="AE244" s="20">
        <f>IF(OR(M244="",NOT(ISNUMBER(M244))),0,IF(VALUE(F244)&lt;VALUE(LEFT(TEXT(M244,"00000000"),6)),1,0))</f>
        <v/>
      </c>
      <c r="AF244" s="20">
        <f>IF(AND(AD244=0,AE244=0),1,0)</f>
        <v/>
      </c>
      <c r="AG244" s="20">
        <f>IF(ISNUMBER(X244),X244,IFERROR(VALUE(LEFT(TEXT(J244,"00000000"),4)),""))</f>
        <v/>
      </c>
      <c r="AH244" s="20">
        <f>IFERROR(XLOOKUP(AG244,Vintage_Rates!$A$2:$A$1000,Vintage_Rates!$B$2:$B$1000,""),"")</f>
        <v/>
      </c>
      <c r="AI244" s="20">
        <f>IF(ISNUMBER(Y244),Y244,IFERROR((G244-AH244)*100,""))</f>
        <v/>
      </c>
      <c r="AJ244" s="20">
        <f>IF(ISNUMBER(V244),V244,IFERROR(XLOOKUP(VALUE(F244),PLC_Rates!$A$2:$A$1000,PLC_Rates!$B$2:$B$1000,""),""))</f>
        <v/>
      </c>
      <c r="AK244" s="20">
        <f>IF(ISNUMBER(Z244),Z244,IF(AE244=0,0,MAX(0,MIN(10,((VALUE(LEFT(TEXT(M244,"00000000"),4))-VALUE(LEFT(F244,4)))*12+(VALUE(MID(TEXT(M244,"00000000"),5,2))-VALUE(MID(F244,5,2))))/12))))</f>
        <v/>
      </c>
      <c r="AL244" s="20">
        <f>IFERROR(G244*100-AJ244,"")</f>
        <v/>
      </c>
      <c r="AM244" s="20">
        <f>IFERROR(G244*100-(AJ244+(1+AK244)*12.5),"")</f>
        <v/>
      </c>
      <c r="AN244" s="21">
        <f>IFERROR(MIN(H244/1000000,100),"")</f>
        <v/>
      </c>
      <c r="AO244" s="20">
        <f>IFERROR(INDEX(FHA_Lookup!$B$2:$B$11,MATCH(TRUE,ISNUMBER(SEARCH(FHA_Lookup!$A$2:$A$11,UPPER(SUBSTITUTE(O244," ","")))),0)),"OTHER")</f>
        <v/>
      </c>
      <c r="AP244" s="20">
        <f>IFERROR(INDEX(FHA_Lookup!$C$2:$C$11,MATCH(TRUE,ISNUMBER(SEARCH(FHA_Lookup!$A$2:$A$11,UPPER(SUBSTITUTE(O244," ","")))),0)),"OTHER")</f>
        <v/>
      </c>
      <c r="AQ244" s="20">
        <f>IF(AP244="NC",1,0)</f>
        <v/>
      </c>
      <c r="AR244" s="20">
        <f>IF(UPPER(TRIM(P244))="AFF",1,0)</f>
        <v/>
      </c>
      <c r="AS244" s="20">
        <f>IF(UPPER(TRIM(P244))="BAF",1,0)</f>
        <v/>
      </c>
      <c r="AT244" s="20">
        <f>IF(UPPER(TRIM(P244))="MKT",1,0)</f>
        <v/>
      </c>
      <c r="AU244" s="20">
        <f>IF(AO244="221d4",1,0)</f>
        <v/>
      </c>
      <c r="AV244" s="20">
        <f>IF(AO244="223a7",1,0)</f>
        <v/>
      </c>
      <c r="AW244" s="20">
        <f>IF(AO244="232",1,0)</f>
        <v/>
      </c>
      <c r="AX244" s="20">
        <f>IF(AO244="538",1,0)</f>
        <v/>
      </c>
      <c r="AY244" s="20">
        <f>IF(AO244="241",1,0)</f>
        <v/>
      </c>
      <c r="AZ244" s="20">
        <f>IF(AO244="220",1,0)</f>
        <v/>
      </c>
      <c r="BA244" s="20">
        <f>IF(AO244="OTHER",1,0)</f>
        <v/>
      </c>
      <c r="BB244" s="20">
        <f>IF(UPPER(TRIM(C244))="LM",1,0)</f>
        <v/>
      </c>
      <c r="BC244" s="20">
        <f>IF(UPPER(TRIM(C244))="PN",1,0)</f>
        <v/>
      </c>
      <c r="BD244" s="20">
        <f>IF(UPPER(TRIM(C244))="LS",1,0)</f>
        <v/>
      </c>
      <c r="BE244" s="20">
        <f>IF(UPPER(TRIM(C244))="RX",1,0)</f>
        <v/>
      </c>
      <c r="BF244" s="22">
        <f>IFERROR((Parameters!$C$6*AM244+Parameters!$C$7*MAX(AM244-(-150),0)+Parameters!$C$8*MAX(AM244-(-50),0)+Parameters!$C$9*MAX(AM244-(0),0)+Parameters!$C$10*MAX(AM244-(50),0)+Parameters!$C$11*MAX(AM244-(100),0)+Parameters!$C$12*MAX(AM244-(150),0)+Parameters!$C$13*MAX(AM244-(250),0)),0)</f>
        <v/>
      </c>
      <c r="BG244" s="22">
        <f>IFERROR((Parameters!$C$14*AA244+Parameters!$C$15*MAX(AA244-(12),0)+Parameters!$C$16*MAX(AA244-(36),0)+Parameters!$C$17*MAX(AA244-(60),0)+Parameters!$C$18*MAX(AA244-(84),0)+Parameters!$C$19*MAX(AA244-(120),0)+Parameters!$C$20*MAX(AA244-(180),0)),0)</f>
        <v/>
      </c>
      <c r="BH244" s="22">
        <f>IFERROR((Parameters!$C$21*AK244+Parameters!$C$22*MAX(AK244-(0),0)+Parameters!$C$23*MAX(AK244-(2),0)+Parameters!$C$24*MAX(AK244-(5),0)+Parameters!$C$25*MAX(AK244-(8),0)),0)</f>
        <v/>
      </c>
      <c r="BI244" s="22">
        <f>IFERROR((Parameters!$C$26*AI244+Parameters!$C$27*MAX(AI244-(-100),0)+Parameters!$C$28*MAX(AI244-(-25),0)+Parameters!$C$29*MAX(AI244-(25),0)+Parameters!$C$30*MAX(AI244-(100),0)),0)</f>
        <v/>
      </c>
      <c r="BJ244" s="22">
        <f>IFERROR((Parameters!$C$31*AN244+Parameters!$C$32*MAX(AN244-(2),0)+Parameters!$C$33*MAX(AN244-(10),0)+Parameters!$C$34*MAX(AN244-(25),0)),0)</f>
        <v/>
      </c>
      <c r="BK244" s="22">
        <f>IFERROR((Parameters!$C$35*AB244+Parameters!$C$36*MAX(AB244-(12),0)+Parameters!$C$37*MAX(AB244-(24),0)+Parameters!$C$38*MAX(AB244-(60),0)),0)</f>
        <v/>
      </c>
      <c r="BL244" s="22">
        <f>IFERROR((Parameters!$C$39*AC244+Parameters!$C$40*MAX(AC244-(6),0)+Parameters!$C$41*MAX(AC244-(12),0)+Parameters!$C$42*MAX(AC244-(24),0)),0)</f>
        <v/>
      </c>
      <c r="BM244" s="22">
        <f>IFERROR(Parameters!$C$43*(MAX(AM244,0)*MIN(MAX(AK244,0),10))/100,0)</f>
        <v/>
      </c>
      <c r="BN244" s="22">
        <f>Parameters!$C$44*AE244</f>
        <v/>
      </c>
      <c r="BO244" s="22">
        <f>Parameters!$C$45*AU244 + Parameters!$C$46*AV244 + Parameters!$C$47*AW244 + Parameters!$C$48*AX244 + Parameters!$C$49*AY244 + Parameters!$C$50*AZ244 + Parameters!$C$51*BA244</f>
        <v/>
      </c>
      <c r="BP244" s="22">
        <f>Parameters!$C$52*AQ244</f>
        <v/>
      </c>
      <c r="BQ244" s="22">
        <f>Parameters!$C$53*AR244+Parameters!$C$54*AS244+Parameters!$C$55*AT244</f>
        <v/>
      </c>
      <c r="BR244" s="22">
        <f>Parameters!$C$56*BB244+Parameters!$C$57*BC244+Parameters!$C$58*BD244+Parameters!$C$59*BE244</f>
        <v/>
      </c>
      <c r="BS244" s="23">
        <f>Parameters!$B$2</f>
        <v/>
      </c>
      <c r="BT244" s="23">
        <f>BS244+BF244 + BG244 + BH244 + BI244 + BJ244 + BK244 + BL244 + BM244 + BN244 + BO244 + BP244 + BQ244 + BR244</f>
        <v/>
      </c>
      <c r="BU244" s="24">
        <f>IF(AD244=1,0,1/(1+EXP(-BT244))*Parameters!$B$3)</f>
        <v/>
      </c>
      <c r="BV244" s="25">
        <f>(1-(1-BU244)^12)*100</f>
        <v/>
      </c>
      <c r="BW244" s="25">
        <f>IF(AD244=1,0,(1-(1-1/(1+EXP(-Parameters!$B$2)))^12)*100)</f>
        <v/>
      </c>
      <c r="BX244" s="25">
        <f>IF(AD244=1,0,BV244-(1-(1-(1/(1+EXP(-(BT244-BF244)))*Parameters!$B$3))^12)*100)</f>
        <v/>
      </c>
      <c r="BY244" s="25">
        <f>IF(AD244=1,0,BV244-(1-(1-(1/(1+EXP(-(BT244-BG244)))*Parameters!$B$3))^12)*100)</f>
        <v/>
      </c>
      <c r="BZ244" s="25">
        <f>IF(AD244=1,0,BV244-(1-(1-(1/(1+EXP(-(BT244-BH244)))*Parameters!$B$3))^12)*100)</f>
        <v/>
      </c>
      <c r="CA244" s="25">
        <f>IF(AD244=1,0,BV244-(1-(1-(1/(1+EXP(-(BT244-BI244)))*Parameters!$B$3))^12)*100)</f>
        <v/>
      </c>
      <c r="CB244" s="25">
        <f>IF(AD244=1,0,BV244-(1-(1-(1/(1+EXP(-(BT244-BJ244)))*Parameters!$B$3))^12)*100)</f>
        <v/>
      </c>
      <c r="CC244" s="25">
        <f>IF(AD244=1,0,BV244-(1-(1-(1/(1+EXP(-(BT244-BK244)))*Parameters!$B$3))^12)*100)</f>
        <v/>
      </c>
      <c r="CD244" s="25">
        <f>IF(AD244=1,0,BV244-(1-(1-(1/(1+EXP(-(BT244-BL244)))*Parameters!$B$3))^12)*100)</f>
        <v/>
      </c>
      <c r="CE244" s="25">
        <f>IF(AD244=1,0,BV244-(1-(1-(1/(1+EXP(-(BT244-BM244)))*Parameters!$B$3))^12)*100)</f>
        <v/>
      </c>
      <c r="CF244" s="25">
        <f>IF(AD244=1,0,BV244-(1-(1-(1/(1+EXP(-(BT244-BN244)))*Parameters!$B$3))^12)*100)</f>
        <v/>
      </c>
      <c r="CG244" s="25">
        <f>IF(AD244=1,0,BV244-(1-(1-(1/(1+EXP(-(BT244-BO244)))*Parameters!$B$3))^12)*100)</f>
        <v/>
      </c>
      <c r="CH244" s="25">
        <f>IF(AD244=1,0,BV244-(1-(1-(1/(1+EXP(-(BT244-BP244)))*Parameters!$B$3))^12)*100)</f>
        <v/>
      </c>
      <c r="CI244" s="25">
        <f>IF(AD244=1,0,BV244-(1-(1-(1/(1+EXP(-(BT244-BQ244)))*Parameters!$B$3))^12)*100)</f>
        <v/>
      </c>
      <c r="CJ244" s="25">
        <f>IF(AD244=1,0,BV244-(1-(1-(1/(1+EXP(-(BT244-BR244)))*Parameters!$B$3))^12)*100)</f>
        <v/>
      </c>
    </row>
    <row r="245">
      <c r="A245" s="17" t="inlineStr">
        <is>
          <t>GNR_USDA_538</t>
        </is>
      </c>
      <c r="B245" s="17" t="inlineStr">
        <is>
          <t>36294YU77</t>
        </is>
      </c>
      <c r="C245" s="17" t="inlineStr">
        <is>
          <t>PN</t>
        </is>
      </c>
      <c r="D245" s="17" t="inlineStr">
        <is>
          <t>LUMENT REAL ESTATE CAPITAL,LLC</t>
        </is>
      </c>
      <c r="E245" s="17" t="inlineStr">
        <is>
          <t>36294YU77_003003200285793</t>
        </is>
      </c>
      <c r="F245" s="17" t="n">
        <v>202603</v>
      </c>
      <c r="G245" s="18" t="n">
        <v>7.48</v>
      </c>
      <c r="H245" s="19" t="n">
        <v>1011219.09</v>
      </c>
      <c r="I245" s="17" t="n">
        <v>300</v>
      </c>
      <c r="J245" s="17" t="n">
        <v>20070907</v>
      </c>
      <c r="K245" s="17" t="n">
        <v>20321001</v>
      </c>
      <c r="L245" s="17" t="n">
        <v>20081001</v>
      </c>
      <c r="M245" s="17" t="n">
        <v>20171001</v>
      </c>
      <c r="N245" s="17" t="n">
        <v>9</v>
      </c>
      <c r="O245" s="17" t="inlineStr">
        <is>
          <t>538</t>
        </is>
      </c>
      <c r="P245" s="17" t="n"/>
      <c r="Q245" s="17" t="n"/>
      <c r="R245" s="17" t="n"/>
      <c r="S245" s="17" t="n"/>
      <c r="T245" s="17" t="inlineStr">
        <is>
          <t>AR</t>
        </is>
      </c>
      <c r="U245" s="17" t="n">
        <v>0</v>
      </c>
      <c r="V245" s="17" t="n">
        <v>490.5</v>
      </c>
      <c r="W245" s="17" t="n">
        <v>222</v>
      </c>
      <c r="X245" s="17" t="n">
        <v>2007</v>
      </c>
      <c r="Y245" s="17" t="n">
        <v>280</v>
      </c>
      <c r="Z245" s="17" t="n">
        <v>0</v>
      </c>
      <c r="AA245" s="20">
        <f>IF(ISNUMBER(W245),W245,IFERROR(MAX(0,(VALUE(LEFT(F245,4))-VALUE(LEFT(TEXT(J245,"00000000"),4)))*12+(VALUE(MID(F245,5,2))-VALUE(MID(TEXT(J245,"00000000"),5,2)))),""))</f>
        <v/>
      </c>
      <c r="AB245" s="20">
        <f>IFERROR((VALUE(LEFT(TEXT(K245,"00000000"),4))-VALUE(LEFT(F245,4)))*12+(VALUE(MID(TEXT(K245,"00000000"),5,2))-VALUE(MID(F245,5,2))),"")</f>
        <v/>
      </c>
      <c r="AC245" s="20">
        <f>IF(OR(L245="",NOT(ISNUMBER(L245))),0,MAX(0,MIN(60,(VALUE(LEFT(F245,4))-VALUE(LEFT(TEXT(L245,"00000000"),4)))*12+(VALUE(MID(F245,5,2))-VALUE(MID(TEXT(L245,"00000000"),5,2))))))</f>
        <v/>
      </c>
      <c r="AD245" s="20">
        <f>IF(OR(L245="",NOT(ISNUMBER(L245))),0,IF(VALUE(F245)&lt;VALUE(LEFT(TEXT(L245,"00000000"),6)),1,0))</f>
        <v/>
      </c>
      <c r="AE245" s="20">
        <f>IF(OR(M245="",NOT(ISNUMBER(M245))),0,IF(VALUE(F245)&lt;VALUE(LEFT(TEXT(M245,"00000000"),6)),1,0))</f>
        <v/>
      </c>
      <c r="AF245" s="20">
        <f>IF(AND(AD245=0,AE245=0),1,0)</f>
        <v/>
      </c>
      <c r="AG245" s="20">
        <f>IF(ISNUMBER(X245),X245,IFERROR(VALUE(LEFT(TEXT(J245,"00000000"),4)),""))</f>
        <v/>
      </c>
      <c r="AH245" s="20">
        <f>IFERROR(XLOOKUP(AG245,Vintage_Rates!$A$2:$A$1000,Vintage_Rates!$B$2:$B$1000,""),"")</f>
        <v/>
      </c>
      <c r="AI245" s="20">
        <f>IF(ISNUMBER(Y245),Y245,IFERROR((G245-AH245)*100,""))</f>
        <v/>
      </c>
      <c r="AJ245" s="20">
        <f>IF(ISNUMBER(V245),V245,IFERROR(XLOOKUP(VALUE(F245),PLC_Rates!$A$2:$A$1000,PLC_Rates!$B$2:$B$1000,""),""))</f>
        <v/>
      </c>
      <c r="AK245" s="20">
        <f>IF(ISNUMBER(Z245),Z245,IF(AE245=0,0,MAX(0,MIN(10,((VALUE(LEFT(TEXT(M245,"00000000"),4))-VALUE(LEFT(F245,4)))*12+(VALUE(MID(TEXT(M245,"00000000"),5,2))-VALUE(MID(F245,5,2))))/12))))</f>
        <v/>
      </c>
      <c r="AL245" s="20">
        <f>IFERROR(G245*100-AJ245,"")</f>
        <v/>
      </c>
      <c r="AM245" s="20">
        <f>IFERROR(G245*100-(AJ245+(1+AK245)*12.5),"")</f>
        <v/>
      </c>
      <c r="AN245" s="21">
        <f>IFERROR(MIN(H245/1000000,100),"")</f>
        <v/>
      </c>
      <c r="AO245" s="20">
        <f>IFERROR(INDEX(FHA_Lookup!$B$2:$B$11,MATCH(TRUE,ISNUMBER(SEARCH(FHA_Lookup!$A$2:$A$11,UPPER(SUBSTITUTE(O245," ","")))),0)),"OTHER")</f>
        <v/>
      </c>
      <c r="AP245" s="20">
        <f>IFERROR(INDEX(FHA_Lookup!$C$2:$C$11,MATCH(TRUE,ISNUMBER(SEARCH(FHA_Lookup!$A$2:$A$11,UPPER(SUBSTITUTE(O245," ","")))),0)),"OTHER")</f>
        <v/>
      </c>
      <c r="AQ245" s="20">
        <f>IF(AP245="NC",1,0)</f>
        <v/>
      </c>
      <c r="AR245" s="20">
        <f>IF(UPPER(TRIM(P245))="AFF",1,0)</f>
        <v/>
      </c>
      <c r="AS245" s="20">
        <f>IF(UPPER(TRIM(P245))="BAF",1,0)</f>
        <v/>
      </c>
      <c r="AT245" s="20">
        <f>IF(UPPER(TRIM(P245))="MKT",1,0)</f>
        <v/>
      </c>
      <c r="AU245" s="20">
        <f>IF(AO245="221d4",1,0)</f>
        <v/>
      </c>
      <c r="AV245" s="20">
        <f>IF(AO245="223a7",1,0)</f>
        <v/>
      </c>
      <c r="AW245" s="20">
        <f>IF(AO245="232",1,0)</f>
        <v/>
      </c>
      <c r="AX245" s="20">
        <f>IF(AO245="538",1,0)</f>
        <v/>
      </c>
      <c r="AY245" s="20">
        <f>IF(AO245="241",1,0)</f>
        <v/>
      </c>
      <c r="AZ245" s="20">
        <f>IF(AO245="220",1,0)</f>
        <v/>
      </c>
      <c r="BA245" s="20">
        <f>IF(AO245="OTHER",1,0)</f>
        <v/>
      </c>
      <c r="BB245" s="20">
        <f>IF(UPPER(TRIM(C245))="LM",1,0)</f>
        <v/>
      </c>
      <c r="BC245" s="20">
        <f>IF(UPPER(TRIM(C245))="PN",1,0)</f>
        <v/>
      </c>
      <c r="BD245" s="20">
        <f>IF(UPPER(TRIM(C245))="LS",1,0)</f>
        <v/>
      </c>
      <c r="BE245" s="20">
        <f>IF(UPPER(TRIM(C245))="RX",1,0)</f>
        <v/>
      </c>
      <c r="BF245" s="22">
        <f>IFERROR((Parameters!$C$6*AM245+Parameters!$C$7*MAX(AM245-(-150),0)+Parameters!$C$8*MAX(AM245-(-50),0)+Parameters!$C$9*MAX(AM245-(0),0)+Parameters!$C$10*MAX(AM245-(50),0)+Parameters!$C$11*MAX(AM245-(100),0)+Parameters!$C$12*MAX(AM245-(150),0)+Parameters!$C$13*MAX(AM245-(250),0)),0)</f>
        <v/>
      </c>
      <c r="BG245" s="22">
        <f>IFERROR((Parameters!$C$14*AA245+Parameters!$C$15*MAX(AA245-(12),0)+Parameters!$C$16*MAX(AA245-(36),0)+Parameters!$C$17*MAX(AA245-(60),0)+Parameters!$C$18*MAX(AA245-(84),0)+Parameters!$C$19*MAX(AA245-(120),0)+Parameters!$C$20*MAX(AA245-(180),0)),0)</f>
        <v/>
      </c>
      <c r="BH245" s="22">
        <f>IFERROR((Parameters!$C$21*AK245+Parameters!$C$22*MAX(AK245-(0),0)+Parameters!$C$23*MAX(AK245-(2),0)+Parameters!$C$24*MAX(AK245-(5),0)+Parameters!$C$25*MAX(AK245-(8),0)),0)</f>
        <v/>
      </c>
      <c r="BI245" s="22">
        <f>IFERROR((Parameters!$C$26*AI245+Parameters!$C$27*MAX(AI245-(-100),0)+Parameters!$C$28*MAX(AI245-(-25),0)+Parameters!$C$29*MAX(AI245-(25),0)+Parameters!$C$30*MAX(AI245-(100),0)),0)</f>
        <v/>
      </c>
      <c r="BJ245" s="22">
        <f>IFERROR((Parameters!$C$31*AN245+Parameters!$C$32*MAX(AN245-(2),0)+Parameters!$C$33*MAX(AN245-(10),0)+Parameters!$C$34*MAX(AN245-(25),0)),0)</f>
        <v/>
      </c>
      <c r="BK245" s="22">
        <f>IFERROR((Parameters!$C$35*AB245+Parameters!$C$36*MAX(AB245-(12),0)+Parameters!$C$37*MAX(AB245-(24),0)+Parameters!$C$38*MAX(AB245-(60),0)),0)</f>
        <v/>
      </c>
      <c r="BL245" s="22">
        <f>IFERROR((Parameters!$C$39*AC245+Parameters!$C$40*MAX(AC245-(6),0)+Parameters!$C$41*MAX(AC245-(12),0)+Parameters!$C$42*MAX(AC245-(24),0)),0)</f>
        <v/>
      </c>
      <c r="BM245" s="22">
        <f>IFERROR(Parameters!$C$43*(MAX(AM245,0)*MIN(MAX(AK245,0),10))/100,0)</f>
        <v/>
      </c>
      <c r="BN245" s="22">
        <f>Parameters!$C$44*AE245</f>
        <v/>
      </c>
      <c r="BO245" s="22">
        <f>Parameters!$C$45*AU245 + Parameters!$C$46*AV245 + Parameters!$C$47*AW245 + Parameters!$C$48*AX245 + Parameters!$C$49*AY245 + Parameters!$C$50*AZ245 + Parameters!$C$51*BA245</f>
        <v/>
      </c>
      <c r="BP245" s="22">
        <f>Parameters!$C$52*AQ245</f>
        <v/>
      </c>
      <c r="BQ245" s="22">
        <f>Parameters!$C$53*AR245+Parameters!$C$54*AS245+Parameters!$C$55*AT245</f>
        <v/>
      </c>
      <c r="BR245" s="22">
        <f>Parameters!$C$56*BB245+Parameters!$C$57*BC245+Parameters!$C$58*BD245+Parameters!$C$59*BE245</f>
        <v/>
      </c>
      <c r="BS245" s="23">
        <f>Parameters!$B$2</f>
        <v/>
      </c>
      <c r="BT245" s="23">
        <f>BS245+BF245 + BG245 + BH245 + BI245 + BJ245 + BK245 + BL245 + BM245 + BN245 + BO245 + BP245 + BQ245 + BR245</f>
        <v/>
      </c>
      <c r="BU245" s="24">
        <f>IF(AD245=1,0,1/(1+EXP(-BT245))*Parameters!$B$3)</f>
        <v/>
      </c>
      <c r="BV245" s="25">
        <f>(1-(1-BU245)^12)*100</f>
        <v/>
      </c>
      <c r="BW245" s="25">
        <f>IF(AD245=1,0,(1-(1-1/(1+EXP(-Parameters!$B$2)))^12)*100)</f>
        <v/>
      </c>
      <c r="BX245" s="25">
        <f>IF(AD245=1,0,BV245-(1-(1-(1/(1+EXP(-(BT245-BF245)))*Parameters!$B$3))^12)*100)</f>
        <v/>
      </c>
      <c r="BY245" s="25">
        <f>IF(AD245=1,0,BV245-(1-(1-(1/(1+EXP(-(BT245-BG245)))*Parameters!$B$3))^12)*100)</f>
        <v/>
      </c>
      <c r="BZ245" s="25">
        <f>IF(AD245=1,0,BV245-(1-(1-(1/(1+EXP(-(BT245-BH245)))*Parameters!$B$3))^12)*100)</f>
        <v/>
      </c>
      <c r="CA245" s="25">
        <f>IF(AD245=1,0,BV245-(1-(1-(1/(1+EXP(-(BT245-BI245)))*Parameters!$B$3))^12)*100)</f>
        <v/>
      </c>
      <c r="CB245" s="25">
        <f>IF(AD245=1,0,BV245-(1-(1-(1/(1+EXP(-(BT245-BJ245)))*Parameters!$B$3))^12)*100)</f>
        <v/>
      </c>
      <c r="CC245" s="25">
        <f>IF(AD245=1,0,BV245-(1-(1-(1/(1+EXP(-(BT245-BK245)))*Parameters!$B$3))^12)*100)</f>
        <v/>
      </c>
      <c r="CD245" s="25">
        <f>IF(AD245=1,0,BV245-(1-(1-(1/(1+EXP(-(BT245-BL245)))*Parameters!$B$3))^12)*100)</f>
        <v/>
      </c>
      <c r="CE245" s="25">
        <f>IF(AD245=1,0,BV245-(1-(1-(1/(1+EXP(-(BT245-BM245)))*Parameters!$B$3))^12)*100)</f>
        <v/>
      </c>
      <c r="CF245" s="25">
        <f>IF(AD245=1,0,BV245-(1-(1-(1/(1+EXP(-(BT245-BN245)))*Parameters!$B$3))^12)*100)</f>
        <v/>
      </c>
      <c r="CG245" s="25">
        <f>IF(AD245=1,0,BV245-(1-(1-(1/(1+EXP(-(BT245-BO245)))*Parameters!$B$3))^12)*100)</f>
        <v/>
      </c>
      <c r="CH245" s="25">
        <f>IF(AD245=1,0,BV245-(1-(1-(1/(1+EXP(-(BT245-BP245)))*Parameters!$B$3))^12)*100)</f>
        <v/>
      </c>
      <c r="CI245" s="25">
        <f>IF(AD245=1,0,BV245-(1-(1-(1/(1+EXP(-(BT245-BQ245)))*Parameters!$B$3))^12)*100)</f>
        <v/>
      </c>
      <c r="CJ245" s="25">
        <f>IF(AD245=1,0,BV245-(1-(1-(1/(1+EXP(-(BT245-BR245)))*Parameters!$B$3))^12)*100)</f>
        <v/>
      </c>
    </row>
    <row r="246">
      <c r="A246" s="17" t="inlineStr">
        <is>
          <t>GNR_USDA_538</t>
        </is>
      </c>
      <c r="B246" s="17" t="inlineStr">
        <is>
          <t>36197AV35</t>
        </is>
      </c>
      <c r="C246" s="17" t="inlineStr">
        <is>
          <t>PN</t>
        </is>
      </c>
      <c r="D246" s="17" t="inlineStr">
        <is>
          <t>MERCHANTS CAPITAL CORP.</t>
        </is>
      </c>
      <c r="E246" s="17" t="inlineStr">
        <is>
          <t>36197AV35_038085093226541</t>
        </is>
      </c>
      <c r="F246" s="17" t="n">
        <v>202603</v>
      </c>
      <c r="G246" s="18" t="n">
        <v>3.95</v>
      </c>
      <c r="H246" s="19" t="n">
        <v>1798867.52</v>
      </c>
      <c r="I246" s="17" t="n">
        <v>456</v>
      </c>
      <c r="J246" s="17" t="n">
        <v>20170314</v>
      </c>
      <c r="K246" s="17" t="n">
        <v>20570301</v>
      </c>
      <c r="L246" s="17" t="n"/>
      <c r="M246" s="17" t="n">
        <v>20290401</v>
      </c>
      <c r="N246" s="17" t="n">
        <v>10</v>
      </c>
      <c r="O246" s="17" t="inlineStr">
        <is>
          <t>538</t>
        </is>
      </c>
      <c r="P246" s="17" t="n"/>
      <c r="Q246" s="17" t="n"/>
      <c r="R246" s="17" t="n"/>
      <c r="S246" s="17" t="n"/>
      <c r="T246" s="17" t="inlineStr">
        <is>
          <t>NC</t>
        </is>
      </c>
      <c r="U246" s="17" t="n">
        <v>0</v>
      </c>
      <c r="V246" s="17" t="n">
        <v>490.5</v>
      </c>
      <c r="W246" s="17" t="n">
        <v>108</v>
      </c>
      <c r="X246" s="17" t="n">
        <v>2017</v>
      </c>
      <c r="Y246" s="17" t="n">
        <v>48</v>
      </c>
      <c r="Z246" s="17" t="n">
        <v>4</v>
      </c>
      <c r="AA246" s="20">
        <f>IF(ISNUMBER(W246),W246,IFERROR(MAX(0,(VALUE(LEFT(F246,4))-VALUE(LEFT(TEXT(J246,"00000000"),4)))*12+(VALUE(MID(F246,5,2))-VALUE(MID(TEXT(J246,"00000000"),5,2)))),""))</f>
        <v/>
      </c>
      <c r="AB246" s="20">
        <f>IFERROR((VALUE(LEFT(TEXT(K246,"00000000"),4))-VALUE(LEFT(F246,4)))*12+(VALUE(MID(TEXT(K246,"00000000"),5,2))-VALUE(MID(F246,5,2))),"")</f>
        <v/>
      </c>
      <c r="AC246" s="20">
        <f>IF(OR(L246="",NOT(ISNUMBER(L246))),0,MAX(0,MIN(60,(VALUE(LEFT(F246,4))-VALUE(LEFT(TEXT(L246,"00000000"),4)))*12+(VALUE(MID(F246,5,2))-VALUE(MID(TEXT(L246,"00000000"),5,2))))))</f>
        <v/>
      </c>
      <c r="AD246" s="20">
        <f>IF(OR(L246="",NOT(ISNUMBER(L246))),0,IF(VALUE(F246)&lt;VALUE(LEFT(TEXT(L246,"00000000"),6)),1,0))</f>
        <v/>
      </c>
      <c r="AE246" s="20">
        <f>IF(OR(M246="",NOT(ISNUMBER(M246))),0,IF(VALUE(F246)&lt;VALUE(LEFT(TEXT(M246,"00000000"),6)),1,0))</f>
        <v/>
      </c>
      <c r="AF246" s="20">
        <f>IF(AND(AD246=0,AE246=0),1,0)</f>
        <v/>
      </c>
      <c r="AG246" s="20">
        <f>IF(ISNUMBER(X246),X246,IFERROR(VALUE(LEFT(TEXT(J246,"00000000"),4)),""))</f>
        <v/>
      </c>
      <c r="AH246" s="20">
        <f>IFERROR(XLOOKUP(AG246,Vintage_Rates!$A$2:$A$1000,Vintage_Rates!$B$2:$B$1000,""),"")</f>
        <v/>
      </c>
      <c r="AI246" s="20">
        <f>IF(ISNUMBER(Y246),Y246,IFERROR((G246-AH246)*100,""))</f>
        <v/>
      </c>
      <c r="AJ246" s="20">
        <f>IF(ISNUMBER(V246),V246,IFERROR(XLOOKUP(VALUE(F246),PLC_Rates!$A$2:$A$1000,PLC_Rates!$B$2:$B$1000,""),""))</f>
        <v/>
      </c>
      <c r="AK246" s="20">
        <f>IF(ISNUMBER(Z246),Z246,IF(AE246=0,0,MAX(0,MIN(10,((VALUE(LEFT(TEXT(M246,"00000000"),4))-VALUE(LEFT(F246,4)))*12+(VALUE(MID(TEXT(M246,"00000000"),5,2))-VALUE(MID(F246,5,2))))/12))))</f>
        <v/>
      </c>
      <c r="AL246" s="20">
        <f>IFERROR(G246*100-AJ246,"")</f>
        <v/>
      </c>
      <c r="AM246" s="20">
        <f>IFERROR(G246*100-(AJ246+(1+AK246)*12.5),"")</f>
        <v/>
      </c>
      <c r="AN246" s="21">
        <f>IFERROR(MIN(H246/1000000,100),"")</f>
        <v/>
      </c>
      <c r="AO246" s="20">
        <f>IFERROR(INDEX(FHA_Lookup!$B$2:$B$11,MATCH(TRUE,ISNUMBER(SEARCH(FHA_Lookup!$A$2:$A$11,UPPER(SUBSTITUTE(O246," ","")))),0)),"OTHER")</f>
        <v/>
      </c>
      <c r="AP246" s="20">
        <f>IFERROR(INDEX(FHA_Lookup!$C$2:$C$11,MATCH(TRUE,ISNUMBER(SEARCH(FHA_Lookup!$A$2:$A$11,UPPER(SUBSTITUTE(O246," ","")))),0)),"OTHER")</f>
        <v/>
      </c>
      <c r="AQ246" s="20">
        <f>IF(AP246="NC",1,0)</f>
        <v/>
      </c>
      <c r="AR246" s="20">
        <f>IF(UPPER(TRIM(P246))="AFF",1,0)</f>
        <v/>
      </c>
      <c r="AS246" s="20">
        <f>IF(UPPER(TRIM(P246))="BAF",1,0)</f>
        <v/>
      </c>
      <c r="AT246" s="20">
        <f>IF(UPPER(TRIM(P246))="MKT",1,0)</f>
        <v/>
      </c>
      <c r="AU246" s="20">
        <f>IF(AO246="221d4",1,0)</f>
        <v/>
      </c>
      <c r="AV246" s="20">
        <f>IF(AO246="223a7",1,0)</f>
        <v/>
      </c>
      <c r="AW246" s="20">
        <f>IF(AO246="232",1,0)</f>
        <v/>
      </c>
      <c r="AX246" s="20">
        <f>IF(AO246="538",1,0)</f>
        <v/>
      </c>
      <c r="AY246" s="20">
        <f>IF(AO246="241",1,0)</f>
        <v/>
      </c>
      <c r="AZ246" s="20">
        <f>IF(AO246="220",1,0)</f>
        <v/>
      </c>
      <c r="BA246" s="20">
        <f>IF(AO246="OTHER",1,0)</f>
        <v/>
      </c>
      <c r="BB246" s="20">
        <f>IF(UPPER(TRIM(C246))="LM",1,0)</f>
        <v/>
      </c>
      <c r="BC246" s="20">
        <f>IF(UPPER(TRIM(C246))="PN",1,0)</f>
        <v/>
      </c>
      <c r="BD246" s="20">
        <f>IF(UPPER(TRIM(C246))="LS",1,0)</f>
        <v/>
      </c>
      <c r="BE246" s="20">
        <f>IF(UPPER(TRIM(C246))="RX",1,0)</f>
        <v/>
      </c>
      <c r="BF246" s="22">
        <f>IFERROR((Parameters!$C$6*AM246+Parameters!$C$7*MAX(AM246-(-150),0)+Parameters!$C$8*MAX(AM246-(-50),0)+Parameters!$C$9*MAX(AM246-(0),0)+Parameters!$C$10*MAX(AM246-(50),0)+Parameters!$C$11*MAX(AM246-(100),0)+Parameters!$C$12*MAX(AM246-(150),0)+Parameters!$C$13*MAX(AM246-(250),0)),0)</f>
        <v/>
      </c>
      <c r="BG246" s="22">
        <f>IFERROR((Parameters!$C$14*AA246+Parameters!$C$15*MAX(AA246-(12),0)+Parameters!$C$16*MAX(AA246-(36),0)+Parameters!$C$17*MAX(AA246-(60),0)+Parameters!$C$18*MAX(AA246-(84),0)+Parameters!$C$19*MAX(AA246-(120),0)+Parameters!$C$20*MAX(AA246-(180),0)),0)</f>
        <v/>
      </c>
      <c r="BH246" s="22">
        <f>IFERROR((Parameters!$C$21*AK246+Parameters!$C$22*MAX(AK246-(0),0)+Parameters!$C$23*MAX(AK246-(2),0)+Parameters!$C$24*MAX(AK246-(5),0)+Parameters!$C$25*MAX(AK246-(8),0)),0)</f>
        <v/>
      </c>
      <c r="BI246" s="22">
        <f>IFERROR((Parameters!$C$26*AI246+Parameters!$C$27*MAX(AI246-(-100),0)+Parameters!$C$28*MAX(AI246-(-25),0)+Parameters!$C$29*MAX(AI246-(25),0)+Parameters!$C$30*MAX(AI246-(100),0)),0)</f>
        <v/>
      </c>
      <c r="BJ246" s="22">
        <f>IFERROR((Parameters!$C$31*AN246+Parameters!$C$32*MAX(AN246-(2),0)+Parameters!$C$33*MAX(AN246-(10),0)+Parameters!$C$34*MAX(AN246-(25),0)),0)</f>
        <v/>
      </c>
      <c r="BK246" s="22">
        <f>IFERROR((Parameters!$C$35*AB246+Parameters!$C$36*MAX(AB246-(12),0)+Parameters!$C$37*MAX(AB246-(24),0)+Parameters!$C$38*MAX(AB246-(60),0)),0)</f>
        <v/>
      </c>
      <c r="BL246" s="22">
        <f>IFERROR((Parameters!$C$39*AC246+Parameters!$C$40*MAX(AC246-(6),0)+Parameters!$C$41*MAX(AC246-(12),0)+Parameters!$C$42*MAX(AC246-(24),0)),0)</f>
        <v/>
      </c>
      <c r="BM246" s="22">
        <f>IFERROR(Parameters!$C$43*(MAX(AM246,0)*MIN(MAX(AK246,0),10))/100,0)</f>
        <v/>
      </c>
      <c r="BN246" s="22">
        <f>Parameters!$C$44*AE246</f>
        <v/>
      </c>
      <c r="BO246" s="22">
        <f>Parameters!$C$45*AU246 + Parameters!$C$46*AV246 + Parameters!$C$47*AW246 + Parameters!$C$48*AX246 + Parameters!$C$49*AY246 + Parameters!$C$50*AZ246 + Parameters!$C$51*BA246</f>
        <v/>
      </c>
      <c r="BP246" s="22">
        <f>Parameters!$C$52*AQ246</f>
        <v/>
      </c>
      <c r="BQ246" s="22">
        <f>Parameters!$C$53*AR246+Parameters!$C$54*AS246+Parameters!$C$55*AT246</f>
        <v/>
      </c>
      <c r="BR246" s="22">
        <f>Parameters!$C$56*BB246+Parameters!$C$57*BC246+Parameters!$C$58*BD246+Parameters!$C$59*BE246</f>
        <v/>
      </c>
      <c r="BS246" s="23">
        <f>Parameters!$B$2</f>
        <v/>
      </c>
      <c r="BT246" s="23">
        <f>BS246+BF246 + BG246 + BH246 + BI246 + BJ246 + BK246 + BL246 + BM246 + BN246 + BO246 + BP246 + BQ246 + BR246</f>
        <v/>
      </c>
      <c r="BU246" s="24">
        <f>IF(AD246=1,0,1/(1+EXP(-BT246))*Parameters!$B$3)</f>
        <v/>
      </c>
      <c r="BV246" s="25">
        <f>(1-(1-BU246)^12)*100</f>
        <v/>
      </c>
      <c r="BW246" s="25">
        <f>IF(AD246=1,0,(1-(1-1/(1+EXP(-Parameters!$B$2)))^12)*100)</f>
        <v/>
      </c>
      <c r="BX246" s="25">
        <f>IF(AD246=1,0,BV246-(1-(1-(1/(1+EXP(-(BT246-BF246)))*Parameters!$B$3))^12)*100)</f>
        <v/>
      </c>
      <c r="BY246" s="25">
        <f>IF(AD246=1,0,BV246-(1-(1-(1/(1+EXP(-(BT246-BG246)))*Parameters!$B$3))^12)*100)</f>
        <v/>
      </c>
      <c r="BZ246" s="25">
        <f>IF(AD246=1,0,BV246-(1-(1-(1/(1+EXP(-(BT246-BH246)))*Parameters!$B$3))^12)*100)</f>
        <v/>
      </c>
      <c r="CA246" s="25">
        <f>IF(AD246=1,0,BV246-(1-(1-(1/(1+EXP(-(BT246-BI246)))*Parameters!$B$3))^12)*100)</f>
        <v/>
      </c>
      <c r="CB246" s="25">
        <f>IF(AD246=1,0,BV246-(1-(1-(1/(1+EXP(-(BT246-BJ246)))*Parameters!$B$3))^12)*100)</f>
        <v/>
      </c>
      <c r="CC246" s="25">
        <f>IF(AD246=1,0,BV246-(1-(1-(1/(1+EXP(-(BT246-BK246)))*Parameters!$B$3))^12)*100)</f>
        <v/>
      </c>
      <c r="CD246" s="25">
        <f>IF(AD246=1,0,BV246-(1-(1-(1/(1+EXP(-(BT246-BL246)))*Parameters!$B$3))^12)*100)</f>
        <v/>
      </c>
      <c r="CE246" s="25">
        <f>IF(AD246=1,0,BV246-(1-(1-(1/(1+EXP(-(BT246-BM246)))*Parameters!$B$3))^12)*100)</f>
        <v/>
      </c>
      <c r="CF246" s="25">
        <f>IF(AD246=1,0,BV246-(1-(1-(1/(1+EXP(-(BT246-BN246)))*Parameters!$B$3))^12)*100)</f>
        <v/>
      </c>
      <c r="CG246" s="25">
        <f>IF(AD246=1,0,BV246-(1-(1-(1/(1+EXP(-(BT246-BO246)))*Parameters!$B$3))^12)*100)</f>
        <v/>
      </c>
      <c r="CH246" s="25">
        <f>IF(AD246=1,0,BV246-(1-(1-(1/(1+EXP(-(BT246-BP246)))*Parameters!$B$3))^12)*100)</f>
        <v/>
      </c>
      <c r="CI246" s="25">
        <f>IF(AD246=1,0,BV246-(1-(1-(1/(1+EXP(-(BT246-BQ246)))*Parameters!$B$3))^12)*100)</f>
        <v/>
      </c>
      <c r="CJ246" s="25">
        <f>IF(AD246=1,0,BV246-(1-(1-(1/(1+EXP(-(BT246-BR246)))*Parameters!$B$3))^12)*100)</f>
        <v/>
      </c>
    </row>
    <row r="247">
      <c r="A247" s="17" t="inlineStr">
        <is>
          <t>GNR_USDA_538</t>
        </is>
      </c>
      <c r="B247" s="17" t="inlineStr">
        <is>
          <t>3618FJBS6</t>
        </is>
      </c>
      <c r="C247" s="17" t="inlineStr">
        <is>
          <t>PN</t>
        </is>
      </c>
      <c r="D247" s="17" t="inlineStr">
        <is>
          <t>BELLWETHER ENTERPRISE REAL ESTATE CAPITA</t>
        </is>
      </c>
      <c r="E247" s="17" t="inlineStr">
        <is>
          <t>3618FJBS6_410760758016253</t>
        </is>
      </c>
      <c r="F247" s="17" t="n">
        <v>202603</v>
      </c>
      <c r="G247" s="18" t="n">
        <v>4.37</v>
      </c>
      <c r="H247" s="19" t="n">
        <v>1063376.66</v>
      </c>
      <c r="I247" s="17" t="n">
        <v>480</v>
      </c>
      <c r="J247" s="17" t="n">
        <v>20231006</v>
      </c>
      <c r="K247" s="17" t="n">
        <v>20631001</v>
      </c>
      <c r="L247" s="17" t="n"/>
      <c r="M247" s="17" t="n">
        <v>20331031</v>
      </c>
      <c r="N247" s="17" t="n">
        <v>10</v>
      </c>
      <c r="O247" s="17" t="inlineStr">
        <is>
          <t>538</t>
        </is>
      </c>
      <c r="P247" s="17" t="n"/>
      <c r="Q247" s="17" t="n"/>
      <c r="R247" s="17" t="n"/>
      <c r="S247" s="17" t="n"/>
      <c r="T247" s="17" t="inlineStr">
        <is>
          <t>OH</t>
        </is>
      </c>
      <c r="U247" s="17" t="n">
        <v>0</v>
      </c>
      <c r="V247" s="17" t="n">
        <v>490.5</v>
      </c>
      <c r="W247" s="17" t="n">
        <v>29</v>
      </c>
      <c r="X247" s="17" t="n">
        <v>2023</v>
      </c>
      <c r="Y247" s="17" t="n">
        <v>-121.5</v>
      </c>
      <c r="Z247" s="17" t="n">
        <v>9</v>
      </c>
      <c r="AA247" s="20">
        <f>IF(ISNUMBER(W247),W247,IFERROR(MAX(0,(VALUE(LEFT(F247,4))-VALUE(LEFT(TEXT(J247,"00000000"),4)))*12+(VALUE(MID(F247,5,2))-VALUE(MID(TEXT(J247,"00000000"),5,2)))),""))</f>
        <v/>
      </c>
      <c r="AB247" s="20">
        <f>IFERROR((VALUE(LEFT(TEXT(K247,"00000000"),4))-VALUE(LEFT(F247,4)))*12+(VALUE(MID(TEXT(K247,"00000000"),5,2))-VALUE(MID(F247,5,2))),"")</f>
        <v/>
      </c>
      <c r="AC247" s="20">
        <f>IF(OR(L247="",NOT(ISNUMBER(L247))),0,MAX(0,MIN(60,(VALUE(LEFT(F247,4))-VALUE(LEFT(TEXT(L247,"00000000"),4)))*12+(VALUE(MID(F247,5,2))-VALUE(MID(TEXT(L247,"00000000"),5,2))))))</f>
        <v/>
      </c>
      <c r="AD247" s="20">
        <f>IF(OR(L247="",NOT(ISNUMBER(L247))),0,IF(VALUE(F247)&lt;VALUE(LEFT(TEXT(L247,"00000000"),6)),1,0))</f>
        <v/>
      </c>
      <c r="AE247" s="20">
        <f>IF(OR(M247="",NOT(ISNUMBER(M247))),0,IF(VALUE(F247)&lt;VALUE(LEFT(TEXT(M247,"00000000"),6)),1,0))</f>
        <v/>
      </c>
      <c r="AF247" s="20">
        <f>IF(AND(AD247=0,AE247=0),1,0)</f>
        <v/>
      </c>
      <c r="AG247" s="20">
        <f>IF(ISNUMBER(X247),X247,IFERROR(VALUE(LEFT(TEXT(J247,"00000000"),4)),""))</f>
        <v/>
      </c>
      <c r="AH247" s="20">
        <f>IFERROR(XLOOKUP(AG247,Vintage_Rates!$A$2:$A$1000,Vintage_Rates!$B$2:$B$1000,""),"")</f>
        <v/>
      </c>
      <c r="AI247" s="20">
        <f>IF(ISNUMBER(Y247),Y247,IFERROR((G247-AH247)*100,""))</f>
        <v/>
      </c>
      <c r="AJ247" s="20">
        <f>IF(ISNUMBER(V247),V247,IFERROR(XLOOKUP(VALUE(F247),PLC_Rates!$A$2:$A$1000,PLC_Rates!$B$2:$B$1000,""),""))</f>
        <v/>
      </c>
      <c r="AK247" s="20">
        <f>IF(ISNUMBER(Z247),Z247,IF(AE247=0,0,MAX(0,MIN(10,((VALUE(LEFT(TEXT(M247,"00000000"),4))-VALUE(LEFT(F247,4)))*12+(VALUE(MID(TEXT(M247,"00000000"),5,2))-VALUE(MID(F247,5,2))))/12))))</f>
        <v/>
      </c>
      <c r="AL247" s="20">
        <f>IFERROR(G247*100-AJ247,"")</f>
        <v/>
      </c>
      <c r="AM247" s="20">
        <f>IFERROR(G247*100-(AJ247+(1+AK247)*12.5),"")</f>
        <v/>
      </c>
      <c r="AN247" s="21">
        <f>IFERROR(MIN(H247/1000000,100),"")</f>
        <v/>
      </c>
      <c r="AO247" s="20">
        <f>IFERROR(INDEX(FHA_Lookup!$B$2:$B$11,MATCH(TRUE,ISNUMBER(SEARCH(FHA_Lookup!$A$2:$A$11,UPPER(SUBSTITUTE(O247," ","")))),0)),"OTHER")</f>
        <v/>
      </c>
      <c r="AP247" s="20">
        <f>IFERROR(INDEX(FHA_Lookup!$C$2:$C$11,MATCH(TRUE,ISNUMBER(SEARCH(FHA_Lookup!$A$2:$A$11,UPPER(SUBSTITUTE(O247," ","")))),0)),"OTHER")</f>
        <v/>
      </c>
      <c r="AQ247" s="20">
        <f>IF(AP247="NC",1,0)</f>
        <v/>
      </c>
      <c r="AR247" s="20">
        <f>IF(UPPER(TRIM(P247))="AFF",1,0)</f>
        <v/>
      </c>
      <c r="AS247" s="20">
        <f>IF(UPPER(TRIM(P247))="BAF",1,0)</f>
        <v/>
      </c>
      <c r="AT247" s="20">
        <f>IF(UPPER(TRIM(P247))="MKT",1,0)</f>
        <v/>
      </c>
      <c r="AU247" s="20">
        <f>IF(AO247="221d4",1,0)</f>
        <v/>
      </c>
      <c r="AV247" s="20">
        <f>IF(AO247="223a7",1,0)</f>
        <v/>
      </c>
      <c r="AW247" s="20">
        <f>IF(AO247="232",1,0)</f>
        <v/>
      </c>
      <c r="AX247" s="20">
        <f>IF(AO247="538",1,0)</f>
        <v/>
      </c>
      <c r="AY247" s="20">
        <f>IF(AO247="241",1,0)</f>
        <v/>
      </c>
      <c r="AZ247" s="20">
        <f>IF(AO247="220",1,0)</f>
        <v/>
      </c>
      <c r="BA247" s="20">
        <f>IF(AO247="OTHER",1,0)</f>
        <v/>
      </c>
      <c r="BB247" s="20">
        <f>IF(UPPER(TRIM(C247))="LM",1,0)</f>
        <v/>
      </c>
      <c r="BC247" s="20">
        <f>IF(UPPER(TRIM(C247))="PN",1,0)</f>
        <v/>
      </c>
      <c r="BD247" s="20">
        <f>IF(UPPER(TRIM(C247))="LS",1,0)</f>
        <v/>
      </c>
      <c r="BE247" s="20">
        <f>IF(UPPER(TRIM(C247))="RX",1,0)</f>
        <v/>
      </c>
      <c r="BF247" s="22">
        <f>IFERROR((Parameters!$C$6*AM247+Parameters!$C$7*MAX(AM247-(-150),0)+Parameters!$C$8*MAX(AM247-(-50),0)+Parameters!$C$9*MAX(AM247-(0),0)+Parameters!$C$10*MAX(AM247-(50),0)+Parameters!$C$11*MAX(AM247-(100),0)+Parameters!$C$12*MAX(AM247-(150),0)+Parameters!$C$13*MAX(AM247-(250),0)),0)</f>
        <v/>
      </c>
      <c r="BG247" s="22">
        <f>IFERROR((Parameters!$C$14*AA247+Parameters!$C$15*MAX(AA247-(12),0)+Parameters!$C$16*MAX(AA247-(36),0)+Parameters!$C$17*MAX(AA247-(60),0)+Parameters!$C$18*MAX(AA247-(84),0)+Parameters!$C$19*MAX(AA247-(120),0)+Parameters!$C$20*MAX(AA247-(180),0)),0)</f>
        <v/>
      </c>
      <c r="BH247" s="22">
        <f>IFERROR((Parameters!$C$21*AK247+Parameters!$C$22*MAX(AK247-(0),0)+Parameters!$C$23*MAX(AK247-(2),0)+Parameters!$C$24*MAX(AK247-(5),0)+Parameters!$C$25*MAX(AK247-(8),0)),0)</f>
        <v/>
      </c>
      <c r="BI247" s="22">
        <f>IFERROR((Parameters!$C$26*AI247+Parameters!$C$27*MAX(AI247-(-100),0)+Parameters!$C$28*MAX(AI247-(-25),0)+Parameters!$C$29*MAX(AI247-(25),0)+Parameters!$C$30*MAX(AI247-(100),0)),0)</f>
        <v/>
      </c>
      <c r="BJ247" s="22">
        <f>IFERROR((Parameters!$C$31*AN247+Parameters!$C$32*MAX(AN247-(2),0)+Parameters!$C$33*MAX(AN247-(10),0)+Parameters!$C$34*MAX(AN247-(25),0)),0)</f>
        <v/>
      </c>
      <c r="BK247" s="22">
        <f>IFERROR((Parameters!$C$35*AB247+Parameters!$C$36*MAX(AB247-(12),0)+Parameters!$C$37*MAX(AB247-(24),0)+Parameters!$C$38*MAX(AB247-(60),0)),0)</f>
        <v/>
      </c>
      <c r="BL247" s="22">
        <f>IFERROR((Parameters!$C$39*AC247+Parameters!$C$40*MAX(AC247-(6),0)+Parameters!$C$41*MAX(AC247-(12),0)+Parameters!$C$42*MAX(AC247-(24),0)),0)</f>
        <v/>
      </c>
      <c r="BM247" s="22">
        <f>IFERROR(Parameters!$C$43*(MAX(AM247,0)*MIN(MAX(AK247,0),10))/100,0)</f>
        <v/>
      </c>
      <c r="BN247" s="22">
        <f>Parameters!$C$44*AE247</f>
        <v/>
      </c>
      <c r="BO247" s="22">
        <f>Parameters!$C$45*AU247 + Parameters!$C$46*AV247 + Parameters!$C$47*AW247 + Parameters!$C$48*AX247 + Parameters!$C$49*AY247 + Parameters!$C$50*AZ247 + Parameters!$C$51*BA247</f>
        <v/>
      </c>
      <c r="BP247" s="22">
        <f>Parameters!$C$52*AQ247</f>
        <v/>
      </c>
      <c r="BQ247" s="22">
        <f>Parameters!$C$53*AR247+Parameters!$C$54*AS247+Parameters!$C$55*AT247</f>
        <v/>
      </c>
      <c r="BR247" s="22">
        <f>Parameters!$C$56*BB247+Parameters!$C$57*BC247+Parameters!$C$58*BD247+Parameters!$C$59*BE247</f>
        <v/>
      </c>
      <c r="BS247" s="23">
        <f>Parameters!$B$2</f>
        <v/>
      </c>
      <c r="BT247" s="23">
        <f>BS247+BF247 + BG247 + BH247 + BI247 + BJ247 + BK247 + BL247 + BM247 + BN247 + BO247 + BP247 + BQ247 + BR247</f>
        <v/>
      </c>
      <c r="BU247" s="24">
        <f>IF(AD247=1,0,1/(1+EXP(-BT247))*Parameters!$B$3)</f>
        <v/>
      </c>
      <c r="BV247" s="25">
        <f>(1-(1-BU247)^12)*100</f>
        <v/>
      </c>
      <c r="BW247" s="25">
        <f>IF(AD247=1,0,(1-(1-1/(1+EXP(-Parameters!$B$2)))^12)*100)</f>
        <v/>
      </c>
      <c r="BX247" s="25">
        <f>IF(AD247=1,0,BV247-(1-(1-(1/(1+EXP(-(BT247-BF247)))*Parameters!$B$3))^12)*100)</f>
        <v/>
      </c>
      <c r="BY247" s="25">
        <f>IF(AD247=1,0,BV247-(1-(1-(1/(1+EXP(-(BT247-BG247)))*Parameters!$B$3))^12)*100)</f>
        <v/>
      </c>
      <c r="BZ247" s="25">
        <f>IF(AD247=1,0,BV247-(1-(1-(1/(1+EXP(-(BT247-BH247)))*Parameters!$B$3))^12)*100)</f>
        <v/>
      </c>
      <c r="CA247" s="25">
        <f>IF(AD247=1,0,BV247-(1-(1-(1/(1+EXP(-(BT247-BI247)))*Parameters!$B$3))^12)*100)</f>
        <v/>
      </c>
      <c r="CB247" s="25">
        <f>IF(AD247=1,0,BV247-(1-(1-(1/(1+EXP(-(BT247-BJ247)))*Parameters!$B$3))^12)*100)</f>
        <v/>
      </c>
      <c r="CC247" s="25">
        <f>IF(AD247=1,0,BV247-(1-(1-(1/(1+EXP(-(BT247-BK247)))*Parameters!$B$3))^12)*100)</f>
        <v/>
      </c>
      <c r="CD247" s="25">
        <f>IF(AD247=1,0,BV247-(1-(1-(1/(1+EXP(-(BT247-BL247)))*Parameters!$B$3))^12)*100)</f>
        <v/>
      </c>
      <c r="CE247" s="25">
        <f>IF(AD247=1,0,BV247-(1-(1-(1/(1+EXP(-(BT247-BM247)))*Parameters!$B$3))^12)*100)</f>
        <v/>
      </c>
      <c r="CF247" s="25">
        <f>IF(AD247=1,0,BV247-(1-(1-(1/(1+EXP(-(BT247-BN247)))*Parameters!$B$3))^12)*100)</f>
        <v/>
      </c>
      <c r="CG247" s="25">
        <f>IF(AD247=1,0,BV247-(1-(1-(1/(1+EXP(-(BT247-BO247)))*Parameters!$B$3))^12)*100)</f>
        <v/>
      </c>
      <c r="CH247" s="25">
        <f>IF(AD247=1,0,BV247-(1-(1-(1/(1+EXP(-(BT247-BP247)))*Parameters!$B$3))^12)*100)</f>
        <v/>
      </c>
      <c r="CI247" s="25">
        <f>IF(AD247=1,0,BV247-(1-(1-(1/(1+EXP(-(BT247-BQ247)))*Parameters!$B$3))^12)*100)</f>
        <v/>
      </c>
      <c r="CJ247" s="25">
        <f>IF(AD247=1,0,BV247-(1-(1-(1/(1+EXP(-(BT247-BR247)))*Parameters!$B$3))^12)*100)</f>
        <v/>
      </c>
    </row>
    <row r="248">
      <c r="A248" s="17" t="inlineStr">
        <is>
          <t>GNR_USDA_538</t>
        </is>
      </c>
      <c r="B248" s="17" t="inlineStr">
        <is>
          <t>36294XZV1</t>
        </is>
      </c>
      <c r="C248" s="17" t="inlineStr">
        <is>
          <t>PN</t>
        </is>
      </c>
      <c r="D248" s="17" t="inlineStr">
        <is>
          <t>PNC BANK, NA</t>
        </is>
      </c>
      <c r="E248" s="17" t="inlineStr">
        <is>
          <t>36294XZV1_033010870702542</t>
        </is>
      </c>
      <c r="F248" s="17" t="n">
        <v>202603</v>
      </c>
      <c r="G248" s="18" t="n">
        <v>7.02</v>
      </c>
      <c r="H248" s="19" t="n">
        <v>1604336.5</v>
      </c>
      <c r="I248" s="17" t="n">
        <v>460</v>
      </c>
      <c r="J248" s="17" t="n">
        <v>20060221</v>
      </c>
      <c r="K248" s="17" t="n">
        <v>20460301</v>
      </c>
      <c r="L248" s="17" t="n">
        <v>20210301</v>
      </c>
      <c r="M248" s="17" t="n">
        <v>20310228</v>
      </c>
      <c r="N248" s="17" t="n">
        <v>10</v>
      </c>
      <c r="O248" s="17" t="inlineStr">
        <is>
          <t>538</t>
        </is>
      </c>
      <c r="P248" s="17" t="n"/>
      <c r="Q248" s="17" t="n"/>
      <c r="R248" s="17" t="n"/>
      <c r="S248" s="17" t="n"/>
      <c r="T248" s="17" t="inlineStr">
        <is>
          <t>NV</t>
        </is>
      </c>
      <c r="U248" s="17" t="n">
        <v>0</v>
      </c>
      <c r="V248" s="17" t="n">
        <v>490.5</v>
      </c>
      <c r="W248" s="17" t="n">
        <v>241</v>
      </c>
      <c r="X248" s="17" t="n">
        <v>2006</v>
      </c>
      <c r="Y248" s="17" t="n">
        <v>190</v>
      </c>
      <c r="Z248" s="17" t="n">
        <v>4.92</v>
      </c>
      <c r="AA248" s="20">
        <f>IF(ISNUMBER(W248),W248,IFERROR(MAX(0,(VALUE(LEFT(F248,4))-VALUE(LEFT(TEXT(J248,"00000000"),4)))*12+(VALUE(MID(F248,5,2))-VALUE(MID(TEXT(J248,"00000000"),5,2)))),""))</f>
        <v/>
      </c>
      <c r="AB248" s="20">
        <f>IFERROR((VALUE(LEFT(TEXT(K248,"00000000"),4))-VALUE(LEFT(F248,4)))*12+(VALUE(MID(TEXT(K248,"00000000"),5,2))-VALUE(MID(F248,5,2))),"")</f>
        <v/>
      </c>
      <c r="AC248" s="20">
        <f>IF(OR(L248="",NOT(ISNUMBER(L248))),0,MAX(0,MIN(60,(VALUE(LEFT(F248,4))-VALUE(LEFT(TEXT(L248,"00000000"),4)))*12+(VALUE(MID(F248,5,2))-VALUE(MID(TEXT(L248,"00000000"),5,2))))))</f>
        <v/>
      </c>
      <c r="AD248" s="20">
        <f>IF(OR(L248="",NOT(ISNUMBER(L248))),0,IF(VALUE(F248)&lt;VALUE(LEFT(TEXT(L248,"00000000"),6)),1,0))</f>
        <v/>
      </c>
      <c r="AE248" s="20">
        <f>IF(OR(M248="",NOT(ISNUMBER(M248))),0,IF(VALUE(F248)&lt;VALUE(LEFT(TEXT(M248,"00000000"),6)),1,0))</f>
        <v/>
      </c>
      <c r="AF248" s="20">
        <f>IF(AND(AD248=0,AE248=0),1,0)</f>
        <v/>
      </c>
      <c r="AG248" s="20">
        <f>IF(ISNUMBER(X248),X248,IFERROR(VALUE(LEFT(TEXT(J248,"00000000"),4)),""))</f>
        <v/>
      </c>
      <c r="AH248" s="20">
        <f>IFERROR(XLOOKUP(AG248,Vintage_Rates!$A$2:$A$1000,Vintage_Rates!$B$2:$B$1000,""),"")</f>
        <v/>
      </c>
      <c r="AI248" s="20">
        <f>IF(ISNUMBER(Y248),Y248,IFERROR((G248-AH248)*100,""))</f>
        <v/>
      </c>
      <c r="AJ248" s="20">
        <f>IF(ISNUMBER(V248),V248,IFERROR(XLOOKUP(VALUE(F248),PLC_Rates!$A$2:$A$1000,PLC_Rates!$B$2:$B$1000,""),""))</f>
        <v/>
      </c>
      <c r="AK248" s="20">
        <f>IF(ISNUMBER(Z248),Z248,IF(AE248=0,0,MAX(0,MIN(10,((VALUE(LEFT(TEXT(M248,"00000000"),4))-VALUE(LEFT(F248,4)))*12+(VALUE(MID(TEXT(M248,"00000000"),5,2))-VALUE(MID(F248,5,2))))/12))))</f>
        <v/>
      </c>
      <c r="AL248" s="20">
        <f>IFERROR(G248*100-AJ248,"")</f>
        <v/>
      </c>
      <c r="AM248" s="20">
        <f>IFERROR(G248*100-(AJ248+(1+AK248)*12.5),"")</f>
        <v/>
      </c>
      <c r="AN248" s="21">
        <f>IFERROR(MIN(H248/1000000,100),"")</f>
        <v/>
      </c>
      <c r="AO248" s="20">
        <f>IFERROR(INDEX(FHA_Lookup!$B$2:$B$11,MATCH(TRUE,ISNUMBER(SEARCH(FHA_Lookup!$A$2:$A$11,UPPER(SUBSTITUTE(O248," ","")))),0)),"OTHER")</f>
        <v/>
      </c>
      <c r="AP248" s="20">
        <f>IFERROR(INDEX(FHA_Lookup!$C$2:$C$11,MATCH(TRUE,ISNUMBER(SEARCH(FHA_Lookup!$A$2:$A$11,UPPER(SUBSTITUTE(O248," ","")))),0)),"OTHER")</f>
        <v/>
      </c>
      <c r="AQ248" s="20">
        <f>IF(AP248="NC",1,0)</f>
        <v/>
      </c>
      <c r="AR248" s="20">
        <f>IF(UPPER(TRIM(P248))="AFF",1,0)</f>
        <v/>
      </c>
      <c r="AS248" s="20">
        <f>IF(UPPER(TRIM(P248))="BAF",1,0)</f>
        <v/>
      </c>
      <c r="AT248" s="20">
        <f>IF(UPPER(TRIM(P248))="MKT",1,0)</f>
        <v/>
      </c>
      <c r="AU248" s="20">
        <f>IF(AO248="221d4",1,0)</f>
        <v/>
      </c>
      <c r="AV248" s="20">
        <f>IF(AO248="223a7",1,0)</f>
        <v/>
      </c>
      <c r="AW248" s="20">
        <f>IF(AO248="232",1,0)</f>
        <v/>
      </c>
      <c r="AX248" s="20">
        <f>IF(AO248="538",1,0)</f>
        <v/>
      </c>
      <c r="AY248" s="20">
        <f>IF(AO248="241",1,0)</f>
        <v/>
      </c>
      <c r="AZ248" s="20">
        <f>IF(AO248="220",1,0)</f>
        <v/>
      </c>
      <c r="BA248" s="20">
        <f>IF(AO248="OTHER",1,0)</f>
        <v/>
      </c>
      <c r="BB248" s="20">
        <f>IF(UPPER(TRIM(C248))="LM",1,0)</f>
        <v/>
      </c>
      <c r="BC248" s="20">
        <f>IF(UPPER(TRIM(C248))="PN",1,0)</f>
        <v/>
      </c>
      <c r="BD248" s="20">
        <f>IF(UPPER(TRIM(C248))="LS",1,0)</f>
        <v/>
      </c>
      <c r="BE248" s="20">
        <f>IF(UPPER(TRIM(C248))="RX",1,0)</f>
        <v/>
      </c>
      <c r="BF248" s="22">
        <f>IFERROR((Parameters!$C$6*AM248+Parameters!$C$7*MAX(AM248-(-150),0)+Parameters!$C$8*MAX(AM248-(-50),0)+Parameters!$C$9*MAX(AM248-(0),0)+Parameters!$C$10*MAX(AM248-(50),0)+Parameters!$C$11*MAX(AM248-(100),0)+Parameters!$C$12*MAX(AM248-(150),0)+Parameters!$C$13*MAX(AM248-(250),0)),0)</f>
        <v/>
      </c>
      <c r="BG248" s="22">
        <f>IFERROR((Parameters!$C$14*AA248+Parameters!$C$15*MAX(AA248-(12),0)+Parameters!$C$16*MAX(AA248-(36),0)+Parameters!$C$17*MAX(AA248-(60),0)+Parameters!$C$18*MAX(AA248-(84),0)+Parameters!$C$19*MAX(AA248-(120),0)+Parameters!$C$20*MAX(AA248-(180),0)),0)</f>
        <v/>
      </c>
      <c r="BH248" s="22">
        <f>IFERROR((Parameters!$C$21*AK248+Parameters!$C$22*MAX(AK248-(0),0)+Parameters!$C$23*MAX(AK248-(2),0)+Parameters!$C$24*MAX(AK248-(5),0)+Parameters!$C$25*MAX(AK248-(8),0)),0)</f>
        <v/>
      </c>
      <c r="BI248" s="22">
        <f>IFERROR((Parameters!$C$26*AI248+Parameters!$C$27*MAX(AI248-(-100),0)+Parameters!$C$28*MAX(AI248-(-25),0)+Parameters!$C$29*MAX(AI248-(25),0)+Parameters!$C$30*MAX(AI248-(100),0)),0)</f>
        <v/>
      </c>
      <c r="BJ248" s="22">
        <f>IFERROR((Parameters!$C$31*AN248+Parameters!$C$32*MAX(AN248-(2),0)+Parameters!$C$33*MAX(AN248-(10),0)+Parameters!$C$34*MAX(AN248-(25),0)),0)</f>
        <v/>
      </c>
      <c r="BK248" s="22">
        <f>IFERROR((Parameters!$C$35*AB248+Parameters!$C$36*MAX(AB248-(12),0)+Parameters!$C$37*MAX(AB248-(24),0)+Parameters!$C$38*MAX(AB248-(60),0)),0)</f>
        <v/>
      </c>
      <c r="BL248" s="22">
        <f>IFERROR((Parameters!$C$39*AC248+Parameters!$C$40*MAX(AC248-(6),0)+Parameters!$C$41*MAX(AC248-(12),0)+Parameters!$C$42*MAX(AC248-(24),0)),0)</f>
        <v/>
      </c>
      <c r="BM248" s="22">
        <f>IFERROR(Parameters!$C$43*(MAX(AM248,0)*MIN(MAX(AK248,0),10))/100,0)</f>
        <v/>
      </c>
      <c r="BN248" s="22">
        <f>Parameters!$C$44*AE248</f>
        <v/>
      </c>
      <c r="BO248" s="22">
        <f>Parameters!$C$45*AU248 + Parameters!$C$46*AV248 + Parameters!$C$47*AW248 + Parameters!$C$48*AX248 + Parameters!$C$49*AY248 + Parameters!$C$50*AZ248 + Parameters!$C$51*BA248</f>
        <v/>
      </c>
      <c r="BP248" s="22">
        <f>Parameters!$C$52*AQ248</f>
        <v/>
      </c>
      <c r="BQ248" s="22">
        <f>Parameters!$C$53*AR248+Parameters!$C$54*AS248+Parameters!$C$55*AT248</f>
        <v/>
      </c>
      <c r="BR248" s="22">
        <f>Parameters!$C$56*BB248+Parameters!$C$57*BC248+Parameters!$C$58*BD248+Parameters!$C$59*BE248</f>
        <v/>
      </c>
      <c r="BS248" s="23">
        <f>Parameters!$B$2</f>
        <v/>
      </c>
      <c r="BT248" s="23">
        <f>BS248+BF248 + BG248 + BH248 + BI248 + BJ248 + BK248 + BL248 + BM248 + BN248 + BO248 + BP248 + BQ248 + BR248</f>
        <v/>
      </c>
      <c r="BU248" s="24">
        <f>IF(AD248=1,0,1/(1+EXP(-BT248))*Parameters!$B$3)</f>
        <v/>
      </c>
      <c r="BV248" s="25">
        <f>(1-(1-BU248)^12)*100</f>
        <v/>
      </c>
      <c r="BW248" s="25">
        <f>IF(AD248=1,0,(1-(1-1/(1+EXP(-Parameters!$B$2)))^12)*100)</f>
        <v/>
      </c>
      <c r="BX248" s="25">
        <f>IF(AD248=1,0,BV248-(1-(1-(1/(1+EXP(-(BT248-BF248)))*Parameters!$B$3))^12)*100)</f>
        <v/>
      </c>
      <c r="BY248" s="25">
        <f>IF(AD248=1,0,BV248-(1-(1-(1/(1+EXP(-(BT248-BG248)))*Parameters!$B$3))^12)*100)</f>
        <v/>
      </c>
      <c r="BZ248" s="25">
        <f>IF(AD248=1,0,BV248-(1-(1-(1/(1+EXP(-(BT248-BH248)))*Parameters!$B$3))^12)*100)</f>
        <v/>
      </c>
      <c r="CA248" s="25">
        <f>IF(AD248=1,0,BV248-(1-(1-(1/(1+EXP(-(BT248-BI248)))*Parameters!$B$3))^12)*100)</f>
        <v/>
      </c>
      <c r="CB248" s="25">
        <f>IF(AD248=1,0,BV248-(1-(1-(1/(1+EXP(-(BT248-BJ248)))*Parameters!$B$3))^12)*100)</f>
        <v/>
      </c>
      <c r="CC248" s="25">
        <f>IF(AD248=1,0,BV248-(1-(1-(1/(1+EXP(-(BT248-BK248)))*Parameters!$B$3))^12)*100)</f>
        <v/>
      </c>
      <c r="CD248" s="25">
        <f>IF(AD248=1,0,BV248-(1-(1-(1/(1+EXP(-(BT248-BL248)))*Parameters!$B$3))^12)*100)</f>
        <v/>
      </c>
      <c r="CE248" s="25">
        <f>IF(AD248=1,0,BV248-(1-(1-(1/(1+EXP(-(BT248-BM248)))*Parameters!$B$3))^12)*100)</f>
        <v/>
      </c>
      <c r="CF248" s="25">
        <f>IF(AD248=1,0,BV248-(1-(1-(1/(1+EXP(-(BT248-BN248)))*Parameters!$B$3))^12)*100)</f>
        <v/>
      </c>
      <c r="CG248" s="25">
        <f>IF(AD248=1,0,BV248-(1-(1-(1/(1+EXP(-(BT248-BO248)))*Parameters!$B$3))^12)*100)</f>
        <v/>
      </c>
      <c r="CH248" s="25">
        <f>IF(AD248=1,0,BV248-(1-(1-(1/(1+EXP(-(BT248-BP248)))*Parameters!$B$3))^12)*100)</f>
        <v/>
      </c>
      <c r="CI248" s="25">
        <f>IF(AD248=1,0,BV248-(1-(1-(1/(1+EXP(-(BT248-BQ248)))*Parameters!$B$3))^12)*100)</f>
        <v/>
      </c>
      <c r="CJ248" s="25">
        <f>IF(AD248=1,0,BV248-(1-(1-(1/(1+EXP(-(BT248-BR248)))*Parameters!$B$3))^12)*100)</f>
        <v/>
      </c>
    </row>
    <row r="249">
      <c r="A249" s="17" t="inlineStr">
        <is>
          <t>GNR_USDA_538</t>
        </is>
      </c>
      <c r="B249" s="17" t="inlineStr">
        <is>
          <t>3618JXY56</t>
        </is>
      </c>
      <c r="C249" s="17" t="inlineStr">
        <is>
          <t>PN</t>
        </is>
      </c>
      <c r="D249" s="17" t="inlineStr">
        <is>
          <t>BONNEVILLE MORTGAGE COMPANY, LLC</t>
        </is>
      </c>
      <c r="E249" s="17" t="inlineStr">
        <is>
          <t>3618JXY56_012020988042561</t>
        </is>
      </c>
      <c r="F249" s="17" t="n">
        <v>202603</v>
      </c>
      <c r="G249" s="18" t="n">
        <v>7.35</v>
      </c>
      <c r="H249" s="19" t="n">
        <v>4089910.9</v>
      </c>
      <c r="I249" s="17" t="n">
        <v>479</v>
      </c>
      <c r="J249" s="17" t="n">
        <v>20250730</v>
      </c>
      <c r="K249" s="17" t="n">
        <v>20650701</v>
      </c>
      <c r="L249" s="17" t="n"/>
      <c r="M249" s="17" t="n">
        <v>20350901</v>
      </c>
      <c r="N249" s="17" t="n">
        <v>10</v>
      </c>
      <c r="O249" s="17" t="inlineStr">
        <is>
          <t>538</t>
        </is>
      </c>
      <c r="P249" s="17" t="n"/>
      <c r="Q249" s="17" t="n"/>
      <c r="R249" s="17" t="n"/>
      <c r="S249" s="17" t="n"/>
      <c r="T249" s="17" t="inlineStr">
        <is>
          <t>ID</t>
        </is>
      </c>
      <c r="U249" s="17" t="n">
        <v>0</v>
      </c>
      <c r="V249" s="17" t="n">
        <v>490.5</v>
      </c>
      <c r="W249" s="17" t="n">
        <v>8</v>
      </c>
      <c r="X249" s="17" t="n">
        <v>2025</v>
      </c>
      <c r="Y249" s="17" t="n">
        <v>153</v>
      </c>
      <c r="Z249" s="17" t="n">
        <v>10</v>
      </c>
      <c r="AA249" s="20">
        <f>IF(ISNUMBER(W249),W249,IFERROR(MAX(0,(VALUE(LEFT(F249,4))-VALUE(LEFT(TEXT(J249,"00000000"),4)))*12+(VALUE(MID(F249,5,2))-VALUE(MID(TEXT(J249,"00000000"),5,2)))),""))</f>
        <v/>
      </c>
      <c r="AB249" s="20">
        <f>IFERROR((VALUE(LEFT(TEXT(K249,"00000000"),4))-VALUE(LEFT(F249,4)))*12+(VALUE(MID(TEXT(K249,"00000000"),5,2))-VALUE(MID(F249,5,2))),"")</f>
        <v/>
      </c>
      <c r="AC249" s="20">
        <f>IF(OR(L249="",NOT(ISNUMBER(L249))),0,MAX(0,MIN(60,(VALUE(LEFT(F249,4))-VALUE(LEFT(TEXT(L249,"00000000"),4)))*12+(VALUE(MID(F249,5,2))-VALUE(MID(TEXT(L249,"00000000"),5,2))))))</f>
        <v/>
      </c>
      <c r="AD249" s="20">
        <f>IF(OR(L249="",NOT(ISNUMBER(L249))),0,IF(VALUE(F249)&lt;VALUE(LEFT(TEXT(L249,"00000000"),6)),1,0))</f>
        <v/>
      </c>
      <c r="AE249" s="20">
        <f>IF(OR(M249="",NOT(ISNUMBER(M249))),0,IF(VALUE(F249)&lt;VALUE(LEFT(TEXT(M249,"00000000"),6)),1,0))</f>
        <v/>
      </c>
      <c r="AF249" s="20">
        <f>IF(AND(AD249=0,AE249=0),1,0)</f>
        <v/>
      </c>
      <c r="AG249" s="20">
        <f>IF(ISNUMBER(X249),X249,IFERROR(VALUE(LEFT(TEXT(J249,"00000000"),4)),""))</f>
        <v/>
      </c>
      <c r="AH249" s="20">
        <f>IFERROR(XLOOKUP(AG249,Vintage_Rates!$A$2:$A$1000,Vintage_Rates!$B$2:$B$1000,""),"")</f>
        <v/>
      </c>
      <c r="AI249" s="20">
        <f>IF(ISNUMBER(Y249),Y249,IFERROR((G249-AH249)*100,""))</f>
        <v/>
      </c>
      <c r="AJ249" s="20">
        <f>IF(ISNUMBER(V249),V249,IFERROR(XLOOKUP(VALUE(F249),PLC_Rates!$A$2:$A$1000,PLC_Rates!$B$2:$B$1000,""),""))</f>
        <v/>
      </c>
      <c r="AK249" s="20">
        <f>IF(ISNUMBER(Z249),Z249,IF(AE249=0,0,MAX(0,MIN(10,((VALUE(LEFT(TEXT(M249,"00000000"),4))-VALUE(LEFT(F249,4)))*12+(VALUE(MID(TEXT(M249,"00000000"),5,2))-VALUE(MID(F249,5,2))))/12))))</f>
        <v/>
      </c>
      <c r="AL249" s="20">
        <f>IFERROR(G249*100-AJ249,"")</f>
        <v/>
      </c>
      <c r="AM249" s="20">
        <f>IFERROR(G249*100-(AJ249+(1+AK249)*12.5),"")</f>
        <v/>
      </c>
      <c r="AN249" s="21">
        <f>IFERROR(MIN(H249/1000000,100),"")</f>
        <v/>
      </c>
      <c r="AO249" s="20">
        <f>IFERROR(INDEX(FHA_Lookup!$B$2:$B$11,MATCH(TRUE,ISNUMBER(SEARCH(FHA_Lookup!$A$2:$A$11,UPPER(SUBSTITUTE(O249," ","")))),0)),"OTHER")</f>
        <v/>
      </c>
      <c r="AP249" s="20">
        <f>IFERROR(INDEX(FHA_Lookup!$C$2:$C$11,MATCH(TRUE,ISNUMBER(SEARCH(FHA_Lookup!$A$2:$A$11,UPPER(SUBSTITUTE(O249," ","")))),0)),"OTHER")</f>
        <v/>
      </c>
      <c r="AQ249" s="20">
        <f>IF(AP249="NC",1,0)</f>
        <v/>
      </c>
      <c r="AR249" s="20">
        <f>IF(UPPER(TRIM(P249))="AFF",1,0)</f>
        <v/>
      </c>
      <c r="AS249" s="20">
        <f>IF(UPPER(TRIM(P249))="BAF",1,0)</f>
        <v/>
      </c>
      <c r="AT249" s="20">
        <f>IF(UPPER(TRIM(P249))="MKT",1,0)</f>
        <v/>
      </c>
      <c r="AU249" s="20">
        <f>IF(AO249="221d4",1,0)</f>
        <v/>
      </c>
      <c r="AV249" s="20">
        <f>IF(AO249="223a7",1,0)</f>
        <v/>
      </c>
      <c r="AW249" s="20">
        <f>IF(AO249="232",1,0)</f>
        <v/>
      </c>
      <c r="AX249" s="20">
        <f>IF(AO249="538",1,0)</f>
        <v/>
      </c>
      <c r="AY249" s="20">
        <f>IF(AO249="241",1,0)</f>
        <v/>
      </c>
      <c r="AZ249" s="20">
        <f>IF(AO249="220",1,0)</f>
        <v/>
      </c>
      <c r="BA249" s="20">
        <f>IF(AO249="OTHER",1,0)</f>
        <v/>
      </c>
      <c r="BB249" s="20">
        <f>IF(UPPER(TRIM(C249))="LM",1,0)</f>
        <v/>
      </c>
      <c r="BC249" s="20">
        <f>IF(UPPER(TRIM(C249))="PN",1,0)</f>
        <v/>
      </c>
      <c r="BD249" s="20">
        <f>IF(UPPER(TRIM(C249))="LS",1,0)</f>
        <v/>
      </c>
      <c r="BE249" s="20">
        <f>IF(UPPER(TRIM(C249))="RX",1,0)</f>
        <v/>
      </c>
      <c r="BF249" s="22">
        <f>IFERROR((Parameters!$C$6*AM249+Parameters!$C$7*MAX(AM249-(-150),0)+Parameters!$C$8*MAX(AM249-(-50),0)+Parameters!$C$9*MAX(AM249-(0),0)+Parameters!$C$10*MAX(AM249-(50),0)+Parameters!$C$11*MAX(AM249-(100),0)+Parameters!$C$12*MAX(AM249-(150),0)+Parameters!$C$13*MAX(AM249-(250),0)),0)</f>
        <v/>
      </c>
      <c r="BG249" s="22">
        <f>IFERROR((Parameters!$C$14*AA249+Parameters!$C$15*MAX(AA249-(12),0)+Parameters!$C$16*MAX(AA249-(36),0)+Parameters!$C$17*MAX(AA249-(60),0)+Parameters!$C$18*MAX(AA249-(84),0)+Parameters!$C$19*MAX(AA249-(120),0)+Parameters!$C$20*MAX(AA249-(180),0)),0)</f>
        <v/>
      </c>
      <c r="BH249" s="22">
        <f>IFERROR((Parameters!$C$21*AK249+Parameters!$C$22*MAX(AK249-(0),0)+Parameters!$C$23*MAX(AK249-(2),0)+Parameters!$C$24*MAX(AK249-(5),0)+Parameters!$C$25*MAX(AK249-(8),0)),0)</f>
        <v/>
      </c>
      <c r="BI249" s="22">
        <f>IFERROR((Parameters!$C$26*AI249+Parameters!$C$27*MAX(AI249-(-100),0)+Parameters!$C$28*MAX(AI249-(-25),0)+Parameters!$C$29*MAX(AI249-(25),0)+Parameters!$C$30*MAX(AI249-(100),0)),0)</f>
        <v/>
      </c>
      <c r="BJ249" s="22">
        <f>IFERROR((Parameters!$C$31*AN249+Parameters!$C$32*MAX(AN249-(2),0)+Parameters!$C$33*MAX(AN249-(10),0)+Parameters!$C$34*MAX(AN249-(25),0)),0)</f>
        <v/>
      </c>
      <c r="BK249" s="22">
        <f>IFERROR((Parameters!$C$35*AB249+Parameters!$C$36*MAX(AB249-(12),0)+Parameters!$C$37*MAX(AB249-(24),0)+Parameters!$C$38*MAX(AB249-(60),0)),0)</f>
        <v/>
      </c>
      <c r="BL249" s="22">
        <f>IFERROR((Parameters!$C$39*AC249+Parameters!$C$40*MAX(AC249-(6),0)+Parameters!$C$41*MAX(AC249-(12),0)+Parameters!$C$42*MAX(AC249-(24),0)),0)</f>
        <v/>
      </c>
      <c r="BM249" s="22">
        <f>IFERROR(Parameters!$C$43*(MAX(AM249,0)*MIN(MAX(AK249,0),10))/100,0)</f>
        <v/>
      </c>
      <c r="BN249" s="22">
        <f>Parameters!$C$44*AE249</f>
        <v/>
      </c>
      <c r="BO249" s="22">
        <f>Parameters!$C$45*AU249 + Parameters!$C$46*AV249 + Parameters!$C$47*AW249 + Parameters!$C$48*AX249 + Parameters!$C$49*AY249 + Parameters!$C$50*AZ249 + Parameters!$C$51*BA249</f>
        <v/>
      </c>
      <c r="BP249" s="22">
        <f>Parameters!$C$52*AQ249</f>
        <v/>
      </c>
      <c r="BQ249" s="22">
        <f>Parameters!$C$53*AR249+Parameters!$C$54*AS249+Parameters!$C$55*AT249</f>
        <v/>
      </c>
      <c r="BR249" s="22">
        <f>Parameters!$C$56*BB249+Parameters!$C$57*BC249+Parameters!$C$58*BD249+Parameters!$C$59*BE249</f>
        <v/>
      </c>
      <c r="BS249" s="23">
        <f>Parameters!$B$2</f>
        <v/>
      </c>
      <c r="BT249" s="23">
        <f>BS249+BF249 + BG249 + BH249 + BI249 + BJ249 + BK249 + BL249 + BM249 + BN249 + BO249 + BP249 + BQ249 + BR249</f>
        <v/>
      </c>
      <c r="BU249" s="24">
        <f>IF(AD249=1,0,1/(1+EXP(-BT249))*Parameters!$B$3)</f>
        <v/>
      </c>
      <c r="BV249" s="25">
        <f>(1-(1-BU249)^12)*100</f>
        <v/>
      </c>
      <c r="BW249" s="25">
        <f>IF(AD249=1,0,(1-(1-1/(1+EXP(-Parameters!$B$2)))^12)*100)</f>
        <v/>
      </c>
      <c r="BX249" s="25">
        <f>IF(AD249=1,0,BV249-(1-(1-(1/(1+EXP(-(BT249-BF249)))*Parameters!$B$3))^12)*100)</f>
        <v/>
      </c>
      <c r="BY249" s="25">
        <f>IF(AD249=1,0,BV249-(1-(1-(1/(1+EXP(-(BT249-BG249)))*Parameters!$B$3))^12)*100)</f>
        <v/>
      </c>
      <c r="BZ249" s="25">
        <f>IF(AD249=1,0,BV249-(1-(1-(1/(1+EXP(-(BT249-BH249)))*Parameters!$B$3))^12)*100)</f>
        <v/>
      </c>
      <c r="CA249" s="25">
        <f>IF(AD249=1,0,BV249-(1-(1-(1/(1+EXP(-(BT249-BI249)))*Parameters!$B$3))^12)*100)</f>
        <v/>
      </c>
      <c r="CB249" s="25">
        <f>IF(AD249=1,0,BV249-(1-(1-(1/(1+EXP(-(BT249-BJ249)))*Parameters!$B$3))^12)*100)</f>
        <v/>
      </c>
      <c r="CC249" s="25">
        <f>IF(AD249=1,0,BV249-(1-(1-(1/(1+EXP(-(BT249-BK249)))*Parameters!$B$3))^12)*100)</f>
        <v/>
      </c>
      <c r="CD249" s="25">
        <f>IF(AD249=1,0,BV249-(1-(1-(1/(1+EXP(-(BT249-BL249)))*Parameters!$B$3))^12)*100)</f>
        <v/>
      </c>
      <c r="CE249" s="25">
        <f>IF(AD249=1,0,BV249-(1-(1-(1/(1+EXP(-(BT249-BM249)))*Parameters!$B$3))^12)*100)</f>
        <v/>
      </c>
      <c r="CF249" s="25">
        <f>IF(AD249=1,0,BV249-(1-(1-(1/(1+EXP(-(BT249-BN249)))*Parameters!$B$3))^12)*100)</f>
        <v/>
      </c>
      <c r="CG249" s="25">
        <f>IF(AD249=1,0,BV249-(1-(1-(1/(1+EXP(-(BT249-BO249)))*Parameters!$B$3))^12)*100)</f>
        <v/>
      </c>
      <c r="CH249" s="25">
        <f>IF(AD249=1,0,BV249-(1-(1-(1/(1+EXP(-(BT249-BP249)))*Parameters!$B$3))^12)*100)</f>
        <v/>
      </c>
      <c r="CI249" s="25">
        <f>IF(AD249=1,0,BV249-(1-(1-(1/(1+EXP(-(BT249-BQ249)))*Parameters!$B$3))^12)*100)</f>
        <v/>
      </c>
      <c r="CJ249" s="25">
        <f>IF(AD249=1,0,BV249-(1-(1-(1/(1+EXP(-(BT249-BR249)))*Parameters!$B$3))^12)*100)</f>
        <v/>
      </c>
    </row>
    <row r="250">
      <c r="A250" s="17" t="inlineStr">
        <is>
          <t>GNR_USDA_538</t>
        </is>
      </c>
      <c r="B250" s="17" t="inlineStr">
        <is>
          <t>3617HBSX4</t>
        </is>
      </c>
      <c r="C250" s="17" t="inlineStr">
        <is>
          <t>PN</t>
        </is>
      </c>
      <c r="D250" s="17" t="inlineStr">
        <is>
          <t>BONNEVILLE MORTGAGE COMPANY, LLC</t>
        </is>
      </c>
      <c r="E250" s="17" t="inlineStr">
        <is>
          <t>3617HBSX4_005002375455227</t>
        </is>
      </c>
      <c r="F250" s="17" t="n">
        <v>202603</v>
      </c>
      <c r="G250" s="18" t="n">
        <v>5.45</v>
      </c>
      <c r="H250" s="19" t="n">
        <v>1359092.6</v>
      </c>
      <c r="I250" s="17" t="n">
        <v>479</v>
      </c>
      <c r="J250" s="17" t="n">
        <v>20180821</v>
      </c>
      <c r="K250" s="17" t="n">
        <v>20580801</v>
      </c>
      <c r="L250" s="17" t="n"/>
      <c r="M250" s="17" t="n">
        <v>20291201</v>
      </c>
      <c r="N250" s="17" t="n">
        <v>10</v>
      </c>
      <c r="O250" s="17" t="inlineStr">
        <is>
          <t>538</t>
        </is>
      </c>
      <c r="P250" s="17" t="n"/>
      <c r="Q250" s="17" t="n"/>
      <c r="R250" s="17" t="n"/>
      <c r="S250" s="17" t="n"/>
      <c r="T250" s="17" t="inlineStr">
        <is>
          <t>CO</t>
        </is>
      </c>
      <c r="U250" s="17" t="n">
        <v>0</v>
      </c>
      <c r="V250" s="17" t="n">
        <v>490.5</v>
      </c>
      <c r="W250" s="17" t="n">
        <v>91</v>
      </c>
      <c r="X250" s="17" t="n">
        <v>2018</v>
      </c>
      <c r="Y250" s="17" t="n">
        <v>143</v>
      </c>
      <c r="Z250" s="17" t="n">
        <v>4</v>
      </c>
      <c r="AA250" s="20">
        <f>IF(ISNUMBER(W250),W250,IFERROR(MAX(0,(VALUE(LEFT(F250,4))-VALUE(LEFT(TEXT(J250,"00000000"),4)))*12+(VALUE(MID(F250,5,2))-VALUE(MID(TEXT(J250,"00000000"),5,2)))),""))</f>
        <v/>
      </c>
      <c r="AB250" s="20">
        <f>IFERROR((VALUE(LEFT(TEXT(K250,"00000000"),4))-VALUE(LEFT(F250,4)))*12+(VALUE(MID(TEXT(K250,"00000000"),5,2))-VALUE(MID(F250,5,2))),"")</f>
        <v/>
      </c>
      <c r="AC250" s="20">
        <f>IF(OR(L250="",NOT(ISNUMBER(L250))),0,MAX(0,MIN(60,(VALUE(LEFT(F250,4))-VALUE(LEFT(TEXT(L250,"00000000"),4)))*12+(VALUE(MID(F250,5,2))-VALUE(MID(TEXT(L250,"00000000"),5,2))))))</f>
        <v/>
      </c>
      <c r="AD250" s="20">
        <f>IF(OR(L250="",NOT(ISNUMBER(L250))),0,IF(VALUE(F250)&lt;VALUE(LEFT(TEXT(L250,"00000000"),6)),1,0))</f>
        <v/>
      </c>
      <c r="AE250" s="20">
        <f>IF(OR(M250="",NOT(ISNUMBER(M250))),0,IF(VALUE(F250)&lt;VALUE(LEFT(TEXT(M250,"00000000"),6)),1,0))</f>
        <v/>
      </c>
      <c r="AF250" s="20">
        <f>IF(AND(AD250=0,AE250=0),1,0)</f>
        <v/>
      </c>
      <c r="AG250" s="20">
        <f>IF(ISNUMBER(X250),X250,IFERROR(VALUE(LEFT(TEXT(J250,"00000000"),4)),""))</f>
        <v/>
      </c>
      <c r="AH250" s="20">
        <f>IFERROR(XLOOKUP(AG250,Vintage_Rates!$A$2:$A$1000,Vintage_Rates!$B$2:$B$1000,""),"")</f>
        <v/>
      </c>
      <c r="AI250" s="20">
        <f>IF(ISNUMBER(Y250),Y250,IFERROR((G250-AH250)*100,""))</f>
        <v/>
      </c>
      <c r="AJ250" s="20">
        <f>IF(ISNUMBER(V250),V250,IFERROR(XLOOKUP(VALUE(F250),PLC_Rates!$A$2:$A$1000,PLC_Rates!$B$2:$B$1000,""),""))</f>
        <v/>
      </c>
      <c r="AK250" s="20">
        <f>IF(ISNUMBER(Z250),Z250,IF(AE250=0,0,MAX(0,MIN(10,((VALUE(LEFT(TEXT(M250,"00000000"),4))-VALUE(LEFT(F250,4)))*12+(VALUE(MID(TEXT(M250,"00000000"),5,2))-VALUE(MID(F250,5,2))))/12))))</f>
        <v/>
      </c>
      <c r="AL250" s="20">
        <f>IFERROR(G250*100-AJ250,"")</f>
        <v/>
      </c>
      <c r="AM250" s="20">
        <f>IFERROR(G250*100-(AJ250+(1+AK250)*12.5),"")</f>
        <v/>
      </c>
      <c r="AN250" s="21">
        <f>IFERROR(MIN(H250/1000000,100),"")</f>
        <v/>
      </c>
      <c r="AO250" s="20">
        <f>IFERROR(INDEX(FHA_Lookup!$B$2:$B$11,MATCH(TRUE,ISNUMBER(SEARCH(FHA_Lookup!$A$2:$A$11,UPPER(SUBSTITUTE(O250," ","")))),0)),"OTHER")</f>
        <v/>
      </c>
      <c r="AP250" s="20">
        <f>IFERROR(INDEX(FHA_Lookup!$C$2:$C$11,MATCH(TRUE,ISNUMBER(SEARCH(FHA_Lookup!$A$2:$A$11,UPPER(SUBSTITUTE(O250," ","")))),0)),"OTHER")</f>
        <v/>
      </c>
      <c r="AQ250" s="20">
        <f>IF(AP250="NC",1,0)</f>
        <v/>
      </c>
      <c r="AR250" s="20">
        <f>IF(UPPER(TRIM(P250))="AFF",1,0)</f>
        <v/>
      </c>
      <c r="AS250" s="20">
        <f>IF(UPPER(TRIM(P250))="BAF",1,0)</f>
        <v/>
      </c>
      <c r="AT250" s="20">
        <f>IF(UPPER(TRIM(P250))="MKT",1,0)</f>
        <v/>
      </c>
      <c r="AU250" s="20">
        <f>IF(AO250="221d4",1,0)</f>
        <v/>
      </c>
      <c r="AV250" s="20">
        <f>IF(AO250="223a7",1,0)</f>
        <v/>
      </c>
      <c r="AW250" s="20">
        <f>IF(AO250="232",1,0)</f>
        <v/>
      </c>
      <c r="AX250" s="20">
        <f>IF(AO250="538",1,0)</f>
        <v/>
      </c>
      <c r="AY250" s="20">
        <f>IF(AO250="241",1,0)</f>
        <v/>
      </c>
      <c r="AZ250" s="20">
        <f>IF(AO250="220",1,0)</f>
        <v/>
      </c>
      <c r="BA250" s="20">
        <f>IF(AO250="OTHER",1,0)</f>
        <v/>
      </c>
      <c r="BB250" s="20">
        <f>IF(UPPER(TRIM(C250))="LM",1,0)</f>
        <v/>
      </c>
      <c r="BC250" s="20">
        <f>IF(UPPER(TRIM(C250))="PN",1,0)</f>
        <v/>
      </c>
      <c r="BD250" s="20">
        <f>IF(UPPER(TRIM(C250))="LS",1,0)</f>
        <v/>
      </c>
      <c r="BE250" s="20">
        <f>IF(UPPER(TRIM(C250))="RX",1,0)</f>
        <v/>
      </c>
      <c r="BF250" s="22">
        <f>IFERROR((Parameters!$C$6*AM250+Parameters!$C$7*MAX(AM250-(-150),0)+Parameters!$C$8*MAX(AM250-(-50),0)+Parameters!$C$9*MAX(AM250-(0),0)+Parameters!$C$10*MAX(AM250-(50),0)+Parameters!$C$11*MAX(AM250-(100),0)+Parameters!$C$12*MAX(AM250-(150),0)+Parameters!$C$13*MAX(AM250-(250),0)),0)</f>
        <v/>
      </c>
      <c r="BG250" s="22">
        <f>IFERROR((Parameters!$C$14*AA250+Parameters!$C$15*MAX(AA250-(12),0)+Parameters!$C$16*MAX(AA250-(36),0)+Parameters!$C$17*MAX(AA250-(60),0)+Parameters!$C$18*MAX(AA250-(84),0)+Parameters!$C$19*MAX(AA250-(120),0)+Parameters!$C$20*MAX(AA250-(180),0)),0)</f>
        <v/>
      </c>
      <c r="BH250" s="22">
        <f>IFERROR((Parameters!$C$21*AK250+Parameters!$C$22*MAX(AK250-(0),0)+Parameters!$C$23*MAX(AK250-(2),0)+Parameters!$C$24*MAX(AK250-(5),0)+Parameters!$C$25*MAX(AK250-(8),0)),0)</f>
        <v/>
      </c>
      <c r="BI250" s="22">
        <f>IFERROR((Parameters!$C$26*AI250+Parameters!$C$27*MAX(AI250-(-100),0)+Parameters!$C$28*MAX(AI250-(-25),0)+Parameters!$C$29*MAX(AI250-(25),0)+Parameters!$C$30*MAX(AI250-(100),0)),0)</f>
        <v/>
      </c>
      <c r="BJ250" s="22">
        <f>IFERROR((Parameters!$C$31*AN250+Parameters!$C$32*MAX(AN250-(2),0)+Parameters!$C$33*MAX(AN250-(10),0)+Parameters!$C$34*MAX(AN250-(25),0)),0)</f>
        <v/>
      </c>
      <c r="BK250" s="22">
        <f>IFERROR((Parameters!$C$35*AB250+Parameters!$C$36*MAX(AB250-(12),0)+Parameters!$C$37*MAX(AB250-(24),0)+Parameters!$C$38*MAX(AB250-(60),0)),0)</f>
        <v/>
      </c>
      <c r="BL250" s="22">
        <f>IFERROR((Parameters!$C$39*AC250+Parameters!$C$40*MAX(AC250-(6),0)+Parameters!$C$41*MAX(AC250-(12),0)+Parameters!$C$42*MAX(AC250-(24),0)),0)</f>
        <v/>
      </c>
      <c r="BM250" s="22">
        <f>IFERROR(Parameters!$C$43*(MAX(AM250,0)*MIN(MAX(AK250,0),10))/100,0)</f>
        <v/>
      </c>
      <c r="BN250" s="22">
        <f>Parameters!$C$44*AE250</f>
        <v/>
      </c>
      <c r="BO250" s="22">
        <f>Parameters!$C$45*AU250 + Parameters!$C$46*AV250 + Parameters!$C$47*AW250 + Parameters!$C$48*AX250 + Parameters!$C$49*AY250 + Parameters!$C$50*AZ250 + Parameters!$C$51*BA250</f>
        <v/>
      </c>
      <c r="BP250" s="22">
        <f>Parameters!$C$52*AQ250</f>
        <v/>
      </c>
      <c r="BQ250" s="22">
        <f>Parameters!$C$53*AR250+Parameters!$C$54*AS250+Parameters!$C$55*AT250</f>
        <v/>
      </c>
      <c r="BR250" s="22">
        <f>Parameters!$C$56*BB250+Parameters!$C$57*BC250+Parameters!$C$58*BD250+Parameters!$C$59*BE250</f>
        <v/>
      </c>
      <c r="BS250" s="23">
        <f>Parameters!$B$2</f>
        <v/>
      </c>
      <c r="BT250" s="23">
        <f>BS250+BF250 + BG250 + BH250 + BI250 + BJ250 + BK250 + BL250 + BM250 + BN250 + BO250 + BP250 + BQ250 + BR250</f>
        <v/>
      </c>
      <c r="BU250" s="24">
        <f>IF(AD250=1,0,1/(1+EXP(-BT250))*Parameters!$B$3)</f>
        <v/>
      </c>
      <c r="BV250" s="25">
        <f>(1-(1-BU250)^12)*100</f>
        <v/>
      </c>
      <c r="BW250" s="25">
        <f>IF(AD250=1,0,(1-(1-1/(1+EXP(-Parameters!$B$2)))^12)*100)</f>
        <v/>
      </c>
      <c r="BX250" s="25">
        <f>IF(AD250=1,0,BV250-(1-(1-(1/(1+EXP(-(BT250-BF250)))*Parameters!$B$3))^12)*100)</f>
        <v/>
      </c>
      <c r="BY250" s="25">
        <f>IF(AD250=1,0,BV250-(1-(1-(1/(1+EXP(-(BT250-BG250)))*Parameters!$B$3))^12)*100)</f>
        <v/>
      </c>
      <c r="BZ250" s="25">
        <f>IF(AD250=1,0,BV250-(1-(1-(1/(1+EXP(-(BT250-BH250)))*Parameters!$B$3))^12)*100)</f>
        <v/>
      </c>
      <c r="CA250" s="25">
        <f>IF(AD250=1,0,BV250-(1-(1-(1/(1+EXP(-(BT250-BI250)))*Parameters!$B$3))^12)*100)</f>
        <v/>
      </c>
      <c r="CB250" s="25">
        <f>IF(AD250=1,0,BV250-(1-(1-(1/(1+EXP(-(BT250-BJ250)))*Parameters!$B$3))^12)*100)</f>
        <v/>
      </c>
      <c r="CC250" s="25">
        <f>IF(AD250=1,0,BV250-(1-(1-(1/(1+EXP(-(BT250-BK250)))*Parameters!$B$3))^12)*100)</f>
        <v/>
      </c>
      <c r="CD250" s="25">
        <f>IF(AD250=1,0,BV250-(1-(1-(1/(1+EXP(-(BT250-BL250)))*Parameters!$B$3))^12)*100)</f>
        <v/>
      </c>
      <c r="CE250" s="25">
        <f>IF(AD250=1,0,BV250-(1-(1-(1/(1+EXP(-(BT250-BM250)))*Parameters!$B$3))^12)*100)</f>
        <v/>
      </c>
      <c r="CF250" s="25">
        <f>IF(AD250=1,0,BV250-(1-(1-(1/(1+EXP(-(BT250-BN250)))*Parameters!$B$3))^12)*100)</f>
        <v/>
      </c>
      <c r="CG250" s="25">
        <f>IF(AD250=1,0,BV250-(1-(1-(1/(1+EXP(-(BT250-BO250)))*Parameters!$B$3))^12)*100)</f>
        <v/>
      </c>
      <c r="CH250" s="25">
        <f>IF(AD250=1,0,BV250-(1-(1-(1/(1+EXP(-(BT250-BP250)))*Parameters!$B$3))^12)*100)</f>
        <v/>
      </c>
      <c r="CI250" s="25">
        <f>IF(AD250=1,0,BV250-(1-(1-(1/(1+EXP(-(BT250-BQ250)))*Parameters!$B$3))^12)*100)</f>
        <v/>
      </c>
      <c r="CJ250" s="25">
        <f>IF(AD250=1,0,BV250-(1-(1-(1/(1+EXP(-(BT250-BR250)))*Parameters!$B$3))^12)*100)</f>
        <v/>
      </c>
    </row>
    <row r="251">
      <c r="A251" s="17" t="inlineStr">
        <is>
          <t>GNR_USDA_538</t>
        </is>
      </c>
      <c r="B251" s="17" t="inlineStr">
        <is>
          <t>3617XUQQ1</t>
        </is>
      </c>
      <c r="C251" s="17" t="inlineStr">
        <is>
          <t>PN</t>
        </is>
      </c>
      <c r="D251" s="17" t="inlineStr">
        <is>
          <t>CHURCHILL MORTGAGE INVESTMENT LLC</t>
        </is>
      </c>
      <c r="E251" s="17" t="inlineStr">
        <is>
          <t>3617XUQQ1_009018739364235</t>
        </is>
      </c>
      <c r="F251" s="17" t="n">
        <v>202603</v>
      </c>
      <c r="G251" s="18" t="n">
        <v>5.23</v>
      </c>
      <c r="H251" s="19" t="n">
        <v>42023347.74</v>
      </c>
      <c r="I251" s="17" t="n">
        <v>459</v>
      </c>
      <c r="J251" s="17" t="n">
        <v>20220603</v>
      </c>
      <c r="K251" s="17" t="n">
        <v>20620601</v>
      </c>
      <c r="L251" s="17" t="n"/>
      <c r="M251" s="17" t="n">
        <v>20290701</v>
      </c>
      <c r="N251" s="17" t="n">
        <v>5</v>
      </c>
      <c r="O251" s="17" t="inlineStr">
        <is>
          <t>538</t>
        </is>
      </c>
      <c r="P251" s="17" t="n"/>
      <c r="Q251" s="17" t="n"/>
      <c r="R251" s="17" t="n"/>
      <c r="S251" s="17" t="n"/>
      <c r="T251" s="17" t="inlineStr">
        <is>
          <t>FL</t>
        </is>
      </c>
      <c r="U251" s="17" t="n">
        <v>0</v>
      </c>
      <c r="V251" s="17" t="n">
        <v>490.5</v>
      </c>
      <c r="W251" s="17" t="n">
        <v>45</v>
      </c>
      <c r="X251" s="17" t="n">
        <v>2022</v>
      </c>
      <c r="Y251" s="17" t="n">
        <v>148</v>
      </c>
      <c r="Z251" s="17" t="n">
        <v>4</v>
      </c>
      <c r="AA251" s="20">
        <f>IF(ISNUMBER(W251),W251,IFERROR(MAX(0,(VALUE(LEFT(F251,4))-VALUE(LEFT(TEXT(J251,"00000000"),4)))*12+(VALUE(MID(F251,5,2))-VALUE(MID(TEXT(J251,"00000000"),5,2)))),""))</f>
        <v/>
      </c>
      <c r="AB251" s="20">
        <f>IFERROR((VALUE(LEFT(TEXT(K251,"00000000"),4))-VALUE(LEFT(F251,4)))*12+(VALUE(MID(TEXT(K251,"00000000"),5,2))-VALUE(MID(F251,5,2))),"")</f>
        <v/>
      </c>
      <c r="AC251" s="20">
        <f>IF(OR(L251="",NOT(ISNUMBER(L251))),0,MAX(0,MIN(60,(VALUE(LEFT(F251,4))-VALUE(LEFT(TEXT(L251,"00000000"),4)))*12+(VALUE(MID(F251,5,2))-VALUE(MID(TEXT(L251,"00000000"),5,2))))))</f>
        <v/>
      </c>
      <c r="AD251" s="20">
        <f>IF(OR(L251="",NOT(ISNUMBER(L251))),0,IF(VALUE(F251)&lt;VALUE(LEFT(TEXT(L251,"00000000"),6)),1,0))</f>
        <v/>
      </c>
      <c r="AE251" s="20">
        <f>IF(OR(M251="",NOT(ISNUMBER(M251))),0,IF(VALUE(F251)&lt;VALUE(LEFT(TEXT(M251,"00000000"),6)),1,0))</f>
        <v/>
      </c>
      <c r="AF251" s="20">
        <f>IF(AND(AD251=0,AE251=0),1,0)</f>
        <v/>
      </c>
      <c r="AG251" s="20">
        <f>IF(ISNUMBER(X251),X251,IFERROR(VALUE(LEFT(TEXT(J251,"00000000"),4)),""))</f>
        <v/>
      </c>
      <c r="AH251" s="20">
        <f>IFERROR(XLOOKUP(AG251,Vintage_Rates!$A$2:$A$1000,Vintage_Rates!$B$2:$B$1000,""),"")</f>
        <v/>
      </c>
      <c r="AI251" s="20">
        <f>IF(ISNUMBER(Y251),Y251,IFERROR((G251-AH251)*100,""))</f>
        <v/>
      </c>
      <c r="AJ251" s="20">
        <f>IF(ISNUMBER(V251),V251,IFERROR(XLOOKUP(VALUE(F251),PLC_Rates!$A$2:$A$1000,PLC_Rates!$B$2:$B$1000,""),""))</f>
        <v/>
      </c>
      <c r="AK251" s="20">
        <f>IF(ISNUMBER(Z251),Z251,IF(AE251=0,0,MAX(0,MIN(10,((VALUE(LEFT(TEXT(M251,"00000000"),4))-VALUE(LEFT(F251,4)))*12+(VALUE(MID(TEXT(M251,"00000000"),5,2))-VALUE(MID(F251,5,2))))/12))))</f>
        <v/>
      </c>
      <c r="AL251" s="20">
        <f>IFERROR(G251*100-AJ251,"")</f>
        <v/>
      </c>
      <c r="AM251" s="20">
        <f>IFERROR(G251*100-(AJ251+(1+AK251)*12.5),"")</f>
        <v/>
      </c>
      <c r="AN251" s="21">
        <f>IFERROR(MIN(H251/1000000,100),"")</f>
        <v/>
      </c>
      <c r="AO251" s="20">
        <f>IFERROR(INDEX(FHA_Lookup!$B$2:$B$11,MATCH(TRUE,ISNUMBER(SEARCH(FHA_Lookup!$A$2:$A$11,UPPER(SUBSTITUTE(O251," ","")))),0)),"OTHER")</f>
        <v/>
      </c>
      <c r="AP251" s="20">
        <f>IFERROR(INDEX(FHA_Lookup!$C$2:$C$11,MATCH(TRUE,ISNUMBER(SEARCH(FHA_Lookup!$A$2:$A$11,UPPER(SUBSTITUTE(O251," ","")))),0)),"OTHER")</f>
        <v/>
      </c>
      <c r="AQ251" s="20">
        <f>IF(AP251="NC",1,0)</f>
        <v/>
      </c>
      <c r="AR251" s="20">
        <f>IF(UPPER(TRIM(P251))="AFF",1,0)</f>
        <v/>
      </c>
      <c r="AS251" s="20">
        <f>IF(UPPER(TRIM(P251))="BAF",1,0)</f>
        <v/>
      </c>
      <c r="AT251" s="20">
        <f>IF(UPPER(TRIM(P251))="MKT",1,0)</f>
        <v/>
      </c>
      <c r="AU251" s="20">
        <f>IF(AO251="221d4",1,0)</f>
        <v/>
      </c>
      <c r="AV251" s="20">
        <f>IF(AO251="223a7",1,0)</f>
        <v/>
      </c>
      <c r="AW251" s="20">
        <f>IF(AO251="232",1,0)</f>
        <v/>
      </c>
      <c r="AX251" s="20">
        <f>IF(AO251="538",1,0)</f>
        <v/>
      </c>
      <c r="AY251" s="20">
        <f>IF(AO251="241",1,0)</f>
        <v/>
      </c>
      <c r="AZ251" s="20">
        <f>IF(AO251="220",1,0)</f>
        <v/>
      </c>
      <c r="BA251" s="20">
        <f>IF(AO251="OTHER",1,0)</f>
        <v/>
      </c>
      <c r="BB251" s="20">
        <f>IF(UPPER(TRIM(C251))="LM",1,0)</f>
        <v/>
      </c>
      <c r="BC251" s="20">
        <f>IF(UPPER(TRIM(C251))="PN",1,0)</f>
        <v/>
      </c>
      <c r="BD251" s="20">
        <f>IF(UPPER(TRIM(C251))="LS",1,0)</f>
        <v/>
      </c>
      <c r="BE251" s="20">
        <f>IF(UPPER(TRIM(C251))="RX",1,0)</f>
        <v/>
      </c>
      <c r="BF251" s="22">
        <f>IFERROR((Parameters!$C$6*AM251+Parameters!$C$7*MAX(AM251-(-150),0)+Parameters!$C$8*MAX(AM251-(-50),0)+Parameters!$C$9*MAX(AM251-(0),0)+Parameters!$C$10*MAX(AM251-(50),0)+Parameters!$C$11*MAX(AM251-(100),0)+Parameters!$C$12*MAX(AM251-(150),0)+Parameters!$C$13*MAX(AM251-(250),0)),0)</f>
        <v/>
      </c>
      <c r="BG251" s="22">
        <f>IFERROR((Parameters!$C$14*AA251+Parameters!$C$15*MAX(AA251-(12),0)+Parameters!$C$16*MAX(AA251-(36),0)+Parameters!$C$17*MAX(AA251-(60),0)+Parameters!$C$18*MAX(AA251-(84),0)+Parameters!$C$19*MAX(AA251-(120),0)+Parameters!$C$20*MAX(AA251-(180),0)),0)</f>
        <v/>
      </c>
      <c r="BH251" s="22">
        <f>IFERROR((Parameters!$C$21*AK251+Parameters!$C$22*MAX(AK251-(0),0)+Parameters!$C$23*MAX(AK251-(2),0)+Parameters!$C$24*MAX(AK251-(5),0)+Parameters!$C$25*MAX(AK251-(8),0)),0)</f>
        <v/>
      </c>
      <c r="BI251" s="22">
        <f>IFERROR((Parameters!$C$26*AI251+Parameters!$C$27*MAX(AI251-(-100),0)+Parameters!$C$28*MAX(AI251-(-25),0)+Parameters!$C$29*MAX(AI251-(25),0)+Parameters!$C$30*MAX(AI251-(100),0)),0)</f>
        <v/>
      </c>
      <c r="BJ251" s="22">
        <f>IFERROR((Parameters!$C$31*AN251+Parameters!$C$32*MAX(AN251-(2),0)+Parameters!$C$33*MAX(AN251-(10),0)+Parameters!$C$34*MAX(AN251-(25),0)),0)</f>
        <v/>
      </c>
      <c r="BK251" s="22">
        <f>IFERROR((Parameters!$C$35*AB251+Parameters!$C$36*MAX(AB251-(12),0)+Parameters!$C$37*MAX(AB251-(24),0)+Parameters!$C$38*MAX(AB251-(60),0)),0)</f>
        <v/>
      </c>
      <c r="BL251" s="22">
        <f>IFERROR((Parameters!$C$39*AC251+Parameters!$C$40*MAX(AC251-(6),0)+Parameters!$C$41*MAX(AC251-(12),0)+Parameters!$C$42*MAX(AC251-(24),0)),0)</f>
        <v/>
      </c>
      <c r="BM251" s="22">
        <f>IFERROR(Parameters!$C$43*(MAX(AM251,0)*MIN(MAX(AK251,0),10))/100,0)</f>
        <v/>
      </c>
      <c r="BN251" s="22">
        <f>Parameters!$C$44*AE251</f>
        <v/>
      </c>
      <c r="BO251" s="22">
        <f>Parameters!$C$45*AU251 + Parameters!$C$46*AV251 + Parameters!$C$47*AW251 + Parameters!$C$48*AX251 + Parameters!$C$49*AY251 + Parameters!$C$50*AZ251 + Parameters!$C$51*BA251</f>
        <v/>
      </c>
      <c r="BP251" s="22">
        <f>Parameters!$C$52*AQ251</f>
        <v/>
      </c>
      <c r="BQ251" s="22">
        <f>Parameters!$C$53*AR251+Parameters!$C$54*AS251+Parameters!$C$55*AT251</f>
        <v/>
      </c>
      <c r="BR251" s="22">
        <f>Parameters!$C$56*BB251+Parameters!$C$57*BC251+Parameters!$C$58*BD251+Parameters!$C$59*BE251</f>
        <v/>
      </c>
      <c r="BS251" s="23">
        <f>Parameters!$B$2</f>
        <v/>
      </c>
      <c r="BT251" s="23">
        <f>BS251+BF251 + BG251 + BH251 + BI251 + BJ251 + BK251 + BL251 + BM251 + BN251 + BO251 + BP251 + BQ251 + BR251</f>
        <v/>
      </c>
      <c r="BU251" s="24">
        <f>IF(AD251=1,0,1/(1+EXP(-BT251))*Parameters!$B$3)</f>
        <v/>
      </c>
      <c r="BV251" s="25">
        <f>(1-(1-BU251)^12)*100</f>
        <v/>
      </c>
      <c r="BW251" s="25">
        <f>IF(AD251=1,0,(1-(1-1/(1+EXP(-Parameters!$B$2)))^12)*100)</f>
        <v/>
      </c>
      <c r="BX251" s="25">
        <f>IF(AD251=1,0,BV251-(1-(1-(1/(1+EXP(-(BT251-BF251)))*Parameters!$B$3))^12)*100)</f>
        <v/>
      </c>
      <c r="BY251" s="25">
        <f>IF(AD251=1,0,BV251-(1-(1-(1/(1+EXP(-(BT251-BG251)))*Parameters!$B$3))^12)*100)</f>
        <v/>
      </c>
      <c r="BZ251" s="25">
        <f>IF(AD251=1,0,BV251-(1-(1-(1/(1+EXP(-(BT251-BH251)))*Parameters!$B$3))^12)*100)</f>
        <v/>
      </c>
      <c r="CA251" s="25">
        <f>IF(AD251=1,0,BV251-(1-(1-(1/(1+EXP(-(BT251-BI251)))*Parameters!$B$3))^12)*100)</f>
        <v/>
      </c>
      <c r="CB251" s="25">
        <f>IF(AD251=1,0,BV251-(1-(1-(1/(1+EXP(-(BT251-BJ251)))*Parameters!$B$3))^12)*100)</f>
        <v/>
      </c>
      <c r="CC251" s="25">
        <f>IF(AD251=1,0,BV251-(1-(1-(1/(1+EXP(-(BT251-BK251)))*Parameters!$B$3))^12)*100)</f>
        <v/>
      </c>
      <c r="CD251" s="25">
        <f>IF(AD251=1,0,BV251-(1-(1-(1/(1+EXP(-(BT251-BL251)))*Parameters!$B$3))^12)*100)</f>
        <v/>
      </c>
      <c r="CE251" s="25">
        <f>IF(AD251=1,0,BV251-(1-(1-(1/(1+EXP(-(BT251-BM251)))*Parameters!$B$3))^12)*100)</f>
        <v/>
      </c>
      <c r="CF251" s="25">
        <f>IF(AD251=1,0,BV251-(1-(1-(1/(1+EXP(-(BT251-BN251)))*Parameters!$B$3))^12)*100)</f>
        <v/>
      </c>
      <c r="CG251" s="25">
        <f>IF(AD251=1,0,BV251-(1-(1-(1/(1+EXP(-(BT251-BO251)))*Parameters!$B$3))^12)*100)</f>
        <v/>
      </c>
      <c r="CH251" s="25">
        <f>IF(AD251=1,0,BV251-(1-(1-(1/(1+EXP(-(BT251-BP251)))*Parameters!$B$3))^12)*100)</f>
        <v/>
      </c>
      <c r="CI251" s="25">
        <f>IF(AD251=1,0,BV251-(1-(1-(1/(1+EXP(-(BT251-BQ251)))*Parameters!$B$3))^12)*100)</f>
        <v/>
      </c>
      <c r="CJ251" s="25">
        <f>IF(AD251=1,0,BV251-(1-(1-(1/(1+EXP(-(BT251-BR251)))*Parameters!$B$3))^12)*100)</f>
        <v/>
      </c>
    </row>
    <row r="252">
      <c r="A252" s="17" t="inlineStr">
        <is>
          <t>GNR_USDA_538</t>
        </is>
      </c>
      <c r="B252" s="17" t="inlineStr">
        <is>
          <t>3617BMMZ7</t>
        </is>
      </c>
      <c r="C252" s="17" t="inlineStr">
        <is>
          <t>PN</t>
        </is>
      </c>
      <c r="D252" s="17" t="inlineStr">
        <is>
          <t>CHURCHILL MORTGAGE INVESTMENT LLC</t>
        </is>
      </c>
      <c r="E252" s="17" t="inlineStr">
        <is>
          <t>3617BMMZ7_010020666258488</t>
        </is>
      </c>
      <c r="F252" s="17" t="n">
        <v>202603</v>
      </c>
      <c r="G252" s="18" t="n">
        <v>4.5</v>
      </c>
      <c r="H252" s="19" t="n">
        <v>556896.3199999999</v>
      </c>
      <c r="I252" s="17" t="n">
        <v>477</v>
      </c>
      <c r="J252" s="17" t="n">
        <v>20171219</v>
      </c>
      <c r="K252" s="17" t="n">
        <v>20571201</v>
      </c>
      <c r="L252" s="17" t="n"/>
      <c r="M252" s="17" t="n">
        <v>20291231</v>
      </c>
      <c r="N252" s="17" t="n">
        <v>10</v>
      </c>
      <c r="O252" s="17" t="inlineStr">
        <is>
          <t>538</t>
        </is>
      </c>
      <c r="P252" s="17" t="n"/>
      <c r="Q252" s="17" t="n"/>
      <c r="R252" s="17" t="n"/>
      <c r="S252" s="17" t="n"/>
      <c r="T252" s="17" t="inlineStr">
        <is>
          <t>GA</t>
        </is>
      </c>
      <c r="U252" s="17" t="n">
        <v>0</v>
      </c>
      <c r="V252" s="17" t="n">
        <v>490.5</v>
      </c>
      <c r="W252" s="17" t="n">
        <v>99</v>
      </c>
      <c r="X252" s="17" t="n">
        <v>2017</v>
      </c>
      <c r="Y252" s="17" t="n">
        <v>103</v>
      </c>
      <c r="Z252" s="17" t="n">
        <v>4</v>
      </c>
      <c r="AA252" s="20">
        <f>IF(ISNUMBER(W252),W252,IFERROR(MAX(0,(VALUE(LEFT(F252,4))-VALUE(LEFT(TEXT(J252,"00000000"),4)))*12+(VALUE(MID(F252,5,2))-VALUE(MID(TEXT(J252,"00000000"),5,2)))),""))</f>
        <v/>
      </c>
      <c r="AB252" s="20">
        <f>IFERROR((VALUE(LEFT(TEXT(K252,"00000000"),4))-VALUE(LEFT(F252,4)))*12+(VALUE(MID(TEXT(K252,"00000000"),5,2))-VALUE(MID(F252,5,2))),"")</f>
        <v/>
      </c>
      <c r="AC252" s="20">
        <f>IF(OR(L252="",NOT(ISNUMBER(L252))),0,MAX(0,MIN(60,(VALUE(LEFT(F252,4))-VALUE(LEFT(TEXT(L252,"00000000"),4)))*12+(VALUE(MID(F252,5,2))-VALUE(MID(TEXT(L252,"00000000"),5,2))))))</f>
        <v/>
      </c>
      <c r="AD252" s="20">
        <f>IF(OR(L252="",NOT(ISNUMBER(L252))),0,IF(VALUE(F252)&lt;VALUE(LEFT(TEXT(L252,"00000000"),6)),1,0))</f>
        <v/>
      </c>
      <c r="AE252" s="20">
        <f>IF(OR(M252="",NOT(ISNUMBER(M252))),0,IF(VALUE(F252)&lt;VALUE(LEFT(TEXT(M252,"00000000"),6)),1,0))</f>
        <v/>
      </c>
      <c r="AF252" s="20">
        <f>IF(AND(AD252=0,AE252=0),1,0)</f>
        <v/>
      </c>
      <c r="AG252" s="20">
        <f>IF(ISNUMBER(X252),X252,IFERROR(VALUE(LEFT(TEXT(J252,"00000000"),4)),""))</f>
        <v/>
      </c>
      <c r="AH252" s="20">
        <f>IFERROR(XLOOKUP(AG252,Vintage_Rates!$A$2:$A$1000,Vintage_Rates!$B$2:$B$1000,""),"")</f>
        <v/>
      </c>
      <c r="AI252" s="20">
        <f>IF(ISNUMBER(Y252),Y252,IFERROR((G252-AH252)*100,""))</f>
        <v/>
      </c>
      <c r="AJ252" s="20">
        <f>IF(ISNUMBER(V252),V252,IFERROR(XLOOKUP(VALUE(F252),PLC_Rates!$A$2:$A$1000,PLC_Rates!$B$2:$B$1000,""),""))</f>
        <v/>
      </c>
      <c r="AK252" s="20">
        <f>IF(ISNUMBER(Z252),Z252,IF(AE252=0,0,MAX(0,MIN(10,((VALUE(LEFT(TEXT(M252,"00000000"),4))-VALUE(LEFT(F252,4)))*12+(VALUE(MID(TEXT(M252,"00000000"),5,2))-VALUE(MID(F252,5,2))))/12))))</f>
        <v/>
      </c>
      <c r="AL252" s="20">
        <f>IFERROR(G252*100-AJ252,"")</f>
        <v/>
      </c>
      <c r="AM252" s="20">
        <f>IFERROR(G252*100-(AJ252+(1+AK252)*12.5),"")</f>
        <v/>
      </c>
      <c r="AN252" s="21">
        <f>IFERROR(MIN(H252/1000000,100),"")</f>
        <v/>
      </c>
      <c r="AO252" s="20">
        <f>IFERROR(INDEX(FHA_Lookup!$B$2:$B$11,MATCH(TRUE,ISNUMBER(SEARCH(FHA_Lookup!$A$2:$A$11,UPPER(SUBSTITUTE(O252," ","")))),0)),"OTHER")</f>
        <v/>
      </c>
      <c r="AP252" s="20">
        <f>IFERROR(INDEX(FHA_Lookup!$C$2:$C$11,MATCH(TRUE,ISNUMBER(SEARCH(FHA_Lookup!$A$2:$A$11,UPPER(SUBSTITUTE(O252," ","")))),0)),"OTHER")</f>
        <v/>
      </c>
      <c r="AQ252" s="20">
        <f>IF(AP252="NC",1,0)</f>
        <v/>
      </c>
      <c r="AR252" s="20">
        <f>IF(UPPER(TRIM(P252))="AFF",1,0)</f>
        <v/>
      </c>
      <c r="AS252" s="20">
        <f>IF(UPPER(TRIM(P252))="BAF",1,0)</f>
        <v/>
      </c>
      <c r="AT252" s="20">
        <f>IF(UPPER(TRIM(P252))="MKT",1,0)</f>
        <v/>
      </c>
      <c r="AU252" s="20">
        <f>IF(AO252="221d4",1,0)</f>
        <v/>
      </c>
      <c r="AV252" s="20">
        <f>IF(AO252="223a7",1,0)</f>
        <v/>
      </c>
      <c r="AW252" s="20">
        <f>IF(AO252="232",1,0)</f>
        <v/>
      </c>
      <c r="AX252" s="20">
        <f>IF(AO252="538",1,0)</f>
        <v/>
      </c>
      <c r="AY252" s="20">
        <f>IF(AO252="241",1,0)</f>
        <v/>
      </c>
      <c r="AZ252" s="20">
        <f>IF(AO252="220",1,0)</f>
        <v/>
      </c>
      <c r="BA252" s="20">
        <f>IF(AO252="OTHER",1,0)</f>
        <v/>
      </c>
      <c r="BB252" s="20">
        <f>IF(UPPER(TRIM(C252))="LM",1,0)</f>
        <v/>
      </c>
      <c r="BC252" s="20">
        <f>IF(UPPER(TRIM(C252))="PN",1,0)</f>
        <v/>
      </c>
      <c r="BD252" s="20">
        <f>IF(UPPER(TRIM(C252))="LS",1,0)</f>
        <v/>
      </c>
      <c r="BE252" s="20">
        <f>IF(UPPER(TRIM(C252))="RX",1,0)</f>
        <v/>
      </c>
      <c r="BF252" s="22">
        <f>IFERROR((Parameters!$C$6*AM252+Parameters!$C$7*MAX(AM252-(-150),0)+Parameters!$C$8*MAX(AM252-(-50),0)+Parameters!$C$9*MAX(AM252-(0),0)+Parameters!$C$10*MAX(AM252-(50),0)+Parameters!$C$11*MAX(AM252-(100),0)+Parameters!$C$12*MAX(AM252-(150),0)+Parameters!$C$13*MAX(AM252-(250),0)),0)</f>
        <v/>
      </c>
      <c r="BG252" s="22">
        <f>IFERROR((Parameters!$C$14*AA252+Parameters!$C$15*MAX(AA252-(12),0)+Parameters!$C$16*MAX(AA252-(36),0)+Parameters!$C$17*MAX(AA252-(60),0)+Parameters!$C$18*MAX(AA252-(84),0)+Parameters!$C$19*MAX(AA252-(120),0)+Parameters!$C$20*MAX(AA252-(180),0)),0)</f>
        <v/>
      </c>
      <c r="BH252" s="22">
        <f>IFERROR((Parameters!$C$21*AK252+Parameters!$C$22*MAX(AK252-(0),0)+Parameters!$C$23*MAX(AK252-(2),0)+Parameters!$C$24*MAX(AK252-(5),0)+Parameters!$C$25*MAX(AK252-(8),0)),0)</f>
        <v/>
      </c>
      <c r="BI252" s="22">
        <f>IFERROR((Parameters!$C$26*AI252+Parameters!$C$27*MAX(AI252-(-100),0)+Parameters!$C$28*MAX(AI252-(-25),0)+Parameters!$C$29*MAX(AI252-(25),0)+Parameters!$C$30*MAX(AI252-(100),0)),0)</f>
        <v/>
      </c>
      <c r="BJ252" s="22">
        <f>IFERROR((Parameters!$C$31*AN252+Parameters!$C$32*MAX(AN252-(2),0)+Parameters!$C$33*MAX(AN252-(10),0)+Parameters!$C$34*MAX(AN252-(25),0)),0)</f>
        <v/>
      </c>
      <c r="BK252" s="22">
        <f>IFERROR((Parameters!$C$35*AB252+Parameters!$C$36*MAX(AB252-(12),0)+Parameters!$C$37*MAX(AB252-(24),0)+Parameters!$C$38*MAX(AB252-(60),0)),0)</f>
        <v/>
      </c>
      <c r="BL252" s="22">
        <f>IFERROR((Parameters!$C$39*AC252+Parameters!$C$40*MAX(AC252-(6),0)+Parameters!$C$41*MAX(AC252-(12),0)+Parameters!$C$42*MAX(AC252-(24),0)),0)</f>
        <v/>
      </c>
      <c r="BM252" s="22">
        <f>IFERROR(Parameters!$C$43*(MAX(AM252,0)*MIN(MAX(AK252,0),10))/100,0)</f>
        <v/>
      </c>
      <c r="BN252" s="22">
        <f>Parameters!$C$44*AE252</f>
        <v/>
      </c>
      <c r="BO252" s="22">
        <f>Parameters!$C$45*AU252 + Parameters!$C$46*AV252 + Parameters!$C$47*AW252 + Parameters!$C$48*AX252 + Parameters!$C$49*AY252 + Parameters!$C$50*AZ252 + Parameters!$C$51*BA252</f>
        <v/>
      </c>
      <c r="BP252" s="22">
        <f>Parameters!$C$52*AQ252</f>
        <v/>
      </c>
      <c r="BQ252" s="22">
        <f>Parameters!$C$53*AR252+Parameters!$C$54*AS252+Parameters!$C$55*AT252</f>
        <v/>
      </c>
      <c r="BR252" s="22">
        <f>Parameters!$C$56*BB252+Parameters!$C$57*BC252+Parameters!$C$58*BD252+Parameters!$C$59*BE252</f>
        <v/>
      </c>
      <c r="BS252" s="23">
        <f>Parameters!$B$2</f>
        <v/>
      </c>
      <c r="BT252" s="23">
        <f>BS252+BF252 + BG252 + BH252 + BI252 + BJ252 + BK252 + BL252 + BM252 + BN252 + BO252 + BP252 + BQ252 + BR252</f>
        <v/>
      </c>
      <c r="BU252" s="24">
        <f>IF(AD252=1,0,1/(1+EXP(-BT252))*Parameters!$B$3)</f>
        <v/>
      </c>
      <c r="BV252" s="25">
        <f>(1-(1-BU252)^12)*100</f>
        <v/>
      </c>
      <c r="BW252" s="25">
        <f>IF(AD252=1,0,(1-(1-1/(1+EXP(-Parameters!$B$2)))^12)*100)</f>
        <v/>
      </c>
      <c r="BX252" s="25">
        <f>IF(AD252=1,0,BV252-(1-(1-(1/(1+EXP(-(BT252-BF252)))*Parameters!$B$3))^12)*100)</f>
        <v/>
      </c>
      <c r="BY252" s="25">
        <f>IF(AD252=1,0,BV252-(1-(1-(1/(1+EXP(-(BT252-BG252)))*Parameters!$B$3))^12)*100)</f>
        <v/>
      </c>
      <c r="BZ252" s="25">
        <f>IF(AD252=1,0,BV252-(1-(1-(1/(1+EXP(-(BT252-BH252)))*Parameters!$B$3))^12)*100)</f>
        <v/>
      </c>
      <c r="CA252" s="25">
        <f>IF(AD252=1,0,BV252-(1-(1-(1/(1+EXP(-(BT252-BI252)))*Parameters!$B$3))^12)*100)</f>
        <v/>
      </c>
      <c r="CB252" s="25">
        <f>IF(AD252=1,0,BV252-(1-(1-(1/(1+EXP(-(BT252-BJ252)))*Parameters!$B$3))^12)*100)</f>
        <v/>
      </c>
      <c r="CC252" s="25">
        <f>IF(AD252=1,0,BV252-(1-(1-(1/(1+EXP(-(BT252-BK252)))*Parameters!$B$3))^12)*100)</f>
        <v/>
      </c>
      <c r="CD252" s="25">
        <f>IF(AD252=1,0,BV252-(1-(1-(1/(1+EXP(-(BT252-BL252)))*Parameters!$B$3))^12)*100)</f>
        <v/>
      </c>
      <c r="CE252" s="25">
        <f>IF(AD252=1,0,BV252-(1-(1-(1/(1+EXP(-(BT252-BM252)))*Parameters!$B$3))^12)*100)</f>
        <v/>
      </c>
      <c r="CF252" s="25">
        <f>IF(AD252=1,0,BV252-(1-(1-(1/(1+EXP(-(BT252-BN252)))*Parameters!$B$3))^12)*100)</f>
        <v/>
      </c>
      <c r="CG252" s="25">
        <f>IF(AD252=1,0,BV252-(1-(1-(1/(1+EXP(-(BT252-BO252)))*Parameters!$B$3))^12)*100)</f>
        <v/>
      </c>
      <c r="CH252" s="25">
        <f>IF(AD252=1,0,BV252-(1-(1-(1/(1+EXP(-(BT252-BP252)))*Parameters!$B$3))^12)*100)</f>
        <v/>
      </c>
      <c r="CI252" s="25">
        <f>IF(AD252=1,0,BV252-(1-(1-(1/(1+EXP(-(BT252-BQ252)))*Parameters!$B$3))^12)*100)</f>
        <v/>
      </c>
      <c r="CJ252" s="25">
        <f>IF(AD252=1,0,BV252-(1-(1-(1/(1+EXP(-(BT252-BR252)))*Parameters!$B$3))^12)*100)</f>
        <v/>
      </c>
    </row>
    <row r="253">
      <c r="A253" s="17" t="inlineStr">
        <is>
          <t>GNR_USDA_538</t>
        </is>
      </c>
      <c r="B253" s="17" t="inlineStr">
        <is>
          <t>3618F62N5</t>
        </is>
      </c>
      <c r="C253" s="17" t="inlineStr">
        <is>
          <t>PN</t>
        </is>
      </c>
      <c r="D253" s="17" t="inlineStr">
        <is>
          <t>BONNEVILLE MORTGAGE COMPANY, LLC</t>
        </is>
      </c>
      <c r="E253" s="17" t="inlineStr">
        <is>
          <t>3618F62N5_048074913698672</t>
        </is>
      </c>
      <c r="F253" s="17" t="n">
        <v>202603</v>
      </c>
      <c r="G253" s="18" t="n">
        <v>6.28</v>
      </c>
      <c r="H253" s="19" t="n">
        <v>2707471.89</v>
      </c>
      <c r="I253" s="17" t="n">
        <v>479</v>
      </c>
      <c r="J253" s="17" t="n">
        <v>20240918</v>
      </c>
      <c r="K253" s="17" t="n">
        <v>20640901</v>
      </c>
      <c r="L253" s="17" t="n"/>
      <c r="M253" s="17" t="n">
        <v>20360201</v>
      </c>
      <c r="N253" s="17" t="n">
        <v>10</v>
      </c>
      <c r="O253" s="17" t="inlineStr">
        <is>
          <t>538</t>
        </is>
      </c>
      <c r="P253" s="17" t="n"/>
      <c r="Q253" s="17" t="n"/>
      <c r="R253" s="17" t="n"/>
      <c r="S253" s="17" t="n"/>
      <c r="T253" s="17" t="inlineStr">
        <is>
          <t>TN</t>
        </is>
      </c>
      <c r="U253" s="17" t="n">
        <v>0</v>
      </c>
      <c r="V253" s="17" t="n">
        <v>490.5</v>
      </c>
      <c r="W253" s="17" t="n">
        <v>18</v>
      </c>
      <c r="X253" s="17" t="n">
        <v>2024</v>
      </c>
      <c r="Y253" s="17" t="n">
        <v>50</v>
      </c>
      <c r="Z253" s="17" t="n">
        <v>10</v>
      </c>
      <c r="AA253" s="20">
        <f>IF(ISNUMBER(W253),W253,IFERROR(MAX(0,(VALUE(LEFT(F253,4))-VALUE(LEFT(TEXT(J253,"00000000"),4)))*12+(VALUE(MID(F253,5,2))-VALUE(MID(TEXT(J253,"00000000"),5,2)))),""))</f>
        <v/>
      </c>
      <c r="AB253" s="20">
        <f>IFERROR((VALUE(LEFT(TEXT(K253,"00000000"),4))-VALUE(LEFT(F253,4)))*12+(VALUE(MID(TEXT(K253,"00000000"),5,2))-VALUE(MID(F253,5,2))),"")</f>
        <v/>
      </c>
      <c r="AC253" s="20">
        <f>IF(OR(L253="",NOT(ISNUMBER(L253))),0,MAX(0,MIN(60,(VALUE(LEFT(F253,4))-VALUE(LEFT(TEXT(L253,"00000000"),4)))*12+(VALUE(MID(F253,5,2))-VALUE(MID(TEXT(L253,"00000000"),5,2))))))</f>
        <v/>
      </c>
      <c r="AD253" s="20">
        <f>IF(OR(L253="",NOT(ISNUMBER(L253))),0,IF(VALUE(F253)&lt;VALUE(LEFT(TEXT(L253,"00000000"),6)),1,0))</f>
        <v/>
      </c>
      <c r="AE253" s="20">
        <f>IF(OR(M253="",NOT(ISNUMBER(M253))),0,IF(VALUE(F253)&lt;VALUE(LEFT(TEXT(M253,"00000000"),6)),1,0))</f>
        <v/>
      </c>
      <c r="AF253" s="20">
        <f>IF(AND(AD253=0,AE253=0),1,0)</f>
        <v/>
      </c>
      <c r="AG253" s="20">
        <f>IF(ISNUMBER(X253),X253,IFERROR(VALUE(LEFT(TEXT(J253,"00000000"),4)),""))</f>
        <v/>
      </c>
      <c r="AH253" s="20">
        <f>IFERROR(XLOOKUP(AG253,Vintage_Rates!$A$2:$A$1000,Vintage_Rates!$B$2:$B$1000,""),"")</f>
        <v/>
      </c>
      <c r="AI253" s="20">
        <f>IF(ISNUMBER(Y253),Y253,IFERROR((G253-AH253)*100,""))</f>
        <v/>
      </c>
      <c r="AJ253" s="20">
        <f>IF(ISNUMBER(V253),V253,IFERROR(XLOOKUP(VALUE(F253),PLC_Rates!$A$2:$A$1000,PLC_Rates!$B$2:$B$1000,""),""))</f>
        <v/>
      </c>
      <c r="AK253" s="20">
        <f>IF(ISNUMBER(Z253),Z253,IF(AE253=0,0,MAX(0,MIN(10,((VALUE(LEFT(TEXT(M253,"00000000"),4))-VALUE(LEFT(F253,4)))*12+(VALUE(MID(TEXT(M253,"00000000"),5,2))-VALUE(MID(F253,5,2))))/12))))</f>
        <v/>
      </c>
      <c r="AL253" s="20">
        <f>IFERROR(G253*100-AJ253,"")</f>
        <v/>
      </c>
      <c r="AM253" s="20">
        <f>IFERROR(G253*100-(AJ253+(1+AK253)*12.5),"")</f>
        <v/>
      </c>
      <c r="AN253" s="21">
        <f>IFERROR(MIN(H253/1000000,100),"")</f>
        <v/>
      </c>
      <c r="AO253" s="20">
        <f>IFERROR(INDEX(FHA_Lookup!$B$2:$B$11,MATCH(TRUE,ISNUMBER(SEARCH(FHA_Lookup!$A$2:$A$11,UPPER(SUBSTITUTE(O253," ","")))),0)),"OTHER")</f>
        <v/>
      </c>
      <c r="AP253" s="20">
        <f>IFERROR(INDEX(FHA_Lookup!$C$2:$C$11,MATCH(TRUE,ISNUMBER(SEARCH(FHA_Lookup!$A$2:$A$11,UPPER(SUBSTITUTE(O253," ","")))),0)),"OTHER")</f>
        <v/>
      </c>
      <c r="AQ253" s="20">
        <f>IF(AP253="NC",1,0)</f>
        <v/>
      </c>
      <c r="AR253" s="20">
        <f>IF(UPPER(TRIM(P253))="AFF",1,0)</f>
        <v/>
      </c>
      <c r="AS253" s="20">
        <f>IF(UPPER(TRIM(P253))="BAF",1,0)</f>
        <v/>
      </c>
      <c r="AT253" s="20">
        <f>IF(UPPER(TRIM(P253))="MKT",1,0)</f>
        <v/>
      </c>
      <c r="AU253" s="20">
        <f>IF(AO253="221d4",1,0)</f>
        <v/>
      </c>
      <c r="AV253" s="20">
        <f>IF(AO253="223a7",1,0)</f>
        <v/>
      </c>
      <c r="AW253" s="20">
        <f>IF(AO253="232",1,0)</f>
        <v/>
      </c>
      <c r="AX253" s="20">
        <f>IF(AO253="538",1,0)</f>
        <v/>
      </c>
      <c r="AY253" s="20">
        <f>IF(AO253="241",1,0)</f>
        <v/>
      </c>
      <c r="AZ253" s="20">
        <f>IF(AO253="220",1,0)</f>
        <v/>
      </c>
      <c r="BA253" s="20">
        <f>IF(AO253="OTHER",1,0)</f>
        <v/>
      </c>
      <c r="BB253" s="20">
        <f>IF(UPPER(TRIM(C253))="LM",1,0)</f>
        <v/>
      </c>
      <c r="BC253" s="20">
        <f>IF(UPPER(TRIM(C253))="PN",1,0)</f>
        <v/>
      </c>
      <c r="BD253" s="20">
        <f>IF(UPPER(TRIM(C253))="LS",1,0)</f>
        <v/>
      </c>
      <c r="BE253" s="20">
        <f>IF(UPPER(TRIM(C253))="RX",1,0)</f>
        <v/>
      </c>
      <c r="BF253" s="22">
        <f>IFERROR((Parameters!$C$6*AM253+Parameters!$C$7*MAX(AM253-(-150),0)+Parameters!$C$8*MAX(AM253-(-50),0)+Parameters!$C$9*MAX(AM253-(0),0)+Parameters!$C$10*MAX(AM253-(50),0)+Parameters!$C$11*MAX(AM253-(100),0)+Parameters!$C$12*MAX(AM253-(150),0)+Parameters!$C$13*MAX(AM253-(250),0)),0)</f>
        <v/>
      </c>
      <c r="BG253" s="22">
        <f>IFERROR((Parameters!$C$14*AA253+Parameters!$C$15*MAX(AA253-(12),0)+Parameters!$C$16*MAX(AA253-(36),0)+Parameters!$C$17*MAX(AA253-(60),0)+Parameters!$C$18*MAX(AA253-(84),0)+Parameters!$C$19*MAX(AA253-(120),0)+Parameters!$C$20*MAX(AA253-(180),0)),0)</f>
        <v/>
      </c>
      <c r="BH253" s="22">
        <f>IFERROR((Parameters!$C$21*AK253+Parameters!$C$22*MAX(AK253-(0),0)+Parameters!$C$23*MAX(AK253-(2),0)+Parameters!$C$24*MAX(AK253-(5),0)+Parameters!$C$25*MAX(AK253-(8),0)),0)</f>
        <v/>
      </c>
      <c r="BI253" s="22">
        <f>IFERROR((Parameters!$C$26*AI253+Parameters!$C$27*MAX(AI253-(-100),0)+Parameters!$C$28*MAX(AI253-(-25),0)+Parameters!$C$29*MAX(AI253-(25),0)+Parameters!$C$30*MAX(AI253-(100),0)),0)</f>
        <v/>
      </c>
      <c r="BJ253" s="22">
        <f>IFERROR((Parameters!$C$31*AN253+Parameters!$C$32*MAX(AN253-(2),0)+Parameters!$C$33*MAX(AN253-(10),0)+Parameters!$C$34*MAX(AN253-(25),0)),0)</f>
        <v/>
      </c>
      <c r="BK253" s="22">
        <f>IFERROR((Parameters!$C$35*AB253+Parameters!$C$36*MAX(AB253-(12),0)+Parameters!$C$37*MAX(AB253-(24),0)+Parameters!$C$38*MAX(AB253-(60),0)),0)</f>
        <v/>
      </c>
      <c r="BL253" s="22">
        <f>IFERROR((Parameters!$C$39*AC253+Parameters!$C$40*MAX(AC253-(6),0)+Parameters!$C$41*MAX(AC253-(12),0)+Parameters!$C$42*MAX(AC253-(24),0)),0)</f>
        <v/>
      </c>
      <c r="BM253" s="22">
        <f>IFERROR(Parameters!$C$43*(MAX(AM253,0)*MIN(MAX(AK253,0),10))/100,0)</f>
        <v/>
      </c>
      <c r="BN253" s="22">
        <f>Parameters!$C$44*AE253</f>
        <v/>
      </c>
      <c r="BO253" s="22">
        <f>Parameters!$C$45*AU253 + Parameters!$C$46*AV253 + Parameters!$C$47*AW253 + Parameters!$C$48*AX253 + Parameters!$C$49*AY253 + Parameters!$C$50*AZ253 + Parameters!$C$51*BA253</f>
        <v/>
      </c>
      <c r="BP253" s="22">
        <f>Parameters!$C$52*AQ253</f>
        <v/>
      </c>
      <c r="BQ253" s="22">
        <f>Parameters!$C$53*AR253+Parameters!$C$54*AS253+Parameters!$C$55*AT253</f>
        <v/>
      </c>
      <c r="BR253" s="22">
        <f>Parameters!$C$56*BB253+Parameters!$C$57*BC253+Parameters!$C$58*BD253+Parameters!$C$59*BE253</f>
        <v/>
      </c>
      <c r="BS253" s="23">
        <f>Parameters!$B$2</f>
        <v/>
      </c>
      <c r="BT253" s="23">
        <f>BS253+BF253 + BG253 + BH253 + BI253 + BJ253 + BK253 + BL253 + BM253 + BN253 + BO253 + BP253 + BQ253 + BR253</f>
        <v/>
      </c>
      <c r="BU253" s="24">
        <f>IF(AD253=1,0,1/(1+EXP(-BT253))*Parameters!$B$3)</f>
        <v/>
      </c>
      <c r="BV253" s="25">
        <f>(1-(1-BU253)^12)*100</f>
        <v/>
      </c>
      <c r="BW253" s="25">
        <f>IF(AD253=1,0,(1-(1-1/(1+EXP(-Parameters!$B$2)))^12)*100)</f>
        <v/>
      </c>
      <c r="BX253" s="25">
        <f>IF(AD253=1,0,BV253-(1-(1-(1/(1+EXP(-(BT253-BF253)))*Parameters!$B$3))^12)*100)</f>
        <v/>
      </c>
      <c r="BY253" s="25">
        <f>IF(AD253=1,0,BV253-(1-(1-(1/(1+EXP(-(BT253-BG253)))*Parameters!$B$3))^12)*100)</f>
        <v/>
      </c>
      <c r="BZ253" s="25">
        <f>IF(AD253=1,0,BV253-(1-(1-(1/(1+EXP(-(BT253-BH253)))*Parameters!$B$3))^12)*100)</f>
        <v/>
      </c>
      <c r="CA253" s="25">
        <f>IF(AD253=1,0,BV253-(1-(1-(1/(1+EXP(-(BT253-BI253)))*Parameters!$B$3))^12)*100)</f>
        <v/>
      </c>
      <c r="CB253" s="25">
        <f>IF(AD253=1,0,BV253-(1-(1-(1/(1+EXP(-(BT253-BJ253)))*Parameters!$B$3))^12)*100)</f>
        <v/>
      </c>
      <c r="CC253" s="25">
        <f>IF(AD253=1,0,BV253-(1-(1-(1/(1+EXP(-(BT253-BK253)))*Parameters!$B$3))^12)*100)</f>
        <v/>
      </c>
      <c r="CD253" s="25">
        <f>IF(AD253=1,0,BV253-(1-(1-(1/(1+EXP(-(BT253-BL253)))*Parameters!$B$3))^12)*100)</f>
        <v/>
      </c>
      <c r="CE253" s="25">
        <f>IF(AD253=1,0,BV253-(1-(1-(1/(1+EXP(-(BT253-BM253)))*Parameters!$B$3))^12)*100)</f>
        <v/>
      </c>
      <c r="CF253" s="25">
        <f>IF(AD253=1,0,BV253-(1-(1-(1/(1+EXP(-(BT253-BN253)))*Parameters!$B$3))^12)*100)</f>
        <v/>
      </c>
      <c r="CG253" s="25">
        <f>IF(AD253=1,0,BV253-(1-(1-(1/(1+EXP(-(BT253-BO253)))*Parameters!$B$3))^12)*100)</f>
        <v/>
      </c>
      <c r="CH253" s="25">
        <f>IF(AD253=1,0,BV253-(1-(1-(1/(1+EXP(-(BT253-BP253)))*Parameters!$B$3))^12)*100)</f>
        <v/>
      </c>
      <c r="CI253" s="25">
        <f>IF(AD253=1,0,BV253-(1-(1-(1/(1+EXP(-(BT253-BQ253)))*Parameters!$B$3))^12)*100)</f>
        <v/>
      </c>
      <c r="CJ253" s="25">
        <f>IF(AD253=1,0,BV253-(1-(1-(1/(1+EXP(-(BT253-BR253)))*Parameters!$B$3))^12)*100)</f>
        <v/>
      </c>
    </row>
    <row r="254">
      <c r="A254" s="17" t="inlineStr">
        <is>
          <t>GNR_USDA_538</t>
        </is>
      </c>
      <c r="B254" s="17" t="inlineStr">
        <is>
          <t>36196BBQ5</t>
        </is>
      </c>
      <c r="C254" s="17" t="inlineStr">
        <is>
          <t>PN</t>
        </is>
      </c>
      <c r="D254" s="17" t="inlineStr">
        <is>
          <t>BONNEVILLE MORTGAGE COMPANY, LLC</t>
        </is>
      </c>
      <c r="E254" s="17" t="inlineStr">
        <is>
          <t>36196BBQ5_048092748472505</t>
        </is>
      </c>
      <c r="F254" s="17" t="n">
        <v>202603</v>
      </c>
      <c r="G254" s="18" t="n">
        <v>4.2</v>
      </c>
      <c r="H254" s="19" t="n">
        <v>826263.29</v>
      </c>
      <c r="I254" s="17" t="n">
        <v>477</v>
      </c>
      <c r="J254" s="17" t="n">
        <v>20170327</v>
      </c>
      <c r="K254" s="17" t="n">
        <v>20570301</v>
      </c>
      <c r="L254" s="17" t="n"/>
      <c r="M254" s="17" t="n">
        <v>20270701</v>
      </c>
      <c r="N254" s="17" t="n">
        <v>10</v>
      </c>
      <c r="O254" s="17" t="inlineStr">
        <is>
          <t>538</t>
        </is>
      </c>
      <c r="P254" s="17" t="n"/>
      <c r="Q254" s="17" t="n"/>
      <c r="R254" s="17" t="n"/>
      <c r="S254" s="17" t="n"/>
      <c r="T254" s="17" t="inlineStr">
        <is>
          <t>TN</t>
        </is>
      </c>
      <c r="U254" s="17" t="n">
        <v>0</v>
      </c>
      <c r="V254" s="17" t="n">
        <v>490.5</v>
      </c>
      <c r="W254" s="17" t="n">
        <v>108</v>
      </c>
      <c r="X254" s="17" t="n">
        <v>2017</v>
      </c>
      <c r="Y254" s="17" t="n">
        <v>73</v>
      </c>
      <c r="Z254" s="17" t="n">
        <v>2</v>
      </c>
      <c r="AA254" s="20">
        <f>IF(ISNUMBER(W254),W254,IFERROR(MAX(0,(VALUE(LEFT(F254,4))-VALUE(LEFT(TEXT(J254,"00000000"),4)))*12+(VALUE(MID(F254,5,2))-VALUE(MID(TEXT(J254,"00000000"),5,2)))),""))</f>
        <v/>
      </c>
      <c r="AB254" s="20">
        <f>IFERROR((VALUE(LEFT(TEXT(K254,"00000000"),4))-VALUE(LEFT(F254,4)))*12+(VALUE(MID(TEXT(K254,"00000000"),5,2))-VALUE(MID(F254,5,2))),"")</f>
        <v/>
      </c>
      <c r="AC254" s="20">
        <f>IF(OR(L254="",NOT(ISNUMBER(L254))),0,MAX(0,MIN(60,(VALUE(LEFT(F254,4))-VALUE(LEFT(TEXT(L254,"00000000"),4)))*12+(VALUE(MID(F254,5,2))-VALUE(MID(TEXT(L254,"00000000"),5,2))))))</f>
        <v/>
      </c>
      <c r="AD254" s="20">
        <f>IF(OR(L254="",NOT(ISNUMBER(L254))),0,IF(VALUE(F254)&lt;VALUE(LEFT(TEXT(L254,"00000000"),6)),1,0))</f>
        <v/>
      </c>
      <c r="AE254" s="20">
        <f>IF(OR(M254="",NOT(ISNUMBER(M254))),0,IF(VALUE(F254)&lt;VALUE(LEFT(TEXT(M254,"00000000"),6)),1,0))</f>
        <v/>
      </c>
      <c r="AF254" s="20">
        <f>IF(AND(AD254=0,AE254=0),1,0)</f>
        <v/>
      </c>
      <c r="AG254" s="20">
        <f>IF(ISNUMBER(X254),X254,IFERROR(VALUE(LEFT(TEXT(J254,"00000000"),4)),""))</f>
        <v/>
      </c>
      <c r="AH254" s="20">
        <f>IFERROR(XLOOKUP(AG254,Vintage_Rates!$A$2:$A$1000,Vintage_Rates!$B$2:$B$1000,""),"")</f>
        <v/>
      </c>
      <c r="AI254" s="20">
        <f>IF(ISNUMBER(Y254),Y254,IFERROR((G254-AH254)*100,""))</f>
        <v/>
      </c>
      <c r="AJ254" s="20">
        <f>IF(ISNUMBER(V254),V254,IFERROR(XLOOKUP(VALUE(F254),PLC_Rates!$A$2:$A$1000,PLC_Rates!$B$2:$B$1000,""),""))</f>
        <v/>
      </c>
      <c r="AK254" s="20">
        <f>IF(ISNUMBER(Z254),Z254,IF(AE254=0,0,MAX(0,MIN(10,((VALUE(LEFT(TEXT(M254,"00000000"),4))-VALUE(LEFT(F254,4)))*12+(VALUE(MID(TEXT(M254,"00000000"),5,2))-VALUE(MID(F254,5,2))))/12))))</f>
        <v/>
      </c>
      <c r="AL254" s="20">
        <f>IFERROR(G254*100-AJ254,"")</f>
        <v/>
      </c>
      <c r="AM254" s="20">
        <f>IFERROR(G254*100-(AJ254+(1+AK254)*12.5),"")</f>
        <v/>
      </c>
      <c r="AN254" s="21">
        <f>IFERROR(MIN(H254/1000000,100),"")</f>
        <v/>
      </c>
      <c r="AO254" s="20">
        <f>IFERROR(INDEX(FHA_Lookup!$B$2:$B$11,MATCH(TRUE,ISNUMBER(SEARCH(FHA_Lookup!$A$2:$A$11,UPPER(SUBSTITUTE(O254," ","")))),0)),"OTHER")</f>
        <v/>
      </c>
      <c r="AP254" s="20">
        <f>IFERROR(INDEX(FHA_Lookup!$C$2:$C$11,MATCH(TRUE,ISNUMBER(SEARCH(FHA_Lookup!$A$2:$A$11,UPPER(SUBSTITUTE(O254," ","")))),0)),"OTHER")</f>
        <v/>
      </c>
      <c r="AQ254" s="20">
        <f>IF(AP254="NC",1,0)</f>
        <v/>
      </c>
      <c r="AR254" s="20">
        <f>IF(UPPER(TRIM(P254))="AFF",1,0)</f>
        <v/>
      </c>
      <c r="AS254" s="20">
        <f>IF(UPPER(TRIM(P254))="BAF",1,0)</f>
        <v/>
      </c>
      <c r="AT254" s="20">
        <f>IF(UPPER(TRIM(P254))="MKT",1,0)</f>
        <v/>
      </c>
      <c r="AU254" s="20">
        <f>IF(AO254="221d4",1,0)</f>
        <v/>
      </c>
      <c r="AV254" s="20">
        <f>IF(AO254="223a7",1,0)</f>
        <v/>
      </c>
      <c r="AW254" s="20">
        <f>IF(AO254="232",1,0)</f>
        <v/>
      </c>
      <c r="AX254" s="20">
        <f>IF(AO254="538",1,0)</f>
        <v/>
      </c>
      <c r="AY254" s="20">
        <f>IF(AO254="241",1,0)</f>
        <v/>
      </c>
      <c r="AZ254" s="20">
        <f>IF(AO254="220",1,0)</f>
        <v/>
      </c>
      <c r="BA254" s="20">
        <f>IF(AO254="OTHER",1,0)</f>
        <v/>
      </c>
      <c r="BB254" s="20">
        <f>IF(UPPER(TRIM(C254))="LM",1,0)</f>
        <v/>
      </c>
      <c r="BC254" s="20">
        <f>IF(UPPER(TRIM(C254))="PN",1,0)</f>
        <v/>
      </c>
      <c r="BD254" s="20">
        <f>IF(UPPER(TRIM(C254))="LS",1,0)</f>
        <v/>
      </c>
      <c r="BE254" s="20">
        <f>IF(UPPER(TRIM(C254))="RX",1,0)</f>
        <v/>
      </c>
      <c r="BF254" s="22">
        <f>IFERROR((Parameters!$C$6*AM254+Parameters!$C$7*MAX(AM254-(-150),0)+Parameters!$C$8*MAX(AM254-(-50),0)+Parameters!$C$9*MAX(AM254-(0),0)+Parameters!$C$10*MAX(AM254-(50),0)+Parameters!$C$11*MAX(AM254-(100),0)+Parameters!$C$12*MAX(AM254-(150),0)+Parameters!$C$13*MAX(AM254-(250),0)),0)</f>
        <v/>
      </c>
      <c r="BG254" s="22">
        <f>IFERROR((Parameters!$C$14*AA254+Parameters!$C$15*MAX(AA254-(12),0)+Parameters!$C$16*MAX(AA254-(36),0)+Parameters!$C$17*MAX(AA254-(60),0)+Parameters!$C$18*MAX(AA254-(84),0)+Parameters!$C$19*MAX(AA254-(120),0)+Parameters!$C$20*MAX(AA254-(180),0)),0)</f>
        <v/>
      </c>
      <c r="BH254" s="22">
        <f>IFERROR((Parameters!$C$21*AK254+Parameters!$C$22*MAX(AK254-(0),0)+Parameters!$C$23*MAX(AK254-(2),0)+Parameters!$C$24*MAX(AK254-(5),0)+Parameters!$C$25*MAX(AK254-(8),0)),0)</f>
        <v/>
      </c>
      <c r="BI254" s="22">
        <f>IFERROR((Parameters!$C$26*AI254+Parameters!$C$27*MAX(AI254-(-100),0)+Parameters!$C$28*MAX(AI254-(-25),0)+Parameters!$C$29*MAX(AI254-(25),0)+Parameters!$C$30*MAX(AI254-(100),0)),0)</f>
        <v/>
      </c>
      <c r="BJ254" s="22">
        <f>IFERROR((Parameters!$C$31*AN254+Parameters!$C$32*MAX(AN254-(2),0)+Parameters!$C$33*MAX(AN254-(10),0)+Parameters!$C$34*MAX(AN254-(25),0)),0)</f>
        <v/>
      </c>
      <c r="BK254" s="22">
        <f>IFERROR((Parameters!$C$35*AB254+Parameters!$C$36*MAX(AB254-(12),0)+Parameters!$C$37*MAX(AB254-(24),0)+Parameters!$C$38*MAX(AB254-(60),0)),0)</f>
        <v/>
      </c>
      <c r="BL254" s="22">
        <f>IFERROR((Parameters!$C$39*AC254+Parameters!$C$40*MAX(AC254-(6),0)+Parameters!$C$41*MAX(AC254-(12),0)+Parameters!$C$42*MAX(AC254-(24),0)),0)</f>
        <v/>
      </c>
      <c r="BM254" s="22">
        <f>IFERROR(Parameters!$C$43*(MAX(AM254,0)*MIN(MAX(AK254,0),10))/100,0)</f>
        <v/>
      </c>
      <c r="BN254" s="22">
        <f>Parameters!$C$44*AE254</f>
        <v/>
      </c>
      <c r="BO254" s="22">
        <f>Parameters!$C$45*AU254 + Parameters!$C$46*AV254 + Parameters!$C$47*AW254 + Parameters!$C$48*AX254 + Parameters!$C$49*AY254 + Parameters!$C$50*AZ254 + Parameters!$C$51*BA254</f>
        <v/>
      </c>
      <c r="BP254" s="22">
        <f>Parameters!$C$52*AQ254</f>
        <v/>
      </c>
      <c r="BQ254" s="22">
        <f>Parameters!$C$53*AR254+Parameters!$C$54*AS254+Parameters!$C$55*AT254</f>
        <v/>
      </c>
      <c r="BR254" s="22">
        <f>Parameters!$C$56*BB254+Parameters!$C$57*BC254+Parameters!$C$58*BD254+Parameters!$C$59*BE254</f>
        <v/>
      </c>
      <c r="BS254" s="23">
        <f>Parameters!$B$2</f>
        <v/>
      </c>
      <c r="BT254" s="23">
        <f>BS254+BF254 + BG254 + BH254 + BI254 + BJ254 + BK254 + BL254 + BM254 + BN254 + BO254 + BP254 + BQ254 + BR254</f>
        <v/>
      </c>
      <c r="BU254" s="24">
        <f>IF(AD254=1,0,1/(1+EXP(-BT254))*Parameters!$B$3)</f>
        <v/>
      </c>
      <c r="BV254" s="25">
        <f>(1-(1-BU254)^12)*100</f>
        <v/>
      </c>
      <c r="BW254" s="25">
        <f>IF(AD254=1,0,(1-(1-1/(1+EXP(-Parameters!$B$2)))^12)*100)</f>
        <v/>
      </c>
      <c r="BX254" s="25">
        <f>IF(AD254=1,0,BV254-(1-(1-(1/(1+EXP(-(BT254-BF254)))*Parameters!$B$3))^12)*100)</f>
        <v/>
      </c>
      <c r="BY254" s="25">
        <f>IF(AD254=1,0,BV254-(1-(1-(1/(1+EXP(-(BT254-BG254)))*Parameters!$B$3))^12)*100)</f>
        <v/>
      </c>
      <c r="BZ254" s="25">
        <f>IF(AD254=1,0,BV254-(1-(1-(1/(1+EXP(-(BT254-BH254)))*Parameters!$B$3))^12)*100)</f>
        <v/>
      </c>
      <c r="CA254" s="25">
        <f>IF(AD254=1,0,BV254-(1-(1-(1/(1+EXP(-(BT254-BI254)))*Parameters!$B$3))^12)*100)</f>
        <v/>
      </c>
      <c r="CB254" s="25">
        <f>IF(AD254=1,0,BV254-(1-(1-(1/(1+EXP(-(BT254-BJ254)))*Parameters!$B$3))^12)*100)</f>
        <v/>
      </c>
      <c r="CC254" s="25">
        <f>IF(AD254=1,0,BV254-(1-(1-(1/(1+EXP(-(BT254-BK254)))*Parameters!$B$3))^12)*100)</f>
        <v/>
      </c>
      <c r="CD254" s="25">
        <f>IF(AD254=1,0,BV254-(1-(1-(1/(1+EXP(-(BT254-BL254)))*Parameters!$B$3))^12)*100)</f>
        <v/>
      </c>
      <c r="CE254" s="25">
        <f>IF(AD254=1,0,BV254-(1-(1-(1/(1+EXP(-(BT254-BM254)))*Parameters!$B$3))^12)*100)</f>
        <v/>
      </c>
      <c r="CF254" s="25">
        <f>IF(AD254=1,0,BV254-(1-(1-(1/(1+EXP(-(BT254-BN254)))*Parameters!$B$3))^12)*100)</f>
        <v/>
      </c>
      <c r="CG254" s="25">
        <f>IF(AD254=1,0,BV254-(1-(1-(1/(1+EXP(-(BT254-BO254)))*Parameters!$B$3))^12)*100)</f>
        <v/>
      </c>
      <c r="CH254" s="25">
        <f>IF(AD254=1,0,BV254-(1-(1-(1/(1+EXP(-(BT254-BP254)))*Parameters!$B$3))^12)*100)</f>
        <v/>
      </c>
      <c r="CI254" s="25">
        <f>IF(AD254=1,0,BV254-(1-(1-(1/(1+EXP(-(BT254-BQ254)))*Parameters!$B$3))^12)*100)</f>
        <v/>
      </c>
      <c r="CJ254" s="25">
        <f>IF(AD254=1,0,BV254-(1-(1-(1/(1+EXP(-(BT254-BR254)))*Parameters!$B$3))^12)*100)</f>
        <v/>
      </c>
    </row>
    <row r="255">
      <c r="A255" s="17" t="inlineStr">
        <is>
          <t>GNR_USDA_538</t>
        </is>
      </c>
      <c r="B255" s="17" t="inlineStr">
        <is>
          <t>3617HEGZ6</t>
        </is>
      </c>
      <c r="C255" s="17" t="inlineStr">
        <is>
          <t>PN</t>
        </is>
      </c>
      <c r="D255" s="17" t="inlineStr">
        <is>
          <t>BELLWETHER ENTERPRISE REAL ESTATE CAPITA</t>
        </is>
      </c>
      <c r="E255" s="17" t="inlineStr">
        <is>
          <t>3617HEGZ6_260760137663177</t>
        </is>
      </c>
      <c r="F255" s="17" t="n">
        <v>202603</v>
      </c>
      <c r="G255" s="18" t="n">
        <v>4.7</v>
      </c>
      <c r="H255" s="19" t="n">
        <v>703569.59</v>
      </c>
      <c r="I255" s="17" t="n">
        <v>481</v>
      </c>
      <c r="J255" s="17" t="n">
        <v>20181002</v>
      </c>
      <c r="K255" s="17" t="n">
        <v>20581101</v>
      </c>
      <c r="L255" s="17" t="n"/>
      <c r="M255" s="17" t="n">
        <v>20281130</v>
      </c>
      <c r="N255" s="17" t="n">
        <v>10</v>
      </c>
      <c r="O255" s="17" t="inlineStr">
        <is>
          <t>538</t>
        </is>
      </c>
      <c r="P255" s="17" t="n"/>
      <c r="Q255" s="17" t="n"/>
      <c r="R255" s="17" t="n"/>
      <c r="S255" s="17" t="n"/>
      <c r="T255" s="17" t="inlineStr">
        <is>
          <t>MI</t>
        </is>
      </c>
      <c r="U255" s="17" t="n">
        <v>0</v>
      </c>
      <c r="V255" s="17" t="n">
        <v>490.5</v>
      </c>
      <c r="W255" s="17" t="n">
        <v>89</v>
      </c>
      <c r="X255" s="17" t="n">
        <v>2018</v>
      </c>
      <c r="Y255" s="17" t="n">
        <v>68</v>
      </c>
      <c r="Z255" s="17" t="n">
        <v>4</v>
      </c>
      <c r="AA255" s="20">
        <f>IF(ISNUMBER(W255),W255,IFERROR(MAX(0,(VALUE(LEFT(F255,4))-VALUE(LEFT(TEXT(J255,"00000000"),4)))*12+(VALUE(MID(F255,5,2))-VALUE(MID(TEXT(J255,"00000000"),5,2)))),""))</f>
        <v/>
      </c>
      <c r="AB255" s="20">
        <f>IFERROR((VALUE(LEFT(TEXT(K255,"00000000"),4))-VALUE(LEFT(F255,4)))*12+(VALUE(MID(TEXT(K255,"00000000"),5,2))-VALUE(MID(F255,5,2))),"")</f>
        <v/>
      </c>
      <c r="AC255" s="20">
        <f>IF(OR(L255="",NOT(ISNUMBER(L255))),0,MAX(0,MIN(60,(VALUE(LEFT(F255,4))-VALUE(LEFT(TEXT(L255,"00000000"),4)))*12+(VALUE(MID(F255,5,2))-VALUE(MID(TEXT(L255,"00000000"),5,2))))))</f>
        <v/>
      </c>
      <c r="AD255" s="20">
        <f>IF(OR(L255="",NOT(ISNUMBER(L255))),0,IF(VALUE(F255)&lt;VALUE(LEFT(TEXT(L255,"00000000"),6)),1,0))</f>
        <v/>
      </c>
      <c r="AE255" s="20">
        <f>IF(OR(M255="",NOT(ISNUMBER(M255))),0,IF(VALUE(F255)&lt;VALUE(LEFT(TEXT(M255,"00000000"),6)),1,0))</f>
        <v/>
      </c>
      <c r="AF255" s="20">
        <f>IF(AND(AD255=0,AE255=0),1,0)</f>
        <v/>
      </c>
      <c r="AG255" s="20">
        <f>IF(ISNUMBER(X255),X255,IFERROR(VALUE(LEFT(TEXT(J255,"00000000"),4)),""))</f>
        <v/>
      </c>
      <c r="AH255" s="20">
        <f>IFERROR(XLOOKUP(AG255,Vintage_Rates!$A$2:$A$1000,Vintage_Rates!$B$2:$B$1000,""),"")</f>
        <v/>
      </c>
      <c r="AI255" s="20">
        <f>IF(ISNUMBER(Y255),Y255,IFERROR((G255-AH255)*100,""))</f>
        <v/>
      </c>
      <c r="AJ255" s="20">
        <f>IF(ISNUMBER(V255),V255,IFERROR(XLOOKUP(VALUE(F255),PLC_Rates!$A$2:$A$1000,PLC_Rates!$B$2:$B$1000,""),""))</f>
        <v/>
      </c>
      <c r="AK255" s="20">
        <f>IF(ISNUMBER(Z255),Z255,IF(AE255=0,0,MAX(0,MIN(10,((VALUE(LEFT(TEXT(M255,"00000000"),4))-VALUE(LEFT(F255,4)))*12+(VALUE(MID(TEXT(M255,"00000000"),5,2))-VALUE(MID(F255,5,2))))/12))))</f>
        <v/>
      </c>
      <c r="AL255" s="20">
        <f>IFERROR(G255*100-AJ255,"")</f>
        <v/>
      </c>
      <c r="AM255" s="20">
        <f>IFERROR(G255*100-(AJ255+(1+AK255)*12.5),"")</f>
        <v/>
      </c>
      <c r="AN255" s="21">
        <f>IFERROR(MIN(H255/1000000,100),"")</f>
        <v/>
      </c>
      <c r="AO255" s="20">
        <f>IFERROR(INDEX(FHA_Lookup!$B$2:$B$11,MATCH(TRUE,ISNUMBER(SEARCH(FHA_Lookup!$A$2:$A$11,UPPER(SUBSTITUTE(O255," ","")))),0)),"OTHER")</f>
        <v/>
      </c>
      <c r="AP255" s="20">
        <f>IFERROR(INDEX(FHA_Lookup!$C$2:$C$11,MATCH(TRUE,ISNUMBER(SEARCH(FHA_Lookup!$A$2:$A$11,UPPER(SUBSTITUTE(O255," ","")))),0)),"OTHER")</f>
        <v/>
      </c>
      <c r="AQ255" s="20">
        <f>IF(AP255="NC",1,0)</f>
        <v/>
      </c>
      <c r="AR255" s="20">
        <f>IF(UPPER(TRIM(P255))="AFF",1,0)</f>
        <v/>
      </c>
      <c r="AS255" s="20">
        <f>IF(UPPER(TRIM(P255))="BAF",1,0)</f>
        <v/>
      </c>
      <c r="AT255" s="20">
        <f>IF(UPPER(TRIM(P255))="MKT",1,0)</f>
        <v/>
      </c>
      <c r="AU255" s="20">
        <f>IF(AO255="221d4",1,0)</f>
        <v/>
      </c>
      <c r="AV255" s="20">
        <f>IF(AO255="223a7",1,0)</f>
        <v/>
      </c>
      <c r="AW255" s="20">
        <f>IF(AO255="232",1,0)</f>
        <v/>
      </c>
      <c r="AX255" s="20">
        <f>IF(AO255="538",1,0)</f>
        <v/>
      </c>
      <c r="AY255" s="20">
        <f>IF(AO255="241",1,0)</f>
        <v/>
      </c>
      <c r="AZ255" s="20">
        <f>IF(AO255="220",1,0)</f>
        <v/>
      </c>
      <c r="BA255" s="20">
        <f>IF(AO255="OTHER",1,0)</f>
        <v/>
      </c>
      <c r="BB255" s="20">
        <f>IF(UPPER(TRIM(C255))="LM",1,0)</f>
        <v/>
      </c>
      <c r="BC255" s="20">
        <f>IF(UPPER(TRIM(C255))="PN",1,0)</f>
        <v/>
      </c>
      <c r="BD255" s="20">
        <f>IF(UPPER(TRIM(C255))="LS",1,0)</f>
        <v/>
      </c>
      <c r="BE255" s="20">
        <f>IF(UPPER(TRIM(C255))="RX",1,0)</f>
        <v/>
      </c>
      <c r="BF255" s="22">
        <f>IFERROR((Parameters!$C$6*AM255+Parameters!$C$7*MAX(AM255-(-150),0)+Parameters!$C$8*MAX(AM255-(-50),0)+Parameters!$C$9*MAX(AM255-(0),0)+Parameters!$C$10*MAX(AM255-(50),0)+Parameters!$C$11*MAX(AM255-(100),0)+Parameters!$C$12*MAX(AM255-(150),0)+Parameters!$C$13*MAX(AM255-(250),0)),0)</f>
        <v/>
      </c>
      <c r="BG255" s="22">
        <f>IFERROR((Parameters!$C$14*AA255+Parameters!$C$15*MAX(AA255-(12),0)+Parameters!$C$16*MAX(AA255-(36),0)+Parameters!$C$17*MAX(AA255-(60),0)+Parameters!$C$18*MAX(AA255-(84),0)+Parameters!$C$19*MAX(AA255-(120),0)+Parameters!$C$20*MAX(AA255-(180),0)),0)</f>
        <v/>
      </c>
      <c r="BH255" s="22">
        <f>IFERROR((Parameters!$C$21*AK255+Parameters!$C$22*MAX(AK255-(0),0)+Parameters!$C$23*MAX(AK255-(2),0)+Parameters!$C$24*MAX(AK255-(5),0)+Parameters!$C$25*MAX(AK255-(8),0)),0)</f>
        <v/>
      </c>
      <c r="BI255" s="22">
        <f>IFERROR((Parameters!$C$26*AI255+Parameters!$C$27*MAX(AI255-(-100),0)+Parameters!$C$28*MAX(AI255-(-25),0)+Parameters!$C$29*MAX(AI255-(25),0)+Parameters!$C$30*MAX(AI255-(100),0)),0)</f>
        <v/>
      </c>
      <c r="BJ255" s="22">
        <f>IFERROR((Parameters!$C$31*AN255+Parameters!$C$32*MAX(AN255-(2),0)+Parameters!$C$33*MAX(AN255-(10),0)+Parameters!$C$34*MAX(AN255-(25),0)),0)</f>
        <v/>
      </c>
      <c r="BK255" s="22">
        <f>IFERROR((Parameters!$C$35*AB255+Parameters!$C$36*MAX(AB255-(12),0)+Parameters!$C$37*MAX(AB255-(24),0)+Parameters!$C$38*MAX(AB255-(60),0)),0)</f>
        <v/>
      </c>
      <c r="BL255" s="22">
        <f>IFERROR((Parameters!$C$39*AC255+Parameters!$C$40*MAX(AC255-(6),0)+Parameters!$C$41*MAX(AC255-(12),0)+Parameters!$C$42*MAX(AC255-(24),0)),0)</f>
        <v/>
      </c>
      <c r="BM255" s="22">
        <f>IFERROR(Parameters!$C$43*(MAX(AM255,0)*MIN(MAX(AK255,0),10))/100,0)</f>
        <v/>
      </c>
      <c r="BN255" s="22">
        <f>Parameters!$C$44*AE255</f>
        <v/>
      </c>
      <c r="BO255" s="22">
        <f>Parameters!$C$45*AU255 + Parameters!$C$46*AV255 + Parameters!$C$47*AW255 + Parameters!$C$48*AX255 + Parameters!$C$49*AY255 + Parameters!$C$50*AZ255 + Parameters!$C$51*BA255</f>
        <v/>
      </c>
      <c r="BP255" s="22">
        <f>Parameters!$C$52*AQ255</f>
        <v/>
      </c>
      <c r="BQ255" s="22">
        <f>Parameters!$C$53*AR255+Parameters!$C$54*AS255+Parameters!$C$55*AT255</f>
        <v/>
      </c>
      <c r="BR255" s="22">
        <f>Parameters!$C$56*BB255+Parameters!$C$57*BC255+Parameters!$C$58*BD255+Parameters!$C$59*BE255</f>
        <v/>
      </c>
      <c r="BS255" s="23">
        <f>Parameters!$B$2</f>
        <v/>
      </c>
      <c r="BT255" s="23">
        <f>BS255+BF255 + BG255 + BH255 + BI255 + BJ255 + BK255 + BL255 + BM255 + BN255 + BO255 + BP255 + BQ255 + BR255</f>
        <v/>
      </c>
      <c r="BU255" s="24">
        <f>IF(AD255=1,0,1/(1+EXP(-BT255))*Parameters!$B$3)</f>
        <v/>
      </c>
      <c r="BV255" s="25">
        <f>(1-(1-BU255)^12)*100</f>
        <v/>
      </c>
      <c r="BW255" s="25">
        <f>IF(AD255=1,0,(1-(1-1/(1+EXP(-Parameters!$B$2)))^12)*100)</f>
        <v/>
      </c>
      <c r="BX255" s="25">
        <f>IF(AD255=1,0,BV255-(1-(1-(1/(1+EXP(-(BT255-BF255)))*Parameters!$B$3))^12)*100)</f>
        <v/>
      </c>
      <c r="BY255" s="25">
        <f>IF(AD255=1,0,BV255-(1-(1-(1/(1+EXP(-(BT255-BG255)))*Parameters!$B$3))^12)*100)</f>
        <v/>
      </c>
      <c r="BZ255" s="25">
        <f>IF(AD255=1,0,BV255-(1-(1-(1/(1+EXP(-(BT255-BH255)))*Parameters!$B$3))^12)*100)</f>
        <v/>
      </c>
      <c r="CA255" s="25">
        <f>IF(AD255=1,0,BV255-(1-(1-(1/(1+EXP(-(BT255-BI255)))*Parameters!$B$3))^12)*100)</f>
        <v/>
      </c>
      <c r="CB255" s="25">
        <f>IF(AD255=1,0,BV255-(1-(1-(1/(1+EXP(-(BT255-BJ255)))*Parameters!$B$3))^12)*100)</f>
        <v/>
      </c>
      <c r="CC255" s="25">
        <f>IF(AD255=1,0,BV255-(1-(1-(1/(1+EXP(-(BT255-BK255)))*Parameters!$B$3))^12)*100)</f>
        <v/>
      </c>
      <c r="CD255" s="25">
        <f>IF(AD255=1,0,BV255-(1-(1-(1/(1+EXP(-(BT255-BL255)))*Parameters!$B$3))^12)*100)</f>
        <v/>
      </c>
      <c r="CE255" s="25">
        <f>IF(AD255=1,0,BV255-(1-(1-(1/(1+EXP(-(BT255-BM255)))*Parameters!$B$3))^12)*100)</f>
        <v/>
      </c>
      <c r="CF255" s="25">
        <f>IF(AD255=1,0,BV255-(1-(1-(1/(1+EXP(-(BT255-BN255)))*Parameters!$B$3))^12)*100)</f>
        <v/>
      </c>
      <c r="CG255" s="25">
        <f>IF(AD255=1,0,BV255-(1-(1-(1/(1+EXP(-(BT255-BO255)))*Parameters!$B$3))^12)*100)</f>
        <v/>
      </c>
      <c r="CH255" s="25">
        <f>IF(AD255=1,0,BV255-(1-(1-(1/(1+EXP(-(BT255-BP255)))*Parameters!$B$3))^12)*100)</f>
        <v/>
      </c>
      <c r="CI255" s="25">
        <f>IF(AD255=1,0,BV255-(1-(1-(1/(1+EXP(-(BT255-BQ255)))*Parameters!$B$3))^12)*100)</f>
        <v/>
      </c>
      <c r="CJ255" s="25">
        <f>IF(AD255=1,0,BV255-(1-(1-(1/(1+EXP(-(BT255-BR255)))*Parameters!$B$3))^12)*100)</f>
        <v/>
      </c>
    </row>
    <row r="256">
      <c r="A256" s="17" t="inlineStr">
        <is>
          <t>GNR_USDA_538</t>
        </is>
      </c>
      <c r="B256" s="17" t="inlineStr">
        <is>
          <t>3617VLRZ2</t>
        </is>
      </c>
      <c r="C256" s="17" t="inlineStr">
        <is>
          <t>PN</t>
        </is>
      </c>
      <c r="D256" s="17" t="inlineStr">
        <is>
          <t>BONNEVILLE MORTGAGE COMPANY, LLC</t>
        </is>
      </c>
      <c r="E256" s="17" t="inlineStr">
        <is>
          <t>3617VLRZ2_038045513940298</t>
        </is>
      </c>
      <c r="F256" s="17" t="n">
        <v>202603</v>
      </c>
      <c r="G256" s="18" t="n">
        <v>4.78</v>
      </c>
      <c r="H256" s="19" t="n">
        <v>239357.77</v>
      </c>
      <c r="I256" s="17" t="n">
        <v>441</v>
      </c>
      <c r="J256" s="17" t="n">
        <v>20210709</v>
      </c>
      <c r="K256" s="17" t="n">
        <v>20580501</v>
      </c>
      <c r="L256" s="17" t="n"/>
      <c r="M256" s="17" t="n">
        <v>20310901</v>
      </c>
      <c r="N256" s="17" t="n">
        <v>10</v>
      </c>
      <c r="O256" s="17" t="inlineStr">
        <is>
          <t>538</t>
        </is>
      </c>
      <c r="P256" s="17" t="n"/>
      <c r="Q256" s="17" t="n"/>
      <c r="R256" s="17" t="n"/>
      <c r="S256" s="17" t="n"/>
      <c r="T256" s="17" t="inlineStr">
        <is>
          <t>NC</t>
        </is>
      </c>
      <c r="U256" s="17" t="n">
        <v>0</v>
      </c>
      <c r="V256" s="17" t="n">
        <v>490.5</v>
      </c>
      <c r="W256" s="17" t="n">
        <v>56</v>
      </c>
      <c r="X256" s="17" t="n">
        <v>2021</v>
      </c>
      <c r="Y256" s="17" t="n">
        <v>220</v>
      </c>
      <c r="Z256" s="17" t="n">
        <v>6</v>
      </c>
      <c r="AA256" s="20">
        <f>IF(ISNUMBER(W256),W256,IFERROR(MAX(0,(VALUE(LEFT(F256,4))-VALUE(LEFT(TEXT(J256,"00000000"),4)))*12+(VALUE(MID(F256,5,2))-VALUE(MID(TEXT(J256,"00000000"),5,2)))),""))</f>
        <v/>
      </c>
      <c r="AB256" s="20">
        <f>IFERROR((VALUE(LEFT(TEXT(K256,"00000000"),4))-VALUE(LEFT(F256,4)))*12+(VALUE(MID(TEXT(K256,"00000000"),5,2))-VALUE(MID(F256,5,2))),"")</f>
        <v/>
      </c>
      <c r="AC256" s="20">
        <f>IF(OR(L256="",NOT(ISNUMBER(L256))),0,MAX(0,MIN(60,(VALUE(LEFT(F256,4))-VALUE(LEFT(TEXT(L256,"00000000"),4)))*12+(VALUE(MID(F256,5,2))-VALUE(MID(TEXT(L256,"00000000"),5,2))))))</f>
        <v/>
      </c>
      <c r="AD256" s="20">
        <f>IF(OR(L256="",NOT(ISNUMBER(L256))),0,IF(VALUE(F256)&lt;VALUE(LEFT(TEXT(L256,"00000000"),6)),1,0))</f>
        <v/>
      </c>
      <c r="AE256" s="20">
        <f>IF(OR(M256="",NOT(ISNUMBER(M256))),0,IF(VALUE(F256)&lt;VALUE(LEFT(TEXT(M256,"00000000"),6)),1,0))</f>
        <v/>
      </c>
      <c r="AF256" s="20">
        <f>IF(AND(AD256=0,AE256=0),1,0)</f>
        <v/>
      </c>
      <c r="AG256" s="20">
        <f>IF(ISNUMBER(X256),X256,IFERROR(VALUE(LEFT(TEXT(J256,"00000000"),4)),""))</f>
        <v/>
      </c>
      <c r="AH256" s="20">
        <f>IFERROR(XLOOKUP(AG256,Vintage_Rates!$A$2:$A$1000,Vintage_Rates!$B$2:$B$1000,""),"")</f>
        <v/>
      </c>
      <c r="AI256" s="20">
        <f>IF(ISNUMBER(Y256),Y256,IFERROR((G256-AH256)*100,""))</f>
        <v/>
      </c>
      <c r="AJ256" s="20">
        <f>IF(ISNUMBER(V256),V256,IFERROR(XLOOKUP(VALUE(F256),PLC_Rates!$A$2:$A$1000,PLC_Rates!$B$2:$B$1000,""),""))</f>
        <v/>
      </c>
      <c r="AK256" s="20">
        <f>IF(ISNUMBER(Z256),Z256,IF(AE256=0,0,MAX(0,MIN(10,((VALUE(LEFT(TEXT(M256,"00000000"),4))-VALUE(LEFT(F256,4)))*12+(VALUE(MID(TEXT(M256,"00000000"),5,2))-VALUE(MID(F256,5,2))))/12))))</f>
        <v/>
      </c>
      <c r="AL256" s="20">
        <f>IFERROR(G256*100-AJ256,"")</f>
        <v/>
      </c>
      <c r="AM256" s="20">
        <f>IFERROR(G256*100-(AJ256+(1+AK256)*12.5),"")</f>
        <v/>
      </c>
      <c r="AN256" s="21">
        <f>IFERROR(MIN(H256/1000000,100),"")</f>
        <v/>
      </c>
      <c r="AO256" s="20">
        <f>IFERROR(INDEX(FHA_Lookup!$B$2:$B$11,MATCH(TRUE,ISNUMBER(SEARCH(FHA_Lookup!$A$2:$A$11,UPPER(SUBSTITUTE(O256," ","")))),0)),"OTHER")</f>
        <v/>
      </c>
      <c r="AP256" s="20">
        <f>IFERROR(INDEX(FHA_Lookup!$C$2:$C$11,MATCH(TRUE,ISNUMBER(SEARCH(FHA_Lookup!$A$2:$A$11,UPPER(SUBSTITUTE(O256," ","")))),0)),"OTHER")</f>
        <v/>
      </c>
      <c r="AQ256" s="20">
        <f>IF(AP256="NC",1,0)</f>
        <v/>
      </c>
      <c r="AR256" s="20">
        <f>IF(UPPER(TRIM(P256))="AFF",1,0)</f>
        <v/>
      </c>
      <c r="AS256" s="20">
        <f>IF(UPPER(TRIM(P256))="BAF",1,0)</f>
        <v/>
      </c>
      <c r="AT256" s="20">
        <f>IF(UPPER(TRIM(P256))="MKT",1,0)</f>
        <v/>
      </c>
      <c r="AU256" s="20">
        <f>IF(AO256="221d4",1,0)</f>
        <v/>
      </c>
      <c r="AV256" s="20">
        <f>IF(AO256="223a7",1,0)</f>
        <v/>
      </c>
      <c r="AW256" s="20">
        <f>IF(AO256="232",1,0)</f>
        <v/>
      </c>
      <c r="AX256" s="20">
        <f>IF(AO256="538",1,0)</f>
        <v/>
      </c>
      <c r="AY256" s="20">
        <f>IF(AO256="241",1,0)</f>
        <v/>
      </c>
      <c r="AZ256" s="20">
        <f>IF(AO256="220",1,0)</f>
        <v/>
      </c>
      <c r="BA256" s="20">
        <f>IF(AO256="OTHER",1,0)</f>
        <v/>
      </c>
      <c r="BB256" s="20">
        <f>IF(UPPER(TRIM(C256))="LM",1,0)</f>
        <v/>
      </c>
      <c r="BC256" s="20">
        <f>IF(UPPER(TRIM(C256))="PN",1,0)</f>
        <v/>
      </c>
      <c r="BD256" s="20">
        <f>IF(UPPER(TRIM(C256))="LS",1,0)</f>
        <v/>
      </c>
      <c r="BE256" s="20">
        <f>IF(UPPER(TRIM(C256))="RX",1,0)</f>
        <v/>
      </c>
      <c r="BF256" s="22">
        <f>IFERROR((Parameters!$C$6*AM256+Parameters!$C$7*MAX(AM256-(-150),0)+Parameters!$C$8*MAX(AM256-(-50),0)+Parameters!$C$9*MAX(AM256-(0),0)+Parameters!$C$10*MAX(AM256-(50),0)+Parameters!$C$11*MAX(AM256-(100),0)+Parameters!$C$12*MAX(AM256-(150),0)+Parameters!$C$13*MAX(AM256-(250),0)),0)</f>
        <v/>
      </c>
      <c r="BG256" s="22">
        <f>IFERROR((Parameters!$C$14*AA256+Parameters!$C$15*MAX(AA256-(12),0)+Parameters!$C$16*MAX(AA256-(36),0)+Parameters!$C$17*MAX(AA256-(60),0)+Parameters!$C$18*MAX(AA256-(84),0)+Parameters!$C$19*MAX(AA256-(120),0)+Parameters!$C$20*MAX(AA256-(180),0)),0)</f>
        <v/>
      </c>
      <c r="BH256" s="22">
        <f>IFERROR((Parameters!$C$21*AK256+Parameters!$C$22*MAX(AK256-(0),0)+Parameters!$C$23*MAX(AK256-(2),0)+Parameters!$C$24*MAX(AK256-(5),0)+Parameters!$C$25*MAX(AK256-(8),0)),0)</f>
        <v/>
      </c>
      <c r="BI256" s="22">
        <f>IFERROR((Parameters!$C$26*AI256+Parameters!$C$27*MAX(AI256-(-100),0)+Parameters!$C$28*MAX(AI256-(-25),0)+Parameters!$C$29*MAX(AI256-(25),0)+Parameters!$C$30*MAX(AI256-(100),0)),0)</f>
        <v/>
      </c>
      <c r="BJ256" s="22">
        <f>IFERROR((Parameters!$C$31*AN256+Parameters!$C$32*MAX(AN256-(2),0)+Parameters!$C$33*MAX(AN256-(10),0)+Parameters!$C$34*MAX(AN256-(25),0)),0)</f>
        <v/>
      </c>
      <c r="BK256" s="22">
        <f>IFERROR((Parameters!$C$35*AB256+Parameters!$C$36*MAX(AB256-(12),0)+Parameters!$C$37*MAX(AB256-(24),0)+Parameters!$C$38*MAX(AB256-(60),0)),0)</f>
        <v/>
      </c>
      <c r="BL256" s="22">
        <f>IFERROR((Parameters!$C$39*AC256+Parameters!$C$40*MAX(AC256-(6),0)+Parameters!$C$41*MAX(AC256-(12),0)+Parameters!$C$42*MAX(AC256-(24),0)),0)</f>
        <v/>
      </c>
      <c r="BM256" s="22">
        <f>IFERROR(Parameters!$C$43*(MAX(AM256,0)*MIN(MAX(AK256,0),10))/100,0)</f>
        <v/>
      </c>
      <c r="BN256" s="22">
        <f>Parameters!$C$44*AE256</f>
        <v/>
      </c>
      <c r="BO256" s="22">
        <f>Parameters!$C$45*AU256 + Parameters!$C$46*AV256 + Parameters!$C$47*AW256 + Parameters!$C$48*AX256 + Parameters!$C$49*AY256 + Parameters!$C$50*AZ256 + Parameters!$C$51*BA256</f>
        <v/>
      </c>
      <c r="BP256" s="22">
        <f>Parameters!$C$52*AQ256</f>
        <v/>
      </c>
      <c r="BQ256" s="22">
        <f>Parameters!$C$53*AR256+Parameters!$C$54*AS256+Parameters!$C$55*AT256</f>
        <v/>
      </c>
      <c r="BR256" s="22">
        <f>Parameters!$C$56*BB256+Parameters!$C$57*BC256+Parameters!$C$58*BD256+Parameters!$C$59*BE256</f>
        <v/>
      </c>
      <c r="BS256" s="23">
        <f>Parameters!$B$2</f>
        <v/>
      </c>
      <c r="BT256" s="23">
        <f>BS256+BF256 + BG256 + BH256 + BI256 + BJ256 + BK256 + BL256 + BM256 + BN256 + BO256 + BP256 + BQ256 + BR256</f>
        <v/>
      </c>
      <c r="BU256" s="24">
        <f>IF(AD256=1,0,1/(1+EXP(-BT256))*Parameters!$B$3)</f>
        <v/>
      </c>
      <c r="BV256" s="25">
        <f>(1-(1-BU256)^12)*100</f>
        <v/>
      </c>
      <c r="BW256" s="25">
        <f>IF(AD256=1,0,(1-(1-1/(1+EXP(-Parameters!$B$2)))^12)*100)</f>
        <v/>
      </c>
      <c r="BX256" s="25">
        <f>IF(AD256=1,0,BV256-(1-(1-(1/(1+EXP(-(BT256-BF256)))*Parameters!$B$3))^12)*100)</f>
        <v/>
      </c>
      <c r="BY256" s="25">
        <f>IF(AD256=1,0,BV256-(1-(1-(1/(1+EXP(-(BT256-BG256)))*Parameters!$B$3))^12)*100)</f>
        <v/>
      </c>
      <c r="BZ256" s="25">
        <f>IF(AD256=1,0,BV256-(1-(1-(1/(1+EXP(-(BT256-BH256)))*Parameters!$B$3))^12)*100)</f>
        <v/>
      </c>
      <c r="CA256" s="25">
        <f>IF(AD256=1,0,BV256-(1-(1-(1/(1+EXP(-(BT256-BI256)))*Parameters!$B$3))^12)*100)</f>
        <v/>
      </c>
      <c r="CB256" s="25">
        <f>IF(AD256=1,0,BV256-(1-(1-(1/(1+EXP(-(BT256-BJ256)))*Parameters!$B$3))^12)*100)</f>
        <v/>
      </c>
      <c r="CC256" s="25">
        <f>IF(AD256=1,0,BV256-(1-(1-(1/(1+EXP(-(BT256-BK256)))*Parameters!$B$3))^12)*100)</f>
        <v/>
      </c>
      <c r="CD256" s="25">
        <f>IF(AD256=1,0,BV256-(1-(1-(1/(1+EXP(-(BT256-BL256)))*Parameters!$B$3))^12)*100)</f>
        <v/>
      </c>
      <c r="CE256" s="25">
        <f>IF(AD256=1,0,BV256-(1-(1-(1/(1+EXP(-(BT256-BM256)))*Parameters!$B$3))^12)*100)</f>
        <v/>
      </c>
      <c r="CF256" s="25">
        <f>IF(AD256=1,0,BV256-(1-(1-(1/(1+EXP(-(BT256-BN256)))*Parameters!$B$3))^12)*100)</f>
        <v/>
      </c>
      <c r="CG256" s="25">
        <f>IF(AD256=1,0,BV256-(1-(1-(1/(1+EXP(-(BT256-BO256)))*Parameters!$B$3))^12)*100)</f>
        <v/>
      </c>
      <c r="CH256" s="25">
        <f>IF(AD256=1,0,BV256-(1-(1-(1/(1+EXP(-(BT256-BP256)))*Parameters!$B$3))^12)*100)</f>
        <v/>
      </c>
      <c r="CI256" s="25">
        <f>IF(AD256=1,0,BV256-(1-(1-(1/(1+EXP(-(BT256-BQ256)))*Parameters!$B$3))^12)*100)</f>
        <v/>
      </c>
      <c r="CJ256" s="25">
        <f>IF(AD256=1,0,BV256-(1-(1-(1/(1+EXP(-(BT256-BR256)))*Parameters!$B$3))^12)*100)</f>
        <v/>
      </c>
    </row>
    <row r="257">
      <c r="A257" s="17" t="inlineStr">
        <is>
          <t>GNR_USDA_538</t>
        </is>
      </c>
      <c r="B257" s="17" t="inlineStr">
        <is>
          <t>3617B9FP6</t>
        </is>
      </c>
      <c r="C257" s="17" t="inlineStr">
        <is>
          <t>PN</t>
        </is>
      </c>
      <c r="D257" s="17" t="inlineStr">
        <is>
          <t>GREYSTONE SERVICING COMPANY LLC</t>
        </is>
      </c>
      <c r="E257" s="17" t="inlineStr">
        <is>
          <t>3617B9FP6_046046048226800</t>
        </is>
      </c>
      <c r="F257" s="17" t="n">
        <v>202603</v>
      </c>
      <c r="G257" s="18" t="n">
        <v>3.95</v>
      </c>
      <c r="H257" s="19" t="n">
        <v>1022055.62</v>
      </c>
      <c r="I257" s="17" t="n">
        <v>480</v>
      </c>
      <c r="J257" s="17" t="n">
        <v>20170701</v>
      </c>
      <c r="K257" s="17" t="n">
        <v>20590101</v>
      </c>
      <c r="L257" s="17" t="n"/>
      <c r="M257" s="17" t="n">
        <v>20290201</v>
      </c>
      <c r="N257" s="17" t="n">
        <v>10</v>
      </c>
      <c r="O257" s="17" t="inlineStr">
        <is>
          <t>538</t>
        </is>
      </c>
      <c r="P257" s="17" t="n"/>
      <c r="Q257" s="17" t="n"/>
      <c r="R257" s="17" t="n"/>
      <c r="S257" s="17" t="n"/>
      <c r="T257" s="17" t="inlineStr">
        <is>
          <t>SC</t>
        </is>
      </c>
      <c r="U257" s="17" t="n">
        <v>0</v>
      </c>
      <c r="V257" s="17" t="n">
        <v>490.5</v>
      </c>
      <c r="W257" s="17" t="n">
        <v>104</v>
      </c>
      <c r="X257" s="17" t="n">
        <v>2017</v>
      </c>
      <c r="Y257" s="17" t="n">
        <v>48</v>
      </c>
      <c r="Z257" s="17" t="n">
        <v>3</v>
      </c>
      <c r="AA257" s="20">
        <f>IF(ISNUMBER(W257),W257,IFERROR(MAX(0,(VALUE(LEFT(F257,4))-VALUE(LEFT(TEXT(J257,"00000000"),4)))*12+(VALUE(MID(F257,5,2))-VALUE(MID(TEXT(J257,"00000000"),5,2)))),""))</f>
        <v/>
      </c>
      <c r="AB257" s="20">
        <f>IFERROR((VALUE(LEFT(TEXT(K257,"00000000"),4))-VALUE(LEFT(F257,4)))*12+(VALUE(MID(TEXT(K257,"00000000"),5,2))-VALUE(MID(F257,5,2))),"")</f>
        <v/>
      </c>
      <c r="AC257" s="20">
        <f>IF(OR(L257="",NOT(ISNUMBER(L257))),0,MAX(0,MIN(60,(VALUE(LEFT(F257,4))-VALUE(LEFT(TEXT(L257,"00000000"),4)))*12+(VALUE(MID(F257,5,2))-VALUE(MID(TEXT(L257,"00000000"),5,2))))))</f>
        <v/>
      </c>
      <c r="AD257" s="20">
        <f>IF(OR(L257="",NOT(ISNUMBER(L257))),0,IF(VALUE(F257)&lt;VALUE(LEFT(TEXT(L257,"00000000"),6)),1,0))</f>
        <v/>
      </c>
      <c r="AE257" s="20">
        <f>IF(OR(M257="",NOT(ISNUMBER(M257))),0,IF(VALUE(F257)&lt;VALUE(LEFT(TEXT(M257,"00000000"),6)),1,0))</f>
        <v/>
      </c>
      <c r="AF257" s="20">
        <f>IF(AND(AD257=0,AE257=0),1,0)</f>
        <v/>
      </c>
      <c r="AG257" s="20">
        <f>IF(ISNUMBER(X257),X257,IFERROR(VALUE(LEFT(TEXT(J257,"00000000"),4)),""))</f>
        <v/>
      </c>
      <c r="AH257" s="20">
        <f>IFERROR(XLOOKUP(AG257,Vintage_Rates!$A$2:$A$1000,Vintage_Rates!$B$2:$B$1000,""),"")</f>
        <v/>
      </c>
      <c r="AI257" s="20">
        <f>IF(ISNUMBER(Y257),Y257,IFERROR((G257-AH257)*100,""))</f>
        <v/>
      </c>
      <c r="AJ257" s="20">
        <f>IF(ISNUMBER(V257),V257,IFERROR(XLOOKUP(VALUE(F257),PLC_Rates!$A$2:$A$1000,PLC_Rates!$B$2:$B$1000,""),""))</f>
        <v/>
      </c>
      <c r="AK257" s="20">
        <f>IF(ISNUMBER(Z257),Z257,IF(AE257=0,0,MAX(0,MIN(10,((VALUE(LEFT(TEXT(M257,"00000000"),4))-VALUE(LEFT(F257,4)))*12+(VALUE(MID(TEXT(M257,"00000000"),5,2))-VALUE(MID(F257,5,2))))/12))))</f>
        <v/>
      </c>
      <c r="AL257" s="20">
        <f>IFERROR(G257*100-AJ257,"")</f>
        <v/>
      </c>
      <c r="AM257" s="20">
        <f>IFERROR(G257*100-(AJ257+(1+AK257)*12.5),"")</f>
        <v/>
      </c>
      <c r="AN257" s="21">
        <f>IFERROR(MIN(H257/1000000,100),"")</f>
        <v/>
      </c>
      <c r="AO257" s="20">
        <f>IFERROR(INDEX(FHA_Lookup!$B$2:$B$11,MATCH(TRUE,ISNUMBER(SEARCH(FHA_Lookup!$A$2:$A$11,UPPER(SUBSTITUTE(O257," ","")))),0)),"OTHER")</f>
        <v/>
      </c>
      <c r="AP257" s="20">
        <f>IFERROR(INDEX(FHA_Lookup!$C$2:$C$11,MATCH(TRUE,ISNUMBER(SEARCH(FHA_Lookup!$A$2:$A$11,UPPER(SUBSTITUTE(O257," ","")))),0)),"OTHER")</f>
        <v/>
      </c>
      <c r="AQ257" s="20">
        <f>IF(AP257="NC",1,0)</f>
        <v/>
      </c>
      <c r="AR257" s="20">
        <f>IF(UPPER(TRIM(P257))="AFF",1,0)</f>
        <v/>
      </c>
      <c r="AS257" s="20">
        <f>IF(UPPER(TRIM(P257))="BAF",1,0)</f>
        <v/>
      </c>
      <c r="AT257" s="20">
        <f>IF(UPPER(TRIM(P257))="MKT",1,0)</f>
        <v/>
      </c>
      <c r="AU257" s="20">
        <f>IF(AO257="221d4",1,0)</f>
        <v/>
      </c>
      <c r="AV257" s="20">
        <f>IF(AO257="223a7",1,0)</f>
        <v/>
      </c>
      <c r="AW257" s="20">
        <f>IF(AO257="232",1,0)</f>
        <v/>
      </c>
      <c r="AX257" s="20">
        <f>IF(AO257="538",1,0)</f>
        <v/>
      </c>
      <c r="AY257" s="20">
        <f>IF(AO257="241",1,0)</f>
        <v/>
      </c>
      <c r="AZ257" s="20">
        <f>IF(AO257="220",1,0)</f>
        <v/>
      </c>
      <c r="BA257" s="20">
        <f>IF(AO257="OTHER",1,0)</f>
        <v/>
      </c>
      <c r="BB257" s="20">
        <f>IF(UPPER(TRIM(C257))="LM",1,0)</f>
        <v/>
      </c>
      <c r="BC257" s="20">
        <f>IF(UPPER(TRIM(C257))="PN",1,0)</f>
        <v/>
      </c>
      <c r="BD257" s="20">
        <f>IF(UPPER(TRIM(C257))="LS",1,0)</f>
        <v/>
      </c>
      <c r="BE257" s="20">
        <f>IF(UPPER(TRIM(C257))="RX",1,0)</f>
        <v/>
      </c>
      <c r="BF257" s="22">
        <f>IFERROR((Parameters!$C$6*AM257+Parameters!$C$7*MAX(AM257-(-150),0)+Parameters!$C$8*MAX(AM257-(-50),0)+Parameters!$C$9*MAX(AM257-(0),0)+Parameters!$C$10*MAX(AM257-(50),0)+Parameters!$C$11*MAX(AM257-(100),0)+Parameters!$C$12*MAX(AM257-(150),0)+Parameters!$C$13*MAX(AM257-(250),0)),0)</f>
        <v/>
      </c>
      <c r="BG257" s="22">
        <f>IFERROR((Parameters!$C$14*AA257+Parameters!$C$15*MAX(AA257-(12),0)+Parameters!$C$16*MAX(AA257-(36),0)+Parameters!$C$17*MAX(AA257-(60),0)+Parameters!$C$18*MAX(AA257-(84),0)+Parameters!$C$19*MAX(AA257-(120),0)+Parameters!$C$20*MAX(AA257-(180),0)),0)</f>
        <v/>
      </c>
      <c r="BH257" s="22">
        <f>IFERROR((Parameters!$C$21*AK257+Parameters!$C$22*MAX(AK257-(0),0)+Parameters!$C$23*MAX(AK257-(2),0)+Parameters!$C$24*MAX(AK257-(5),0)+Parameters!$C$25*MAX(AK257-(8),0)),0)</f>
        <v/>
      </c>
      <c r="BI257" s="22">
        <f>IFERROR((Parameters!$C$26*AI257+Parameters!$C$27*MAX(AI257-(-100),0)+Parameters!$C$28*MAX(AI257-(-25),0)+Parameters!$C$29*MAX(AI257-(25),0)+Parameters!$C$30*MAX(AI257-(100),0)),0)</f>
        <v/>
      </c>
      <c r="BJ257" s="22">
        <f>IFERROR((Parameters!$C$31*AN257+Parameters!$C$32*MAX(AN257-(2),0)+Parameters!$C$33*MAX(AN257-(10),0)+Parameters!$C$34*MAX(AN257-(25),0)),0)</f>
        <v/>
      </c>
      <c r="BK257" s="22">
        <f>IFERROR((Parameters!$C$35*AB257+Parameters!$C$36*MAX(AB257-(12),0)+Parameters!$C$37*MAX(AB257-(24),0)+Parameters!$C$38*MAX(AB257-(60),0)),0)</f>
        <v/>
      </c>
      <c r="BL257" s="22">
        <f>IFERROR((Parameters!$C$39*AC257+Parameters!$C$40*MAX(AC257-(6),0)+Parameters!$C$41*MAX(AC257-(12),0)+Parameters!$C$42*MAX(AC257-(24),0)),0)</f>
        <v/>
      </c>
      <c r="BM257" s="22">
        <f>IFERROR(Parameters!$C$43*(MAX(AM257,0)*MIN(MAX(AK257,0),10))/100,0)</f>
        <v/>
      </c>
      <c r="BN257" s="22">
        <f>Parameters!$C$44*AE257</f>
        <v/>
      </c>
      <c r="BO257" s="22">
        <f>Parameters!$C$45*AU257 + Parameters!$C$46*AV257 + Parameters!$C$47*AW257 + Parameters!$C$48*AX257 + Parameters!$C$49*AY257 + Parameters!$C$50*AZ257 + Parameters!$C$51*BA257</f>
        <v/>
      </c>
      <c r="BP257" s="22">
        <f>Parameters!$C$52*AQ257</f>
        <v/>
      </c>
      <c r="BQ257" s="22">
        <f>Parameters!$C$53*AR257+Parameters!$C$54*AS257+Parameters!$C$55*AT257</f>
        <v/>
      </c>
      <c r="BR257" s="22">
        <f>Parameters!$C$56*BB257+Parameters!$C$57*BC257+Parameters!$C$58*BD257+Parameters!$C$59*BE257</f>
        <v/>
      </c>
      <c r="BS257" s="23">
        <f>Parameters!$B$2</f>
        <v/>
      </c>
      <c r="BT257" s="23">
        <f>BS257+BF257 + BG257 + BH257 + BI257 + BJ257 + BK257 + BL257 + BM257 + BN257 + BO257 + BP257 + BQ257 + BR257</f>
        <v/>
      </c>
      <c r="BU257" s="24">
        <f>IF(AD257=1,0,1/(1+EXP(-BT257))*Parameters!$B$3)</f>
        <v/>
      </c>
      <c r="BV257" s="25">
        <f>(1-(1-BU257)^12)*100</f>
        <v/>
      </c>
      <c r="BW257" s="25">
        <f>IF(AD257=1,0,(1-(1-1/(1+EXP(-Parameters!$B$2)))^12)*100)</f>
        <v/>
      </c>
      <c r="BX257" s="25">
        <f>IF(AD257=1,0,BV257-(1-(1-(1/(1+EXP(-(BT257-BF257)))*Parameters!$B$3))^12)*100)</f>
        <v/>
      </c>
      <c r="BY257" s="25">
        <f>IF(AD257=1,0,BV257-(1-(1-(1/(1+EXP(-(BT257-BG257)))*Parameters!$B$3))^12)*100)</f>
        <v/>
      </c>
      <c r="BZ257" s="25">
        <f>IF(AD257=1,0,BV257-(1-(1-(1/(1+EXP(-(BT257-BH257)))*Parameters!$B$3))^12)*100)</f>
        <v/>
      </c>
      <c r="CA257" s="25">
        <f>IF(AD257=1,0,BV257-(1-(1-(1/(1+EXP(-(BT257-BI257)))*Parameters!$B$3))^12)*100)</f>
        <v/>
      </c>
      <c r="CB257" s="25">
        <f>IF(AD257=1,0,BV257-(1-(1-(1/(1+EXP(-(BT257-BJ257)))*Parameters!$B$3))^12)*100)</f>
        <v/>
      </c>
      <c r="CC257" s="25">
        <f>IF(AD257=1,0,BV257-(1-(1-(1/(1+EXP(-(BT257-BK257)))*Parameters!$B$3))^12)*100)</f>
        <v/>
      </c>
      <c r="CD257" s="25">
        <f>IF(AD257=1,0,BV257-(1-(1-(1/(1+EXP(-(BT257-BL257)))*Parameters!$B$3))^12)*100)</f>
        <v/>
      </c>
      <c r="CE257" s="25">
        <f>IF(AD257=1,0,BV257-(1-(1-(1/(1+EXP(-(BT257-BM257)))*Parameters!$B$3))^12)*100)</f>
        <v/>
      </c>
      <c r="CF257" s="25">
        <f>IF(AD257=1,0,BV257-(1-(1-(1/(1+EXP(-(BT257-BN257)))*Parameters!$B$3))^12)*100)</f>
        <v/>
      </c>
      <c r="CG257" s="25">
        <f>IF(AD257=1,0,BV257-(1-(1-(1/(1+EXP(-(BT257-BO257)))*Parameters!$B$3))^12)*100)</f>
        <v/>
      </c>
      <c r="CH257" s="25">
        <f>IF(AD257=1,0,BV257-(1-(1-(1/(1+EXP(-(BT257-BP257)))*Parameters!$B$3))^12)*100)</f>
        <v/>
      </c>
      <c r="CI257" s="25">
        <f>IF(AD257=1,0,BV257-(1-(1-(1/(1+EXP(-(BT257-BQ257)))*Parameters!$B$3))^12)*100)</f>
        <v/>
      </c>
      <c r="CJ257" s="25">
        <f>IF(AD257=1,0,BV257-(1-(1-(1/(1+EXP(-(BT257-BR257)))*Parameters!$B$3))^12)*100)</f>
        <v/>
      </c>
    </row>
    <row r="258">
      <c r="A258" s="17" t="inlineStr">
        <is>
          <t>GNR_USDA_538</t>
        </is>
      </c>
      <c r="B258" s="17" t="inlineStr">
        <is>
          <t>3617VLR82</t>
        </is>
      </c>
      <c r="C258" s="17" t="inlineStr">
        <is>
          <t>LS</t>
        </is>
      </c>
      <c r="D258" s="17" t="inlineStr">
        <is>
          <t>BONNEVILLE MORTGAGE COMPANY, LLC</t>
        </is>
      </c>
      <c r="E258" s="17" t="inlineStr">
        <is>
          <t>3617VLR82_004029846414177</t>
        </is>
      </c>
      <c r="F258" s="17" t="n">
        <v>202603</v>
      </c>
      <c r="G258" s="18" t="n">
        <v>3.15</v>
      </c>
      <c r="H258" s="19" t="n">
        <v>3518744.18</v>
      </c>
      <c r="I258" s="17" t="n">
        <v>479</v>
      </c>
      <c r="J258" s="17" t="n">
        <v>20210902</v>
      </c>
      <c r="K258" s="17" t="n">
        <v>20610901</v>
      </c>
      <c r="L258" s="17" t="n"/>
      <c r="M258" s="17" t="n">
        <v>20311101</v>
      </c>
      <c r="N258" s="17" t="n">
        <v>10</v>
      </c>
      <c r="O258" s="17" t="inlineStr">
        <is>
          <t>538/515</t>
        </is>
      </c>
      <c r="P258" s="17" t="n"/>
      <c r="Q258" s="17" t="n"/>
      <c r="R258" s="17" t="n"/>
      <c r="S258" s="17" t="n"/>
      <c r="T258" s="17" t="inlineStr">
        <is>
          <t>CA</t>
        </is>
      </c>
      <c r="U258" s="17" t="n">
        <v>0</v>
      </c>
      <c r="V258" s="17" t="n">
        <v>490.5</v>
      </c>
      <c r="W258" s="17" t="n">
        <v>54</v>
      </c>
      <c r="X258" s="17" t="n">
        <v>2021</v>
      </c>
      <c r="Y258" s="17" t="n">
        <v>57</v>
      </c>
      <c r="Z258" s="17" t="n">
        <v>6</v>
      </c>
      <c r="AA258" s="20">
        <f>IF(ISNUMBER(W258),W258,IFERROR(MAX(0,(VALUE(LEFT(F258,4))-VALUE(LEFT(TEXT(J258,"00000000"),4)))*12+(VALUE(MID(F258,5,2))-VALUE(MID(TEXT(J258,"00000000"),5,2)))),""))</f>
        <v/>
      </c>
      <c r="AB258" s="20">
        <f>IFERROR((VALUE(LEFT(TEXT(K258,"00000000"),4))-VALUE(LEFT(F258,4)))*12+(VALUE(MID(TEXT(K258,"00000000"),5,2))-VALUE(MID(F258,5,2))),"")</f>
        <v/>
      </c>
      <c r="AC258" s="20">
        <f>IF(OR(L258="",NOT(ISNUMBER(L258))),0,MAX(0,MIN(60,(VALUE(LEFT(F258,4))-VALUE(LEFT(TEXT(L258,"00000000"),4)))*12+(VALUE(MID(F258,5,2))-VALUE(MID(TEXT(L258,"00000000"),5,2))))))</f>
        <v/>
      </c>
      <c r="AD258" s="20">
        <f>IF(OR(L258="",NOT(ISNUMBER(L258))),0,IF(VALUE(F258)&lt;VALUE(LEFT(TEXT(L258,"00000000"),6)),1,0))</f>
        <v/>
      </c>
      <c r="AE258" s="20">
        <f>IF(OR(M258="",NOT(ISNUMBER(M258))),0,IF(VALUE(F258)&lt;VALUE(LEFT(TEXT(M258,"00000000"),6)),1,0))</f>
        <v/>
      </c>
      <c r="AF258" s="20">
        <f>IF(AND(AD258=0,AE258=0),1,0)</f>
        <v/>
      </c>
      <c r="AG258" s="20">
        <f>IF(ISNUMBER(X258),X258,IFERROR(VALUE(LEFT(TEXT(J258,"00000000"),4)),""))</f>
        <v/>
      </c>
      <c r="AH258" s="20">
        <f>IFERROR(XLOOKUP(AG258,Vintage_Rates!$A$2:$A$1000,Vintage_Rates!$B$2:$B$1000,""),"")</f>
        <v/>
      </c>
      <c r="AI258" s="20">
        <f>IF(ISNUMBER(Y258),Y258,IFERROR((G258-AH258)*100,""))</f>
        <v/>
      </c>
      <c r="AJ258" s="20">
        <f>IF(ISNUMBER(V258),V258,IFERROR(XLOOKUP(VALUE(F258),PLC_Rates!$A$2:$A$1000,PLC_Rates!$B$2:$B$1000,""),""))</f>
        <v/>
      </c>
      <c r="AK258" s="20">
        <f>IF(ISNUMBER(Z258),Z258,IF(AE258=0,0,MAX(0,MIN(10,((VALUE(LEFT(TEXT(M258,"00000000"),4))-VALUE(LEFT(F258,4)))*12+(VALUE(MID(TEXT(M258,"00000000"),5,2))-VALUE(MID(F258,5,2))))/12))))</f>
        <v/>
      </c>
      <c r="AL258" s="20">
        <f>IFERROR(G258*100-AJ258,"")</f>
        <v/>
      </c>
      <c r="AM258" s="20">
        <f>IFERROR(G258*100-(AJ258+(1+AK258)*12.5),"")</f>
        <v/>
      </c>
      <c r="AN258" s="21">
        <f>IFERROR(MIN(H258/1000000,100),"")</f>
        <v/>
      </c>
      <c r="AO258" s="20">
        <f>IFERROR(INDEX(FHA_Lookup!$B$2:$B$11,MATCH(TRUE,ISNUMBER(SEARCH(FHA_Lookup!$A$2:$A$11,UPPER(SUBSTITUTE(O258," ","")))),0)),"OTHER")</f>
        <v/>
      </c>
      <c r="AP258" s="20">
        <f>IFERROR(INDEX(FHA_Lookup!$C$2:$C$11,MATCH(TRUE,ISNUMBER(SEARCH(FHA_Lookup!$A$2:$A$11,UPPER(SUBSTITUTE(O258," ","")))),0)),"OTHER")</f>
        <v/>
      </c>
      <c r="AQ258" s="20">
        <f>IF(AP258="NC",1,0)</f>
        <v/>
      </c>
      <c r="AR258" s="20">
        <f>IF(UPPER(TRIM(P258))="AFF",1,0)</f>
        <v/>
      </c>
      <c r="AS258" s="20">
        <f>IF(UPPER(TRIM(P258))="BAF",1,0)</f>
        <v/>
      </c>
      <c r="AT258" s="20">
        <f>IF(UPPER(TRIM(P258))="MKT",1,0)</f>
        <v/>
      </c>
      <c r="AU258" s="20">
        <f>IF(AO258="221d4",1,0)</f>
        <v/>
      </c>
      <c r="AV258" s="20">
        <f>IF(AO258="223a7",1,0)</f>
        <v/>
      </c>
      <c r="AW258" s="20">
        <f>IF(AO258="232",1,0)</f>
        <v/>
      </c>
      <c r="AX258" s="20">
        <f>IF(AO258="538",1,0)</f>
        <v/>
      </c>
      <c r="AY258" s="20">
        <f>IF(AO258="241",1,0)</f>
        <v/>
      </c>
      <c r="AZ258" s="20">
        <f>IF(AO258="220",1,0)</f>
        <v/>
      </c>
      <c r="BA258" s="20">
        <f>IF(AO258="OTHER",1,0)</f>
        <v/>
      </c>
      <c r="BB258" s="20">
        <f>IF(UPPER(TRIM(C258))="LM",1,0)</f>
        <v/>
      </c>
      <c r="BC258" s="20">
        <f>IF(UPPER(TRIM(C258))="PN",1,0)</f>
        <v/>
      </c>
      <c r="BD258" s="20">
        <f>IF(UPPER(TRIM(C258))="LS",1,0)</f>
        <v/>
      </c>
      <c r="BE258" s="20">
        <f>IF(UPPER(TRIM(C258))="RX",1,0)</f>
        <v/>
      </c>
      <c r="BF258" s="22">
        <f>IFERROR((Parameters!$C$6*AM258+Parameters!$C$7*MAX(AM258-(-150),0)+Parameters!$C$8*MAX(AM258-(-50),0)+Parameters!$C$9*MAX(AM258-(0),0)+Parameters!$C$10*MAX(AM258-(50),0)+Parameters!$C$11*MAX(AM258-(100),0)+Parameters!$C$12*MAX(AM258-(150),0)+Parameters!$C$13*MAX(AM258-(250),0)),0)</f>
        <v/>
      </c>
      <c r="BG258" s="22">
        <f>IFERROR((Parameters!$C$14*AA258+Parameters!$C$15*MAX(AA258-(12),0)+Parameters!$C$16*MAX(AA258-(36),0)+Parameters!$C$17*MAX(AA258-(60),0)+Parameters!$C$18*MAX(AA258-(84),0)+Parameters!$C$19*MAX(AA258-(120),0)+Parameters!$C$20*MAX(AA258-(180),0)),0)</f>
        <v/>
      </c>
      <c r="BH258" s="22">
        <f>IFERROR((Parameters!$C$21*AK258+Parameters!$C$22*MAX(AK258-(0),0)+Parameters!$C$23*MAX(AK258-(2),0)+Parameters!$C$24*MAX(AK258-(5),0)+Parameters!$C$25*MAX(AK258-(8),0)),0)</f>
        <v/>
      </c>
      <c r="BI258" s="22">
        <f>IFERROR((Parameters!$C$26*AI258+Parameters!$C$27*MAX(AI258-(-100),0)+Parameters!$C$28*MAX(AI258-(-25),0)+Parameters!$C$29*MAX(AI258-(25),0)+Parameters!$C$30*MAX(AI258-(100),0)),0)</f>
        <v/>
      </c>
      <c r="BJ258" s="22">
        <f>IFERROR((Parameters!$C$31*AN258+Parameters!$C$32*MAX(AN258-(2),0)+Parameters!$C$33*MAX(AN258-(10),0)+Parameters!$C$34*MAX(AN258-(25),0)),0)</f>
        <v/>
      </c>
      <c r="BK258" s="22">
        <f>IFERROR((Parameters!$C$35*AB258+Parameters!$C$36*MAX(AB258-(12),0)+Parameters!$C$37*MAX(AB258-(24),0)+Parameters!$C$38*MAX(AB258-(60),0)),0)</f>
        <v/>
      </c>
      <c r="BL258" s="22">
        <f>IFERROR((Parameters!$C$39*AC258+Parameters!$C$40*MAX(AC258-(6),0)+Parameters!$C$41*MAX(AC258-(12),0)+Parameters!$C$42*MAX(AC258-(24),0)),0)</f>
        <v/>
      </c>
      <c r="BM258" s="22">
        <f>IFERROR(Parameters!$C$43*(MAX(AM258,0)*MIN(MAX(AK258,0),10))/100,0)</f>
        <v/>
      </c>
      <c r="BN258" s="22">
        <f>Parameters!$C$44*AE258</f>
        <v/>
      </c>
      <c r="BO258" s="22">
        <f>Parameters!$C$45*AU258 + Parameters!$C$46*AV258 + Parameters!$C$47*AW258 + Parameters!$C$48*AX258 + Parameters!$C$49*AY258 + Parameters!$C$50*AZ258 + Parameters!$C$51*BA258</f>
        <v/>
      </c>
      <c r="BP258" s="22">
        <f>Parameters!$C$52*AQ258</f>
        <v/>
      </c>
      <c r="BQ258" s="22">
        <f>Parameters!$C$53*AR258+Parameters!$C$54*AS258+Parameters!$C$55*AT258</f>
        <v/>
      </c>
      <c r="BR258" s="22">
        <f>Parameters!$C$56*BB258+Parameters!$C$57*BC258+Parameters!$C$58*BD258+Parameters!$C$59*BE258</f>
        <v/>
      </c>
      <c r="BS258" s="23">
        <f>Parameters!$B$2</f>
        <v/>
      </c>
      <c r="BT258" s="23">
        <f>BS258+BF258 + BG258 + BH258 + BI258 + BJ258 + BK258 + BL258 + BM258 + BN258 + BO258 + BP258 + BQ258 + BR258</f>
        <v/>
      </c>
      <c r="BU258" s="24">
        <f>IF(AD258=1,0,1/(1+EXP(-BT258))*Parameters!$B$3)</f>
        <v/>
      </c>
      <c r="BV258" s="25">
        <f>(1-(1-BU258)^12)*100</f>
        <v/>
      </c>
      <c r="BW258" s="25">
        <f>IF(AD258=1,0,(1-(1-1/(1+EXP(-Parameters!$B$2)))^12)*100)</f>
        <v/>
      </c>
      <c r="BX258" s="25">
        <f>IF(AD258=1,0,BV258-(1-(1-(1/(1+EXP(-(BT258-BF258)))*Parameters!$B$3))^12)*100)</f>
        <v/>
      </c>
      <c r="BY258" s="25">
        <f>IF(AD258=1,0,BV258-(1-(1-(1/(1+EXP(-(BT258-BG258)))*Parameters!$B$3))^12)*100)</f>
        <v/>
      </c>
      <c r="BZ258" s="25">
        <f>IF(AD258=1,0,BV258-(1-(1-(1/(1+EXP(-(BT258-BH258)))*Parameters!$B$3))^12)*100)</f>
        <v/>
      </c>
      <c r="CA258" s="25">
        <f>IF(AD258=1,0,BV258-(1-(1-(1/(1+EXP(-(BT258-BI258)))*Parameters!$B$3))^12)*100)</f>
        <v/>
      </c>
      <c r="CB258" s="25">
        <f>IF(AD258=1,0,BV258-(1-(1-(1/(1+EXP(-(BT258-BJ258)))*Parameters!$B$3))^12)*100)</f>
        <v/>
      </c>
      <c r="CC258" s="25">
        <f>IF(AD258=1,0,BV258-(1-(1-(1/(1+EXP(-(BT258-BK258)))*Parameters!$B$3))^12)*100)</f>
        <v/>
      </c>
      <c r="CD258" s="25">
        <f>IF(AD258=1,0,BV258-(1-(1-(1/(1+EXP(-(BT258-BL258)))*Parameters!$B$3))^12)*100)</f>
        <v/>
      </c>
      <c r="CE258" s="25">
        <f>IF(AD258=1,0,BV258-(1-(1-(1/(1+EXP(-(BT258-BM258)))*Parameters!$B$3))^12)*100)</f>
        <v/>
      </c>
      <c r="CF258" s="25">
        <f>IF(AD258=1,0,BV258-(1-(1-(1/(1+EXP(-(BT258-BN258)))*Parameters!$B$3))^12)*100)</f>
        <v/>
      </c>
      <c r="CG258" s="25">
        <f>IF(AD258=1,0,BV258-(1-(1-(1/(1+EXP(-(BT258-BO258)))*Parameters!$B$3))^12)*100)</f>
        <v/>
      </c>
      <c r="CH258" s="25">
        <f>IF(AD258=1,0,BV258-(1-(1-(1/(1+EXP(-(BT258-BP258)))*Parameters!$B$3))^12)*100)</f>
        <v/>
      </c>
      <c r="CI258" s="25">
        <f>IF(AD258=1,0,BV258-(1-(1-(1/(1+EXP(-(BT258-BQ258)))*Parameters!$B$3))^12)*100)</f>
        <v/>
      </c>
      <c r="CJ258" s="25">
        <f>IF(AD258=1,0,BV258-(1-(1-(1/(1+EXP(-(BT258-BR258)))*Parameters!$B$3))^12)*100)</f>
        <v/>
      </c>
    </row>
    <row r="259">
      <c r="A259" s="17" t="inlineStr">
        <is>
          <t>GNR_USDA_538</t>
        </is>
      </c>
      <c r="B259" s="17" t="inlineStr">
        <is>
          <t>3617YCZT4</t>
        </is>
      </c>
      <c r="C259" s="17" t="inlineStr">
        <is>
          <t>PN</t>
        </is>
      </c>
      <c r="D259" s="17" t="inlineStr">
        <is>
          <t>BONNEVILLE MORTGAGE COMPANY, LLC</t>
        </is>
      </c>
      <c r="E259" s="17" t="inlineStr">
        <is>
          <t>3617YCZT4_004033335256745</t>
        </is>
      </c>
      <c r="F259" s="17" t="n">
        <v>202603</v>
      </c>
      <c r="G259" s="18" t="n">
        <v>4.58</v>
      </c>
      <c r="H259" s="19" t="n">
        <v>5309646.81</v>
      </c>
      <c r="I259" s="17" t="n">
        <v>480</v>
      </c>
      <c r="J259" s="17" t="n">
        <v>20220602</v>
      </c>
      <c r="K259" s="17" t="n">
        <v>20620601</v>
      </c>
      <c r="L259" s="17" t="n"/>
      <c r="M259" s="17" t="n">
        <v>20340601</v>
      </c>
      <c r="N259" s="17" t="n">
        <v>10</v>
      </c>
      <c r="O259" s="17" t="inlineStr">
        <is>
          <t>538</t>
        </is>
      </c>
      <c r="P259" s="17" t="n"/>
      <c r="Q259" s="17" t="n"/>
      <c r="R259" s="17" t="n"/>
      <c r="S259" s="17" t="n"/>
      <c r="T259" s="17" t="inlineStr">
        <is>
          <t>CA</t>
        </is>
      </c>
      <c r="U259" s="17" t="n">
        <v>0</v>
      </c>
      <c r="V259" s="17" t="n">
        <v>490.5</v>
      </c>
      <c r="W259" s="17" t="n">
        <v>45</v>
      </c>
      <c r="X259" s="17" t="n">
        <v>2022</v>
      </c>
      <c r="Y259" s="17" t="n">
        <v>83</v>
      </c>
      <c r="Z259" s="17" t="n">
        <v>9</v>
      </c>
      <c r="AA259" s="20">
        <f>IF(ISNUMBER(W259),W259,IFERROR(MAX(0,(VALUE(LEFT(F259,4))-VALUE(LEFT(TEXT(J259,"00000000"),4)))*12+(VALUE(MID(F259,5,2))-VALUE(MID(TEXT(J259,"00000000"),5,2)))),""))</f>
        <v/>
      </c>
      <c r="AB259" s="20">
        <f>IFERROR((VALUE(LEFT(TEXT(K259,"00000000"),4))-VALUE(LEFT(F259,4)))*12+(VALUE(MID(TEXT(K259,"00000000"),5,2))-VALUE(MID(F259,5,2))),"")</f>
        <v/>
      </c>
      <c r="AC259" s="20">
        <f>IF(OR(L259="",NOT(ISNUMBER(L259))),0,MAX(0,MIN(60,(VALUE(LEFT(F259,4))-VALUE(LEFT(TEXT(L259,"00000000"),4)))*12+(VALUE(MID(F259,5,2))-VALUE(MID(TEXT(L259,"00000000"),5,2))))))</f>
        <v/>
      </c>
      <c r="AD259" s="20">
        <f>IF(OR(L259="",NOT(ISNUMBER(L259))),0,IF(VALUE(F259)&lt;VALUE(LEFT(TEXT(L259,"00000000"),6)),1,0))</f>
        <v/>
      </c>
      <c r="AE259" s="20">
        <f>IF(OR(M259="",NOT(ISNUMBER(M259))),0,IF(VALUE(F259)&lt;VALUE(LEFT(TEXT(M259,"00000000"),6)),1,0))</f>
        <v/>
      </c>
      <c r="AF259" s="20">
        <f>IF(AND(AD259=0,AE259=0),1,0)</f>
        <v/>
      </c>
      <c r="AG259" s="20">
        <f>IF(ISNUMBER(X259),X259,IFERROR(VALUE(LEFT(TEXT(J259,"00000000"),4)),""))</f>
        <v/>
      </c>
      <c r="AH259" s="20">
        <f>IFERROR(XLOOKUP(AG259,Vintage_Rates!$A$2:$A$1000,Vintage_Rates!$B$2:$B$1000,""),"")</f>
        <v/>
      </c>
      <c r="AI259" s="20">
        <f>IF(ISNUMBER(Y259),Y259,IFERROR((G259-AH259)*100,""))</f>
        <v/>
      </c>
      <c r="AJ259" s="20">
        <f>IF(ISNUMBER(V259),V259,IFERROR(XLOOKUP(VALUE(F259),PLC_Rates!$A$2:$A$1000,PLC_Rates!$B$2:$B$1000,""),""))</f>
        <v/>
      </c>
      <c r="AK259" s="20">
        <f>IF(ISNUMBER(Z259),Z259,IF(AE259=0,0,MAX(0,MIN(10,((VALUE(LEFT(TEXT(M259,"00000000"),4))-VALUE(LEFT(F259,4)))*12+(VALUE(MID(TEXT(M259,"00000000"),5,2))-VALUE(MID(F259,5,2))))/12))))</f>
        <v/>
      </c>
      <c r="AL259" s="20">
        <f>IFERROR(G259*100-AJ259,"")</f>
        <v/>
      </c>
      <c r="AM259" s="20">
        <f>IFERROR(G259*100-(AJ259+(1+AK259)*12.5),"")</f>
        <v/>
      </c>
      <c r="AN259" s="21">
        <f>IFERROR(MIN(H259/1000000,100),"")</f>
        <v/>
      </c>
      <c r="AO259" s="20">
        <f>IFERROR(INDEX(FHA_Lookup!$B$2:$B$11,MATCH(TRUE,ISNUMBER(SEARCH(FHA_Lookup!$A$2:$A$11,UPPER(SUBSTITUTE(O259," ","")))),0)),"OTHER")</f>
        <v/>
      </c>
      <c r="AP259" s="20">
        <f>IFERROR(INDEX(FHA_Lookup!$C$2:$C$11,MATCH(TRUE,ISNUMBER(SEARCH(FHA_Lookup!$A$2:$A$11,UPPER(SUBSTITUTE(O259," ","")))),0)),"OTHER")</f>
        <v/>
      </c>
      <c r="AQ259" s="20">
        <f>IF(AP259="NC",1,0)</f>
        <v/>
      </c>
      <c r="AR259" s="20">
        <f>IF(UPPER(TRIM(P259))="AFF",1,0)</f>
        <v/>
      </c>
      <c r="AS259" s="20">
        <f>IF(UPPER(TRIM(P259))="BAF",1,0)</f>
        <v/>
      </c>
      <c r="AT259" s="20">
        <f>IF(UPPER(TRIM(P259))="MKT",1,0)</f>
        <v/>
      </c>
      <c r="AU259" s="20">
        <f>IF(AO259="221d4",1,0)</f>
        <v/>
      </c>
      <c r="AV259" s="20">
        <f>IF(AO259="223a7",1,0)</f>
        <v/>
      </c>
      <c r="AW259" s="20">
        <f>IF(AO259="232",1,0)</f>
        <v/>
      </c>
      <c r="AX259" s="20">
        <f>IF(AO259="538",1,0)</f>
        <v/>
      </c>
      <c r="AY259" s="20">
        <f>IF(AO259="241",1,0)</f>
        <v/>
      </c>
      <c r="AZ259" s="20">
        <f>IF(AO259="220",1,0)</f>
        <v/>
      </c>
      <c r="BA259" s="20">
        <f>IF(AO259="OTHER",1,0)</f>
        <v/>
      </c>
      <c r="BB259" s="20">
        <f>IF(UPPER(TRIM(C259))="LM",1,0)</f>
        <v/>
      </c>
      <c r="BC259" s="20">
        <f>IF(UPPER(TRIM(C259))="PN",1,0)</f>
        <v/>
      </c>
      <c r="BD259" s="20">
        <f>IF(UPPER(TRIM(C259))="LS",1,0)</f>
        <v/>
      </c>
      <c r="BE259" s="20">
        <f>IF(UPPER(TRIM(C259))="RX",1,0)</f>
        <v/>
      </c>
      <c r="BF259" s="22">
        <f>IFERROR((Parameters!$C$6*AM259+Parameters!$C$7*MAX(AM259-(-150),0)+Parameters!$C$8*MAX(AM259-(-50),0)+Parameters!$C$9*MAX(AM259-(0),0)+Parameters!$C$10*MAX(AM259-(50),0)+Parameters!$C$11*MAX(AM259-(100),0)+Parameters!$C$12*MAX(AM259-(150),0)+Parameters!$C$13*MAX(AM259-(250),0)),0)</f>
        <v/>
      </c>
      <c r="BG259" s="22">
        <f>IFERROR((Parameters!$C$14*AA259+Parameters!$C$15*MAX(AA259-(12),0)+Parameters!$C$16*MAX(AA259-(36),0)+Parameters!$C$17*MAX(AA259-(60),0)+Parameters!$C$18*MAX(AA259-(84),0)+Parameters!$C$19*MAX(AA259-(120),0)+Parameters!$C$20*MAX(AA259-(180),0)),0)</f>
        <v/>
      </c>
      <c r="BH259" s="22">
        <f>IFERROR((Parameters!$C$21*AK259+Parameters!$C$22*MAX(AK259-(0),0)+Parameters!$C$23*MAX(AK259-(2),0)+Parameters!$C$24*MAX(AK259-(5),0)+Parameters!$C$25*MAX(AK259-(8),0)),0)</f>
        <v/>
      </c>
      <c r="BI259" s="22">
        <f>IFERROR((Parameters!$C$26*AI259+Parameters!$C$27*MAX(AI259-(-100),0)+Parameters!$C$28*MAX(AI259-(-25),0)+Parameters!$C$29*MAX(AI259-(25),0)+Parameters!$C$30*MAX(AI259-(100),0)),0)</f>
        <v/>
      </c>
      <c r="BJ259" s="22">
        <f>IFERROR((Parameters!$C$31*AN259+Parameters!$C$32*MAX(AN259-(2),0)+Parameters!$C$33*MAX(AN259-(10),0)+Parameters!$C$34*MAX(AN259-(25),0)),0)</f>
        <v/>
      </c>
      <c r="BK259" s="22">
        <f>IFERROR((Parameters!$C$35*AB259+Parameters!$C$36*MAX(AB259-(12),0)+Parameters!$C$37*MAX(AB259-(24),0)+Parameters!$C$38*MAX(AB259-(60),0)),0)</f>
        <v/>
      </c>
      <c r="BL259" s="22">
        <f>IFERROR((Parameters!$C$39*AC259+Parameters!$C$40*MAX(AC259-(6),0)+Parameters!$C$41*MAX(AC259-(12),0)+Parameters!$C$42*MAX(AC259-(24),0)),0)</f>
        <v/>
      </c>
      <c r="BM259" s="22">
        <f>IFERROR(Parameters!$C$43*(MAX(AM259,0)*MIN(MAX(AK259,0),10))/100,0)</f>
        <v/>
      </c>
      <c r="BN259" s="22">
        <f>Parameters!$C$44*AE259</f>
        <v/>
      </c>
      <c r="BO259" s="22">
        <f>Parameters!$C$45*AU259 + Parameters!$C$46*AV259 + Parameters!$C$47*AW259 + Parameters!$C$48*AX259 + Parameters!$C$49*AY259 + Parameters!$C$50*AZ259 + Parameters!$C$51*BA259</f>
        <v/>
      </c>
      <c r="BP259" s="22">
        <f>Parameters!$C$52*AQ259</f>
        <v/>
      </c>
      <c r="BQ259" s="22">
        <f>Parameters!$C$53*AR259+Parameters!$C$54*AS259+Parameters!$C$55*AT259</f>
        <v/>
      </c>
      <c r="BR259" s="22">
        <f>Parameters!$C$56*BB259+Parameters!$C$57*BC259+Parameters!$C$58*BD259+Parameters!$C$59*BE259</f>
        <v/>
      </c>
      <c r="BS259" s="23">
        <f>Parameters!$B$2</f>
        <v/>
      </c>
      <c r="BT259" s="23">
        <f>BS259+BF259 + BG259 + BH259 + BI259 + BJ259 + BK259 + BL259 + BM259 + BN259 + BO259 + BP259 + BQ259 + BR259</f>
        <v/>
      </c>
      <c r="BU259" s="24">
        <f>IF(AD259=1,0,1/(1+EXP(-BT259))*Parameters!$B$3)</f>
        <v/>
      </c>
      <c r="BV259" s="25">
        <f>(1-(1-BU259)^12)*100</f>
        <v/>
      </c>
      <c r="BW259" s="25">
        <f>IF(AD259=1,0,(1-(1-1/(1+EXP(-Parameters!$B$2)))^12)*100)</f>
        <v/>
      </c>
      <c r="BX259" s="25">
        <f>IF(AD259=1,0,BV259-(1-(1-(1/(1+EXP(-(BT259-BF259)))*Parameters!$B$3))^12)*100)</f>
        <v/>
      </c>
      <c r="BY259" s="25">
        <f>IF(AD259=1,0,BV259-(1-(1-(1/(1+EXP(-(BT259-BG259)))*Parameters!$B$3))^12)*100)</f>
        <v/>
      </c>
      <c r="BZ259" s="25">
        <f>IF(AD259=1,0,BV259-(1-(1-(1/(1+EXP(-(BT259-BH259)))*Parameters!$B$3))^12)*100)</f>
        <v/>
      </c>
      <c r="CA259" s="25">
        <f>IF(AD259=1,0,BV259-(1-(1-(1/(1+EXP(-(BT259-BI259)))*Parameters!$B$3))^12)*100)</f>
        <v/>
      </c>
      <c r="CB259" s="25">
        <f>IF(AD259=1,0,BV259-(1-(1-(1/(1+EXP(-(BT259-BJ259)))*Parameters!$B$3))^12)*100)</f>
        <v/>
      </c>
      <c r="CC259" s="25">
        <f>IF(AD259=1,0,BV259-(1-(1-(1/(1+EXP(-(BT259-BK259)))*Parameters!$B$3))^12)*100)</f>
        <v/>
      </c>
      <c r="CD259" s="25">
        <f>IF(AD259=1,0,BV259-(1-(1-(1/(1+EXP(-(BT259-BL259)))*Parameters!$B$3))^12)*100)</f>
        <v/>
      </c>
      <c r="CE259" s="25">
        <f>IF(AD259=1,0,BV259-(1-(1-(1/(1+EXP(-(BT259-BM259)))*Parameters!$B$3))^12)*100)</f>
        <v/>
      </c>
      <c r="CF259" s="25">
        <f>IF(AD259=1,0,BV259-(1-(1-(1/(1+EXP(-(BT259-BN259)))*Parameters!$B$3))^12)*100)</f>
        <v/>
      </c>
      <c r="CG259" s="25">
        <f>IF(AD259=1,0,BV259-(1-(1-(1/(1+EXP(-(BT259-BO259)))*Parameters!$B$3))^12)*100)</f>
        <v/>
      </c>
      <c r="CH259" s="25">
        <f>IF(AD259=1,0,BV259-(1-(1-(1/(1+EXP(-(BT259-BP259)))*Parameters!$B$3))^12)*100)</f>
        <v/>
      </c>
      <c r="CI259" s="25">
        <f>IF(AD259=1,0,BV259-(1-(1-(1/(1+EXP(-(BT259-BQ259)))*Parameters!$B$3))^12)*100)</f>
        <v/>
      </c>
      <c r="CJ259" s="25">
        <f>IF(AD259=1,0,BV259-(1-(1-(1/(1+EXP(-(BT259-BR259)))*Parameters!$B$3))^12)*100)</f>
        <v/>
      </c>
    </row>
    <row r="260">
      <c r="A260" s="17" t="inlineStr">
        <is>
          <t>GNR_USDA_538</t>
        </is>
      </c>
      <c r="B260" s="17" t="inlineStr">
        <is>
          <t>3620A0BG4</t>
        </is>
      </c>
      <c r="C260" s="17" t="inlineStr">
        <is>
          <t>PN</t>
        </is>
      </c>
      <c r="D260" s="17" t="inlineStr">
        <is>
          <t>BONNEVILLE MORTGAGE COMPANY, LLC</t>
        </is>
      </c>
      <c r="E260" s="17" t="inlineStr">
        <is>
          <t>3620A0BG4_002008256498595</t>
        </is>
      </c>
      <c r="F260" s="17" t="n">
        <v>202603</v>
      </c>
      <c r="G260" s="18" t="n">
        <v>7.48</v>
      </c>
      <c r="H260" s="19" t="n">
        <v>1573427.6</v>
      </c>
      <c r="I260" s="17" t="n">
        <v>456</v>
      </c>
      <c r="J260" s="17" t="n">
        <v>20070911</v>
      </c>
      <c r="K260" s="17" t="n">
        <v>20470901</v>
      </c>
      <c r="L260" s="17" t="n">
        <v>20240901</v>
      </c>
      <c r="M260" s="17" t="n">
        <v>20340831</v>
      </c>
      <c r="N260" s="17" t="n">
        <v>10</v>
      </c>
      <c r="O260" s="17" t="inlineStr">
        <is>
          <t>538</t>
        </is>
      </c>
      <c r="P260" s="17" t="n"/>
      <c r="Q260" s="17" t="n"/>
      <c r="R260" s="17" t="n"/>
      <c r="S260" s="17" t="n"/>
      <c r="T260" s="17" t="inlineStr">
        <is>
          <t>AZ</t>
        </is>
      </c>
      <c r="U260" s="17" t="n">
        <v>0</v>
      </c>
      <c r="V260" s="17" t="n">
        <v>490.5</v>
      </c>
      <c r="W260" s="17" t="n">
        <v>222</v>
      </c>
      <c r="X260" s="17" t="n">
        <v>2007</v>
      </c>
      <c r="Y260" s="17" t="n">
        <v>280</v>
      </c>
      <c r="Z260" s="17" t="n">
        <v>0</v>
      </c>
      <c r="AA260" s="20">
        <f>IF(ISNUMBER(W260),W260,IFERROR(MAX(0,(VALUE(LEFT(F260,4))-VALUE(LEFT(TEXT(J260,"00000000"),4)))*12+(VALUE(MID(F260,5,2))-VALUE(MID(TEXT(J260,"00000000"),5,2)))),""))</f>
        <v/>
      </c>
      <c r="AB260" s="20">
        <f>IFERROR((VALUE(LEFT(TEXT(K260,"00000000"),4))-VALUE(LEFT(F260,4)))*12+(VALUE(MID(TEXT(K260,"00000000"),5,2))-VALUE(MID(F260,5,2))),"")</f>
        <v/>
      </c>
      <c r="AC260" s="20">
        <f>IF(OR(L260="",NOT(ISNUMBER(L260))),0,MAX(0,MIN(60,(VALUE(LEFT(F260,4))-VALUE(LEFT(TEXT(L260,"00000000"),4)))*12+(VALUE(MID(F260,5,2))-VALUE(MID(TEXT(L260,"00000000"),5,2))))))</f>
        <v/>
      </c>
      <c r="AD260" s="20">
        <f>IF(OR(L260="",NOT(ISNUMBER(L260))),0,IF(VALUE(F260)&lt;VALUE(LEFT(TEXT(L260,"00000000"),6)),1,0))</f>
        <v/>
      </c>
      <c r="AE260" s="20">
        <f>IF(OR(M260="",NOT(ISNUMBER(M260))),0,IF(VALUE(F260)&lt;VALUE(LEFT(TEXT(M260,"00000000"),6)),1,0))</f>
        <v/>
      </c>
      <c r="AF260" s="20">
        <f>IF(AND(AD260=0,AE260=0),1,0)</f>
        <v/>
      </c>
      <c r="AG260" s="20">
        <f>IF(ISNUMBER(X260),X260,IFERROR(VALUE(LEFT(TEXT(J260,"00000000"),4)),""))</f>
        <v/>
      </c>
      <c r="AH260" s="20">
        <f>IFERROR(XLOOKUP(AG260,Vintage_Rates!$A$2:$A$1000,Vintage_Rates!$B$2:$B$1000,""),"")</f>
        <v/>
      </c>
      <c r="AI260" s="20">
        <f>IF(ISNUMBER(Y260),Y260,IFERROR((G260-AH260)*100,""))</f>
        <v/>
      </c>
      <c r="AJ260" s="20">
        <f>IF(ISNUMBER(V260),V260,IFERROR(XLOOKUP(VALUE(F260),PLC_Rates!$A$2:$A$1000,PLC_Rates!$B$2:$B$1000,""),""))</f>
        <v/>
      </c>
      <c r="AK260" s="20">
        <f>IF(ISNUMBER(Z260),Z260,IF(AE260=0,0,MAX(0,MIN(10,((VALUE(LEFT(TEXT(M260,"00000000"),4))-VALUE(LEFT(F260,4)))*12+(VALUE(MID(TEXT(M260,"00000000"),5,2))-VALUE(MID(F260,5,2))))/12))))</f>
        <v/>
      </c>
      <c r="AL260" s="20">
        <f>IFERROR(G260*100-AJ260,"")</f>
        <v/>
      </c>
      <c r="AM260" s="20">
        <f>IFERROR(G260*100-(AJ260+(1+AK260)*12.5),"")</f>
        <v/>
      </c>
      <c r="AN260" s="21">
        <f>IFERROR(MIN(H260/1000000,100),"")</f>
        <v/>
      </c>
      <c r="AO260" s="20">
        <f>IFERROR(INDEX(FHA_Lookup!$B$2:$B$11,MATCH(TRUE,ISNUMBER(SEARCH(FHA_Lookup!$A$2:$A$11,UPPER(SUBSTITUTE(O260," ","")))),0)),"OTHER")</f>
        <v/>
      </c>
      <c r="AP260" s="20">
        <f>IFERROR(INDEX(FHA_Lookup!$C$2:$C$11,MATCH(TRUE,ISNUMBER(SEARCH(FHA_Lookup!$A$2:$A$11,UPPER(SUBSTITUTE(O260," ","")))),0)),"OTHER")</f>
        <v/>
      </c>
      <c r="AQ260" s="20">
        <f>IF(AP260="NC",1,0)</f>
        <v/>
      </c>
      <c r="AR260" s="20">
        <f>IF(UPPER(TRIM(P260))="AFF",1,0)</f>
        <v/>
      </c>
      <c r="AS260" s="20">
        <f>IF(UPPER(TRIM(P260))="BAF",1,0)</f>
        <v/>
      </c>
      <c r="AT260" s="20">
        <f>IF(UPPER(TRIM(P260))="MKT",1,0)</f>
        <v/>
      </c>
      <c r="AU260" s="20">
        <f>IF(AO260="221d4",1,0)</f>
        <v/>
      </c>
      <c r="AV260" s="20">
        <f>IF(AO260="223a7",1,0)</f>
        <v/>
      </c>
      <c r="AW260" s="20">
        <f>IF(AO260="232",1,0)</f>
        <v/>
      </c>
      <c r="AX260" s="20">
        <f>IF(AO260="538",1,0)</f>
        <v/>
      </c>
      <c r="AY260" s="20">
        <f>IF(AO260="241",1,0)</f>
        <v/>
      </c>
      <c r="AZ260" s="20">
        <f>IF(AO260="220",1,0)</f>
        <v/>
      </c>
      <c r="BA260" s="20">
        <f>IF(AO260="OTHER",1,0)</f>
        <v/>
      </c>
      <c r="BB260" s="20">
        <f>IF(UPPER(TRIM(C260))="LM",1,0)</f>
        <v/>
      </c>
      <c r="BC260" s="20">
        <f>IF(UPPER(TRIM(C260))="PN",1,0)</f>
        <v/>
      </c>
      <c r="BD260" s="20">
        <f>IF(UPPER(TRIM(C260))="LS",1,0)</f>
        <v/>
      </c>
      <c r="BE260" s="20">
        <f>IF(UPPER(TRIM(C260))="RX",1,0)</f>
        <v/>
      </c>
      <c r="BF260" s="22">
        <f>IFERROR((Parameters!$C$6*AM260+Parameters!$C$7*MAX(AM260-(-150),0)+Parameters!$C$8*MAX(AM260-(-50),0)+Parameters!$C$9*MAX(AM260-(0),0)+Parameters!$C$10*MAX(AM260-(50),0)+Parameters!$C$11*MAX(AM260-(100),0)+Parameters!$C$12*MAX(AM260-(150),0)+Parameters!$C$13*MAX(AM260-(250),0)),0)</f>
        <v/>
      </c>
      <c r="BG260" s="22">
        <f>IFERROR((Parameters!$C$14*AA260+Parameters!$C$15*MAX(AA260-(12),0)+Parameters!$C$16*MAX(AA260-(36),0)+Parameters!$C$17*MAX(AA260-(60),0)+Parameters!$C$18*MAX(AA260-(84),0)+Parameters!$C$19*MAX(AA260-(120),0)+Parameters!$C$20*MAX(AA260-(180),0)),0)</f>
        <v/>
      </c>
      <c r="BH260" s="22">
        <f>IFERROR((Parameters!$C$21*AK260+Parameters!$C$22*MAX(AK260-(0),0)+Parameters!$C$23*MAX(AK260-(2),0)+Parameters!$C$24*MAX(AK260-(5),0)+Parameters!$C$25*MAX(AK260-(8),0)),0)</f>
        <v/>
      </c>
      <c r="BI260" s="22">
        <f>IFERROR((Parameters!$C$26*AI260+Parameters!$C$27*MAX(AI260-(-100),0)+Parameters!$C$28*MAX(AI260-(-25),0)+Parameters!$C$29*MAX(AI260-(25),0)+Parameters!$C$30*MAX(AI260-(100),0)),0)</f>
        <v/>
      </c>
      <c r="BJ260" s="22">
        <f>IFERROR((Parameters!$C$31*AN260+Parameters!$C$32*MAX(AN260-(2),0)+Parameters!$C$33*MAX(AN260-(10),0)+Parameters!$C$34*MAX(AN260-(25),0)),0)</f>
        <v/>
      </c>
      <c r="BK260" s="22">
        <f>IFERROR((Parameters!$C$35*AB260+Parameters!$C$36*MAX(AB260-(12),0)+Parameters!$C$37*MAX(AB260-(24),0)+Parameters!$C$38*MAX(AB260-(60),0)),0)</f>
        <v/>
      </c>
      <c r="BL260" s="22">
        <f>IFERROR((Parameters!$C$39*AC260+Parameters!$C$40*MAX(AC260-(6),0)+Parameters!$C$41*MAX(AC260-(12),0)+Parameters!$C$42*MAX(AC260-(24),0)),0)</f>
        <v/>
      </c>
      <c r="BM260" s="22">
        <f>IFERROR(Parameters!$C$43*(MAX(AM260,0)*MIN(MAX(AK260,0),10))/100,0)</f>
        <v/>
      </c>
      <c r="BN260" s="22">
        <f>Parameters!$C$44*AE260</f>
        <v/>
      </c>
      <c r="BO260" s="22">
        <f>Parameters!$C$45*AU260 + Parameters!$C$46*AV260 + Parameters!$C$47*AW260 + Parameters!$C$48*AX260 + Parameters!$C$49*AY260 + Parameters!$C$50*AZ260 + Parameters!$C$51*BA260</f>
        <v/>
      </c>
      <c r="BP260" s="22">
        <f>Parameters!$C$52*AQ260</f>
        <v/>
      </c>
      <c r="BQ260" s="22">
        <f>Parameters!$C$53*AR260+Parameters!$C$54*AS260+Parameters!$C$55*AT260</f>
        <v/>
      </c>
      <c r="BR260" s="22">
        <f>Parameters!$C$56*BB260+Parameters!$C$57*BC260+Parameters!$C$58*BD260+Parameters!$C$59*BE260</f>
        <v/>
      </c>
      <c r="BS260" s="23">
        <f>Parameters!$B$2</f>
        <v/>
      </c>
      <c r="BT260" s="23">
        <f>BS260+BF260 + BG260 + BH260 + BI260 + BJ260 + BK260 + BL260 + BM260 + BN260 + BO260 + BP260 + BQ260 + BR260</f>
        <v/>
      </c>
      <c r="BU260" s="24">
        <f>IF(AD260=1,0,1/(1+EXP(-BT260))*Parameters!$B$3)</f>
        <v/>
      </c>
      <c r="BV260" s="25">
        <f>(1-(1-BU260)^12)*100</f>
        <v/>
      </c>
      <c r="BW260" s="25">
        <f>IF(AD260=1,0,(1-(1-1/(1+EXP(-Parameters!$B$2)))^12)*100)</f>
        <v/>
      </c>
      <c r="BX260" s="25">
        <f>IF(AD260=1,0,BV260-(1-(1-(1/(1+EXP(-(BT260-BF260)))*Parameters!$B$3))^12)*100)</f>
        <v/>
      </c>
      <c r="BY260" s="25">
        <f>IF(AD260=1,0,BV260-(1-(1-(1/(1+EXP(-(BT260-BG260)))*Parameters!$B$3))^12)*100)</f>
        <v/>
      </c>
      <c r="BZ260" s="25">
        <f>IF(AD260=1,0,BV260-(1-(1-(1/(1+EXP(-(BT260-BH260)))*Parameters!$B$3))^12)*100)</f>
        <v/>
      </c>
      <c r="CA260" s="25">
        <f>IF(AD260=1,0,BV260-(1-(1-(1/(1+EXP(-(BT260-BI260)))*Parameters!$B$3))^12)*100)</f>
        <v/>
      </c>
      <c r="CB260" s="25">
        <f>IF(AD260=1,0,BV260-(1-(1-(1/(1+EXP(-(BT260-BJ260)))*Parameters!$B$3))^12)*100)</f>
        <v/>
      </c>
      <c r="CC260" s="25">
        <f>IF(AD260=1,0,BV260-(1-(1-(1/(1+EXP(-(BT260-BK260)))*Parameters!$B$3))^12)*100)</f>
        <v/>
      </c>
      <c r="CD260" s="25">
        <f>IF(AD260=1,0,BV260-(1-(1-(1/(1+EXP(-(BT260-BL260)))*Parameters!$B$3))^12)*100)</f>
        <v/>
      </c>
      <c r="CE260" s="25">
        <f>IF(AD260=1,0,BV260-(1-(1-(1/(1+EXP(-(BT260-BM260)))*Parameters!$B$3))^12)*100)</f>
        <v/>
      </c>
      <c r="CF260" s="25">
        <f>IF(AD260=1,0,BV260-(1-(1-(1/(1+EXP(-(BT260-BN260)))*Parameters!$B$3))^12)*100)</f>
        <v/>
      </c>
      <c r="CG260" s="25">
        <f>IF(AD260=1,0,BV260-(1-(1-(1/(1+EXP(-(BT260-BO260)))*Parameters!$B$3))^12)*100)</f>
        <v/>
      </c>
      <c r="CH260" s="25">
        <f>IF(AD260=1,0,BV260-(1-(1-(1/(1+EXP(-(BT260-BP260)))*Parameters!$B$3))^12)*100)</f>
        <v/>
      </c>
      <c r="CI260" s="25">
        <f>IF(AD260=1,0,BV260-(1-(1-(1/(1+EXP(-(BT260-BQ260)))*Parameters!$B$3))^12)*100)</f>
        <v/>
      </c>
      <c r="CJ260" s="25">
        <f>IF(AD260=1,0,BV260-(1-(1-(1/(1+EXP(-(BT260-BR260)))*Parameters!$B$3))^12)*100)</f>
        <v/>
      </c>
    </row>
    <row r="261">
      <c r="A261" s="17" t="inlineStr">
        <is>
          <t>GNR_USDA_538</t>
        </is>
      </c>
      <c r="B261" s="17" t="inlineStr">
        <is>
          <t>36193CCU6</t>
        </is>
      </c>
      <c r="C261" s="17" t="inlineStr">
        <is>
          <t>LM</t>
        </is>
      </c>
      <c r="D261" s="17" t="inlineStr">
        <is>
          <t>BONNEVILLE MORTGAGE COMPANY, LLC</t>
        </is>
      </c>
      <c r="E261" s="17" t="inlineStr">
        <is>
          <t>36193CCU6_004058167967131</t>
        </is>
      </c>
      <c r="F261" s="17" t="n">
        <v>202603</v>
      </c>
      <c r="G261" s="18" t="n">
        <v>5.1</v>
      </c>
      <c r="H261" s="19" t="n">
        <v>614060.6800000001</v>
      </c>
      <c r="I261" s="17" t="n">
        <v>479</v>
      </c>
      <c r="J261" s="17" t="n">
        <v>20101026</v>
      </c>
      <c r="K261" s="17" t="n">
        <v>20501001</v>
      </c>
      <c r="L261" s="17" t="n"/>
      <c r="M261" s="17" t="n">
        <v>20260331</v>
      </c>
      <c r="N261" s="17" t="n">
        <v>10</v>
      </c>
      <c r="O261" s="17" t="inlineStr">
        <is>
          <t>538</t>
        </is>
      </c>
      <c r="P261" s="17" t="n"/>
      <c r="Q261" s="17" t="n"/>
      <c r="R261" s="17" t="n"/>
      <c r="S261" s="17" t="n"/>
      <c r="T261" s="17" t="inlineStr">
        <is>
          <t>CA</t>
        </is>
      </c>
      <c r="U261" s="17" t="n">
        <v>0</v>
      </c>
      <c r="V261" s="17" t="n">
        <v>490.5</v>
      </c>
      <c r="W261" s="17" t="n">
        <v>185</v>
      </c>
      <c r="X261" s="17" t="n">
        <v>2010</v>
      </c>
      <c r="Y261" s="17" t="n">
        <v>105</v>
      </c>
      <c r="Z261" s="17" t="n">
        <v>0</v>
      </c>
      <c r="AA261" s="20">
        <f>IF(ISNUMBER(W261),W261,IFERROR(MAX(0,(VALUE(LEFT(F261,4))-VALUE(LEFT(TEXT(J261,"00000000"),4)))*12+(VALUE(MID(F261,5,2))-VALUE(MID(TEXT(J261,"00000000"),5,2)))),""))</f>
        <v/>
      </c>
      <c r="AB261" s="20">
        <f>IFERROR((VALUE(LEFT(TEXT(K261,"00000000"),4))-VALUE(LEFT(F261,4)))*12+(VALUE(MID(TEXT(K261,"00000000"),5,2))-VALUE(MID(F261,5,2))),"")</f>
        <v/>
      </c>
      <c r="AC261" s="20">
        <f>IF(OR(L261="",NOT(ISNUMBER(L261))),0,MAX(0,MIN(60,(VALUE(LEFT(F261,4))-VALUE(LEFT(TEXT(L261,"00000000"),4)))*12+(VALUE(MID(F261,5,2))-VALUE(MID(TEXT(L261,"00000000"),5,2))))))</f>
        <v/>
      </c>
      <c r="AD261" s="20">
        <f>IF(OR(L261="",NOT(ISNUMBER(L261))),0,IF(VALUE(F261)&lt;VALUE(LEFT(TEXT(L261,"00000000"),6)),1,0))</f>
        <v/>
      </c>
      <c r="AE261" s="20">
        <f>IF(OR(M261="",NOT(ISNUMBER(M261))),0,IF(VALUE(F261)&lt;VALUE(LEFT(TEXT(M261,"00000000"),6)),1,0))</f>
        <v/>
      </c>
      <c r="AF261" s="20">
        <f>IF(AND(AD261=0,AE261=0),1,0)</f>
        <v/>
      </c>
      <c r="AG261" s="20">
        <f>IF(ISNUMBER(X261),X261,IFERROR(VALUE(LEFT(TEXT(J261,"00000000"),4)),""))</f>
        <v/>
      </c>
      <c r="AH261" s="20">
        <f>IFERROR(XLOOKUP(AG261,Vintage_Rates!$A$2:$A$1000,Vintage_Rates!$B$2:$B$1000,""),"")</f>
        <v/>
      </c>
      <c r="AI261" s="20">
        <f>IF(ISNUMBER(Y261),Y261,IFERROR((G261-AH261)*100,""))</f>
        <v/>
      </c>
      <c r="AJ261" s="20">
        <f>IF(ISNUMBER(V261),V261,IFERROR(XLOOKUP(VALUE(F261),PLC_Rates!$A$2:$A$1000,PLC_Rates!$B$2:$B$1000,""),""))</f>
        <v/>
      </c>
      <c r="AK261" s="20">
        <f>IF(ISNUMBER(Z261),Z261,IF(AE261=0,0,MAX(0,MIN(10,((VALUE(LEFT(TEXT(M261,"00000000"),4))-VALUE(LEFT(F261,4)))*12+(VALUE(MID(TEXT(M261,"00000000"),5,2))-VALUE(MID(F261,5,2))))/12))))</f>
        <v/>
      </c>
      <c r="AL261" s="20">
        <f>IFERROR(G261*100-AJ261,"")</f>
        <v/>
      </c>
      <c r="AM261" s="20">
        <f>IFERROR(G261*100-(AJ261+(1+AK261)*12.5),"")</f>
        <v/>
      </c>
      <c r="AN261" s="21">
        <f>IFERROR(MIN(H261/1000000,100),"")</f>
        <v/>
      </c>
      <c r="AO261" s="20">
        <f>IFERROR(INDEX(FHA_Lookup!$B$2:$B$11,MATCH(TRUE,ISNUMBER(SEARCH(FHA_Lookup!$A$2:$A$11,UPPER(SUBSTITUTE(O261," ","")))),0)),"OTHER")</f>
        <v/>
      </c>
      <c r="AP261" s="20">
        <f>IFERROR(INDEX(FHA_Lookup!$C$2:$C$11,MATCH(TRUE,ISNUMBER(SEARCH(FHA_Lookup!$A$2:$A$11,UPPER(SUBSTITUTE(O261," ","")))),0)),"OTHER")</f>
        <v/>
      </c>
      <c r="AQ261" s="20">
        <f>IF(AP261="NC",1,0)</f>
        <v/>
      </c>
      <c r="AR261" s="20">
        <f>IF(UPPER(TRIM(P261))="AFF",1,0)</f>
        <v/>
      </c>
      <c r="AS261" s="20">
        <f>IF(UPPER(TRIM(P261))="BAF",1,0)</f>
        <v/>
      </c>
      <c r="AT261" s="20">
        <f>IF(UPPER(TRIM(P261))="MKT",1,0)</f>
        <v/>
      </c>
      <c r="AU261" s="20">
        <f>IF(AO261="221d4",1,0)</f>
        <v/>
      </c>
      <c r="AV261" s="20">
        <f>IF(AO261="223a7",1,0)</f>
        <v/>
      </c>
      <c r="AW261" s="20">
        <f>IF(AO261="232",1,0)</f>
        <v/>
      </c>
      <c r="AX261" s="20">
        <f>IF(AO261="538",1,0)</f>
        <v/>
      </c>
      <c r="AY261" s="20">
        <f>IF(AO261="241",1,0)</f>
        <v/>
      </c>
      <c r="AZ261" s="20">
        <f>IF(AO261="220",1,0)</f>
        <v/>
      </c>
      <c r="BA261" s="20">
        <f>IF(AO261="OTHER",1,0)</f>
        <v/>
      </c>
      <c r="BB261" s="20">
        <f>IF(UPPER(TRIM(C261))="LM",1,0)</f>
        <v/>
      </c>
      <c r="BC261" s="20">
        <f>IF(UPPER(TRIM(C261))="PN",1,0)</f>
        <v/>
      </c>
      <c r="BD261" s="20">
        <f>IF(UPPER(TRIM(C261))="LS",1,0)</f>
        <v/>
      </c>
      <c r="BE261" s="20">
        <f>IF(UPPER(TRIM(C261))="RX",1,0)</f>
        <v/>
      </c>
      <c r="BF261" s="22">
        <f>IFERROR((Parameters!$C$6*AM261+Parameters!$C$7*MAX(AM261-(-150),0)+Parameters!$C$8*MAX(AM261-(-50),0)+Parameters!$C$9*MAX(AM261-(0),0)+Parameters!$C$10*MAX(AM261-(50),0)+Parameters!$C$11*MAX(AM261-(100),0)+Parameters!$C$12*MAX(AM261-(150),0)+Parameters!$C$13*MAX(AM261-(250),0)),0)</f>
        <v/>
      </c>
      <c r="BG261" s="22">
        <f>IFERROR((Parameters!$C$14*AA261+Parameters!$C$15*MAX(AA261-(12),0)+Parameters!$C$16*MAX(AA261-(36),0)+Parameters!$C$17*MAX(AA261-(60),0)+Parameters!$C$18*MAX(AA261-(84),0)+Parameters!$C$19*MAX(AA261-(120),0)+Parameters!$C$20*MAX(AA261-(180),0)),0)</f>
        <v/>
      </c>
      <c r="BH261" s="22">
        <f>IFERROR((Parameters!$C$21*AK261+Parameters!$C$22*MAX(AK261-(0),0)+Parameters!$C$23*MAX(AK261-(2),0)+Parameters!$C$24*MAX(AK261-(5),0)+Parameters!$C$25*MAX(AK261-(8),0)),0)</f>
        <v/>
      </c>
      <c r="BI261" s="22">
        <f>IFERROR((Parameters!$C$26*AI261+Parameters!$C$27*MAX(AI261-(-100),0)+Parameters!$C$28*MAX(AI261-(-25),0)+Parameters!$C$29*MAX(AI261-(25),0)+Parameters!$C$30*MAX(AI261-(100),0)),0)</f>
        <v/>
      </c>
      <c r="BJ261" s="22">
        <f>IFERROR((Parameters!$C$31*AN261+Parameters!$C$32*MAX(AN261-(2),0)+Parameters!$C$33*MAX(AN261-(10),0)+Parameters!$C$34*MAX(AN261-(25),0)),0)</f>
        <v/>
      </c>
      <c r="BK261" s="22">
        <f>IFERROR((Parameters!$C$35*AB261+Parameters!$C$36*MAX(AB261-(12),0)+Parameters!$C$37*MAX(AB261-(24),0)+Parameters!$C$38*MAX(AB261-(60),0)),0)</f>
        <v/>
      </c>
      <c r="BL261" s="22">
        <f>IFERROR((Parameters!$C$39*AC261+Parameters!$C$40*MAX(AC261-(6),0)+Parameters!$C$41*MAX(AC261-(12),0)+Parameters!$C$42*MAX(AC261-(24),0)),0)</f>
        <v/>
      </c>
      <c r="BM261" s="22">
        <f>IFERROR(Parameters!$C$43*(MAX(AM261,0)*MIN(MAX(AK261,0),10))/100,0)</f>
        <v/>
      </c>
      <c r="BN261" s="22">
        <f>Parameters!$C$44*AE261</f>
        <v/>
      </c>
      <c r="BO261" s="22">
        <f>Parameters!$C$45*AU261 + Parameters!$C$46*AV261 + Parameters!$C$47*AW261 + Parameters!$C$48*AX261 + Parameters!$C$49*AY261 + Parameters!$C$50*AZ261 + Parameters!$C$51*BA261</f>
        <v/>
      </c>
      <c r="BP261" s="22">
        <f>Parameters!$C$52*AQ261</f>
        <v/>
      </c>
      <c r="BQ261" s="22">
        <f>Parameters!$C$53*AR261+Parameters!$C$54*AS261+Parameters!$C$55*AT261</f>
        <v/>
      </c>
      <c r="BR261" s="22">
        <f>Parameters!$C$56*BB261+Parameters!$C$57*BC261+Parameters!$C$58*BD261+Parameters!$C$59*BE261</f>
        <v/>
      </c>
      <c r="BS261" s="23">
        <f>Parameters!$B$2</f>
        <v/>
      </c>
      <c r="BT261" s="23">
        <f>BS261+BF261 + BG261 + BH261 + BI261 + BJ261 + BK261 + BL261 + BM261 + BN261 + BO261 + BP261 + BQ261 + BR261</f>
        <v/>
      </c>
      <c r="BU261" s="24">
        <f>IF(AD261=1,0,1/(1+EXP(-BT261))*Parameters!$B$3)</f>
        <v/>
      </c>
      <c r="BV261" s="25">
        <f>(1-(1-BU261)^12)*100</f>
        <v/>
      </c>
      <c r="BW261" s="25">
        <f>IF(AD261=1,0,(1-(1-1/(1+EXP(-Parameters!$B$2)))^12)*100)</f>
        <v/>
      </c>
      <c r="BX261" s="25">
        <f>IF(AD261=1,0,BV261-(1-(1-(1/(1+EXP(-(BT261-BF261)))*Parameters!$B$3))^12)*100)</f>
        <v/>
      </c>
      <c r="BY261" s="25">
        <f>IF(AD261=1,0,BV261-(1-(1-(1/(1+EXP(-(BT261-BG261)))*Parameters!$B$3))^12)*100)</f>
        <v/>
      </c>
      <c r="BZ261" s="25">
        <f>IF(AD261=1,0,BV261-(1-(1-(1/(1+EXP(-(BT261-BH261)))*Parameters!$B$3))^12)*100)</f>
        <v/>
      </c>
      <c r="CA261" s="25">
        <f>IF(AD261=1,0,BV261-(1-(1-(1/(1+EXP(-(BT261-BI261)))*Parameters!$B$3))^12)*100)</f>
        <v/>
      </c>
      <c r="CB261" s="25">
        <f>IF(AD261=1,0,BV261-(1-(1-(1/(1+EXP(-(BT261-BJ261)))*Parameters!$B$3))^12)*100)</f>
        <v/>
      </c>
      <c r="CC261" s="25">
        <f>IF(AD261=1,0,BV261-(1-(1-(1/(1+EXP(-(BT261-BK261)))*Parameters!$B$3))^12)*100)</f>
        <v/>
      </c>
      <c r="CD261" s="25">
        <f>IF(AD261=1,0,BV261-(1-(1-(1/(1+EXP(-(BT261-BL261)))*Parameters!$B$3))^12)*100)</f>
        <v/>
      </c>
      <c r="CE261" s="25">
        <f>IF(AD261=1,0,BV261-(1-(1-(1/(1+EXP(-(BT261-BM261)))*Parameters!$B$3))^12)*100)</f>
        <v/>
      </c>
      <c r="CF261" s="25">
        <f>IF(AD261=1,0,BV261-(1-(1-(1/(1+EXP(-(BT261-BN261)))*Parameters!$B$3))^12)*100)</f>
        <v/>
      </c>
      <c r="CG261" s="25">
        <f>IF(AD261=1,0,BV261-(1-(1-(1/(1+EXP(-(BT261-BO261)))*Parameters!$B$3))^12)*100)</f>
        <v/>
      </c>
      <c r="CH261" s="25">
        <f>IF(AD261=1,0,BV261-(1-(1-(1/(1+EXP(-(BT261-BP261)))*Parameters!$B$3))^12)*100)</f>
        <v/>
      </c>
      <c r="CI261" s="25">
        <f>IF(AD261=1,0,BV261-(1-(1-(1/(1+EXP(-(BT261-BQ261)))*Parameters!$B$3))^12)*100)</f>
        <v/>
      </c>
      <c r="CJ261" s="25">
        <f>IF(AD261=1,0,BV261-(1-(1-(1/(1+EXP(-(BT261-BR261)))*Parameters!$B$3))^12)*100)</f>
        <v/>
      </c>
    </row>
    <row r="262">
      <c r="A262" s="17" t="inlineStr">
        <is>
          <t>GNR_USDA_538</t>
        </is>
      </c>
      <c r="B262" s="17" t="inlineStr">
        <is>
          <t>36181P6E4</t>
        </is>
      </c>
      <c r="C262" s="17" t="inlineStr">
        <is>
          <t>LS</t>
        </is>
      </c>
      <c r="D262" s="17" t="inlineStr">
        <is>
          <t>BONNEVILLE MORTGAGE COMPANY, LLC</t>
        </is>
      </c>
      <c r="E262" s="17" t="inlineStr">
        <is>
          <t>36181P6E4_040045274554590</t>
        </is>
      </c>
      <c r="F262" s="17" t="n">
        <v>202603</v>
      </c>
      <c r="G262" s="18" t="n">
        <v>3.99</v>
      </c>
      <c r="H262" s="19" t="n">
        <v>3217598.11</v>
      </c>
      <c r="I262" s="17" t="n">
        <v>478</v>
      </c>
      <c r="J262" s="17" t="n">
        <v>20141208</v>
      </c>
      <c r="K262" s="17" t="n">
        <v>20541201</v>
      </c>
      <c r="L262" s="17" t="n"/>
      <c r="M262" s="17" t="n">
        <v>20250101</v>
      </c>
      <c r="N262" s="17" t="n">
        <v>10</v>
      </c>
      <c r="O262" s="17" t="inlineStr">
        <is>
          <t>538/515</t>
        </is>
      </c>
      <c r="P262" s="17" t="n"/>
      <c r="Q262" s="17" t="n"/>
      <c r="R262" s="17" t="n"/>
      <c r="S262" s="17" t="n"/>
      <c r="T262" s="17" t="inlineStr">
        <is>
          <t>ND</t>
        </is>
      </c>
      <c r="U262" s="17" t="n">
        <v>0</v>
      </c>
      <c r="V262" s="17" t="n">
        <v>490.5</v>
      </c>
      <c r="W262" s="17" t="n">
        <v>135</v>
      </c>
      <c r="X262" s="17" t="n">
        <v>2014</v>
      </c>
      <c r="Y262" s="17" t="n">
        <v>14</v>
      </c>
      <c r="Z262" s="17" t="n">
        <v>0</v>
      </c>
      <c r="AA262" s="20">
        <f>IF(ISNUMBER(W262),W262,IFERROR(MAX(0,(VALUE(LEFT(F262,4))-VALUE(LEFT(TEXT(J262,"00000000"),4)))*12+(VALUE(MID(F262,5,2))-VALUE(MID(TEXT(J262,"00000000"),5,2)))),""))</f>
        <v/>
      </c>
      <c r="AB262" s="20">
        <f>IFERROR((VALUE(LEFT(TEXT(K262,"00000000"),4))-VALUE(LEFT(F262,4)))*12+(VALUE(MID(TEXT(K262,"00000000"),5,2))-VALUE(MID(F262,5,2))),"")</f>
        <v/>
      </c>
      <c r="AC262" s="20">
        <f>IF(OR(L262="",NOT(ISNUMBER(L262))),0,MAX(0,MIN(60,(VALUE(LEFT(F262,4))-VALUE(LEFT(TEXT(L262,"00000000"),4)))*12+(VALUE(MID(F262,5,2))-VALUE(MID(TEXT(L262,"00000000"),5,2))))))</f>
        <v/>
      </c>
      <c r="AD262" s="20">
        <f>IF(OR(L262="",NOT(ISNUMBER(L262))),0,IF(VALUE(F262)&lt;VALUE(LEFT(TEXT(L262,"00000000"),6)),1,0))</f>
        <v/>
      </c>
      <c r="AE262" s="20">
        <f>IF(OR(M262="",NOT(ISNUMBER(M262))),0,IF(VALUE(F262)&lt;VALUE(LEFT(TEXT(M262,"00000000"),6)),1,0))</f>
        <v/>
      </c>
      <c r="AF262" s="20">
        <f>IF(AND(AD262=0,AE262=0),1,0)</f>
        <v/>
      </c>
      <c r="AG262" s="20">
        <f>IF(ISNUMBER(X262),X262,IFERROR(VALUE(LEFT(TEXT(J262,"00000000"),4)),""))</f>
        <v/>
      </c>
      <c r="AH262" s="20">
        <f>IFERROR(XLOOKUP(AG262,Vintage_Rates!$A$2:$A$1000,Vintage_Rates!$B$2:$B$1000,""),"")</f>
        <v/>
      </c>
      <c r="AI262" s="20">
        <f>IF(ISNUMBER(Y262),Y262,IFERROR((G262-AH262)*100,""))</f>
        <v/>
      </c>
      <c r="AJ262" s="20">
        <f>IF(ISNUMBER(V262),V262,IFERROR(XLOOKUP(VALUE(F262),PLC_Rates!$A$2:$A$1000,PLC_Rates!$B$2:$B$1000,""),""))</f>
        <v/>
      </c>
      <c r="AK262" s="20">
        <f>IF(ISNUMBER(Z262),Z262,IF(AE262=0,0,MAX(0,MIN(10,((VALUE(LEFT(TEXT(M262,"00000000"),4))-VALUE(LEFT(F262,4)))*12+(VALUE(MID(TEXT(M262,"00000000"),5,2))-VALUE(MID(F262,5,2))))/12))))</f>
        <v/>
      </c>
      <c r="AL262" s="20">
        <f>IFERROR(G262*100-AJ262,"")</f>
        <v/>
      </c>
      <c r="AM262" s="20">
        <f>IFERROR(G262*100-(AJ262+(1+AK262)*12.5),"")</f>
        <v/>
      </c>
      <c r="AN262" s="21">
        <f>IFERROR(MIN(H262/1000000,100),"")</f>
        <v/>
      </c>
      <c r="AO262" s="20">
        <f>IFERROR(INDEX(FHA_Lookup!$B$2:$B$11,MATCH(TRUE,ISNUMBER(SEARCH(FHA_Lookup!$A$2:$A$11,UPPER(SUBSTITUTE(O262," ","")))),0)),"OTHER")</f>
        <v/>
      </c>
      <c r="AP262" s="20">
        <f>IFERROR(INDEX(FHA_Lookup!$C$2:$C$11,MATCH(TRUE,ISNUMBER(SEARCH(FHA_Lookup!$A$2:$A$11,UPPER(SUBSTITUTE(O262," ","")))),0)),"OTHER")</f>
        <v/>
      </c>
      <c r="AQ262" s="20">
        <f>IF(AP262="NC",1,0)</f>
        <v/>
      </c>
      <c r="AR262" s="20">
        <f>IF(UPPER(TRIM(P262))="AFF",1,0)</f>
        <v/>
      </c>
      <c r="AS262" s="20">
        <f>IF(UPPER(TRIM(P262))="BAF",1,0)</f>
        <v/>
      </c>
      <c r="AT262" s="20">
        <f>IF(UPPER(TRIM(P262))="MKT",1,0)</f>
        <v/>
      </c>
      <c r="AU262" s="20">
        <f>IF(AO262="221d4",1,0)</f>
        <v/>
      </c>
      <c r="AV262" s="20">
        <f>IF(AO262="223a7",1,0)</f>
        <v/>
      </c>
      <c r="AW262" s="20">
        <f>IF(AO262="232",1,0)</f>
        <v/>
      </c>
      <c r="AX262" s="20">
        <f>IF(AO262="538",1,0)</f>
        <v/>
      </c>
      <c r="AY262" s="20">
        <f>IF(AO262="241",1,0)</f>
        <v/>
      </c>
      <c r="AZ262" s="20">
        <f>IF(AO262="220",1,0)</f>
        <v/>
      </c>
      <c r="BA262" s="20">
        <f>IF(AO262="OTHER",1,0)</f>
        <v/>
      </c>
      <c r="BB262" s="20">
        <f>IF(UPPER(TRIM(C262))="LM",1,0)</f>
        <v/>
      </c>
      <c r="BC262" s="20">
        <f>IF(UPPER(TRIM(C262))="PN",1,0)</f>
        <v/>
      </c>
      <c r="BD262" s="20">
        <f>IF(UPPER(TRIM(C262))="LS",1,0)</f>
        <v/>
      </c>
      <c r="BE262" s="20">
        <f>IF(UPPER(TRIM(C262))="RX",1,0)</f>
        <v/>
      </c>
      <c r="BF262" s="22">
        <f>IFERROR((Parameters!$C$6*AM262+Parameters!$C$7*MAX(AM262-(-150),0)+Parameters!$C$8*MAX(AM262-(-50),0)+Parameters!$C$9*MAX(AM262-(0),0)+Parameters!$C$10*MAX(AM262-(50),0)+Parameters!$C$11*MAX(AM262-(100),0)+Parameters!$C$12*MAX(AM262-(150),0)+Parameters!$C$13*MAX(AM262-(250),0)),0)</f>
        <v/>
      </c>
      <c r="BG262" s="22">
        <f>IFERROR((Parameters!$C$14*AA262+Parameters!$C$15*MAX(AA262-(12),0)+Parameters!$C$16*MAX(AA262-(36),0)+Parameters!$C$17*MAX(AA262-(60),0)+Parameters!$C$18*MAX(AA262-(84),0)+Parameters!$C$19*MAX(AA262-(120),0)+Parameters!$C$20*MAX(AA262-(180),0)),0)</f>
        <v/>
      </c>
      <c r="BH262" s="22">
        <f>IFERROR((Parameters!$C$21*AK262+Parameters!$C$22*MAX(AK262-(0),0)+Parameters!$C$23*MAX(AK262-(2),0)+Parameters!$C$24*MAX(AK262-(5),0)+Parameters!$C$25*MAX(AK262-(8),0)),0)</f>
        <v/>
      </c>
      <c r="BI262" s="22">
        <f>IFERROR((Parameters!$C$26*AI262+Parameters!$C$27*MAX(AI262-(-100),0)+Parameters!$C$28*MAX(AI262-(-25),0)+Parameters!$C$29*MAX(AI262-(25),0)+Parameters!$C$30*MAX(AI262-(100),0)),0)</f>
        <v/>
      </c>
      <c r="BJ262" s="22">
        <f>IFERROR((Parameters!$C$31*AN262+Parameters!$C$32*MAX(AN262-(2),0)+Parameters!$C$33*MAX(AN262-(10),0)+Parameters!$C$34*MAX(AN262-(25),0)),0)</f>
        <v/>
      </c>
      <c r="BK262" s="22">
        <f>IFERROR((Parameters!$C$35*AB262+Parameters!$C$36*MAX(AB262-(12),0)+Parameters!$C$37*MAX(AB262-(24),0)+Parameters!$C$38*MAX(AB262-(60),0)),0)</f>
        <v/>
      </c>
      <c r="BL262" s="22">
        <f>IFERROR((Parameters!$C$39*AC262+Parameters!$C$40*MAX(AC262-(6),0)+Parameters!$C$41*MAX(AC262-(12),0)+Parameters!$C$42*MAX(AC262-(24),0)),0)</f>
        <v/>
      </c>
      <c r="BM262" s="22">
        <f>IFERROR(Parameters!$C$43*(MAX(AM262,0)*MIN(MAX(AK262,0),10))/100,0)</f>
        <v/>
      </c>
      <c r="BN262" s="22">
        <f>Parameters!$C$44*AE262</f>
        <v/>
      </c>
      <c r="BO262" s="22">
        <f>Parameters!$C$45*AU262 + Parameters!$C$46*AV262 + Parameters!$C$47*AW262 + Parameters!$C$48*AX262 + Parameters!$C$49*AY262 + Parameters!$C$50*AZ262 + Parameters!$C$51*BA262</f>
        <v/>
      </c>
      <c r="BP262" s="22">
        <f>Parameters!$C$52*AQ262</f>
        <v/>
      </c>
      <c r="BQ262" s="22">
        <f>Parameters!$C$53*AR262+Parameters!$C$54*AS262+Parameters!$C$55*AT262</f>
        <v/>
      </c>
      <c r="BR262" s="22">
        <f>Parameters!$C$56*BB262+Parameters!$C$57*BC262+Parameters!$C$58*BD262+Parameters!$C$59*BE262</f>
        <v/>
      </c>
      <c r="BS262" s="23">
        <f>Parameters!$B$2</f>
        <v/>
      </c>
      <c r="BT262" s="23">
        <f>BS262+BF262 + BG262 + BH262 + BI262 + BJ262 + BK262 + BL262 + BM262 + BN262 + BO262 + BP262 + BQ262 + BR262</f>
        <v/>
      </c>
      <c r="BU262" s="24">
        <f>IF(AD262=1,0,1/(1+EXP(-BT262))*Parameters!$B$3)</f>
        <v/>
      </c>
      <c r="BV262" s="25">
        <f>(1-(1-BU262)^12)*100</f>
        <v/>
      </c>
      <c r="BW262" s="25">
        <f>IF(AD262=1,0,(1-(1-1/(1+EXP(-Parameters!$B$2)))^12)*100)</f>
        <v/>
      </c>
      <c r="BX262" s="25">
        <f>IF(AD262=1,0,BV262-(1-(1-(1/(1+EXP(-(BT262-BF262)))*Parameters!$B$3))^12)*100)</f>
        <v/>
      </c>
      <c r="BY262" s="25">
        <f>IF(AD262=1,0,BV262-(1-(1-(1/(1+EXP(-(BT262-BG262)))*Parameters!$B$3))^12)*100)</f>
        <v/>
      </c>
      <c r="BZ262" s="25">
        <f>IF(AD262=1,0,BV262-(1-(1-(1/(1+EXP(-(BT262-BH262)))*Parameters!$B$3))^12)*100)</f>
        <v/>
      </c>
      <c r="CA262" s="25">
        <f>IF(AD262=1,0,BV262-(1-(1-(1/(1+EXP(-(BT262-BI262)))*Parameters!$B$3))^12)*100)</f>
        <v/>
      </c>
      <c r="CB262" s="25">
        <f>IF(AD262=1,0,BV262-(1-(1-(1/(1+EXP(-(BT262-BJ262)))*Parameters!$B$3))^12)*100)</f>
        <v/>
      </c>
      <c r="CC262" s="25">
        <f>IF(AD262=1,0,BV262-(1-(1-(1/(1+EXP(-(BT262-BK262)))*Parameters!$B$3))^12)*100)</f>
        <v/>
      </c>
      <c r="CD262" s="25">
        <f>IF(AD262=1,0,BV262-(1-(1-(1/(1+EXP(-(BT262-BL262)))*Parameters!$B$3))^12)*100)</f>
        <v/>
      </c>
      <c r="CE262" s="25">
        <f>IF(AD262=1,0,BV262-(1-(1-(1/(1+EXP(-(BT262-BM262)))*Parameters!$B$3))^12)*100)</f>
        <v/>
      </c>
      <c r="CF262" s="25">
        <f>IF(AD262=1,0,BV262-(1-(1-(1/(1+EXP(-(BT262-BN262)))*Parameters!$B$3))^12)*100)</f>
        <v/>
      </c>
      <c r="CG262" s="25">
        <f>IF(AD262=1,0,BV262-(1-(1-(1/(1+EXP(-(BT262-BO262)))*Parameters!$B$3))^12)*100)</f>
        <v/>
      </c>
      <c r="CH262" s="25">
        <f>IF(AD262=1,0,BV262-(1-(1-(1/(1+EXP(-(BT262-BP262)))*Parameters!$B$3))^12)*100)</f>
        <v/>
      </c>
      <c r="CI262" s="25">
        <f>IF(AD262=1,0,BV262-(1-(1-(1/(1+EXP(-(BT262-BQ262)))*Parameters!$B$3))^12)*100)</f>
        <v/>
      </c>
      <c r="CJ262" s="25">
        <f>IF(AD262=1,0,BV262-(1-(1-(1/(1+EXP(-(BT262-BR262)))*Parameters!$B$3))^12)*100)</f>
        <v/>
      </c>
    </row>
    <row r="263">
      <c r="A263" s="17" t="inlineStr">
        <is>
          <t>GNR_USDA_538</t>
        </is>
      </c>
      <c r="B263" s="17" t="inlineStr">
        <is>
          <t>3617HBT54</t>
        </is>
      </c>
      <c r="C263" s="17" t="inlineStr">
        <is>
          <t>PN</t>
        </is>
      </c>
      <c r="D263" s="17" t="inlineStr">
        <is>
          <t>BONNEVILLE MORTGAGE COMPANY, LLC</t>
        </is>
      </c>
      <c r="E263" s="17" t="inlineStr">
        <is>
          <t>3617HBT54_038054181917139</t>
        </is>
      </c>
      <c r="F263" s="17" t="n">
        <v>202603</v>
      </c>
      <c r="G263" s="18" t="n">
        <v>4.58</v>
      </c>
      <c r="H263" s="19" t="n">
        <v>804294.95</v>
      </c>
      <c r="I263" s="17" t="n">
        <v>479</v>
      </c>
      <c r="J263" s="17" t="n">
        <v>20190410</v>
      </c>
      <c r="K263" s="17" t="n">
        <v>20590401</v>
      </c>
      <c r="L263" s="17" t="n"/>
      <c r="M263" s="17" t="n">
        <v>20290601</v>
      </c>
      <c r="N263" s="17" t="n">
        <v>10</v>
      </c>
      <c r="O263" s="17" t="inlineStr">
        <is>
          <t>538</t>
        </is>
      </c>
      <c r="P263" s="17" t="n"/>
      <c r="Q263" s="17" t="n"/>
      <c r="R263" s="17" t="n"/>
      <c r="S263" s="17" t="n"/>
      <c r="T263" s="17" t="inlineStr">
        <is>
          <t>NC</t>
        </is>
      </c>
      <c r="U263" s="17" t="n">
        <v>0</v>
      </c>
      <c r="V263" s="17" t="n">
        <v>490.5</v>
      </c>
      <c r="W263" s="17" t="n">
        <v>83</v>
      </c>
      <c r="X263" s="17" t="n">
        <v>2019</v>
      </c>
      <c r="Y263" s="17" t="n">
        <v>91</v>
      </c>
      <c r="Z263" s="17" t="n">
        <v>4</v>
      </c>
      <c r="AA263" s="20">
        <f>IF(ISNUMBER(W263),W263,IFERROR(MAX(0,(VALUE(LEFT(F263,4))-VALUE(LEFT(TEXT(J263,"00000000"),4)))*12+(VALUE(MID(F263,5,2))-VALUE(MID(TEXT(J263,"00000000"),5,2)))),""))</f>
        <v/>
      </c>
      <c r="AB263" s="20">
        <f>IFERROR((VALUE(LEFT(TEXT(K263,"00000000"),4))-VALUE(LEFT(F263,4)))*12+(VALUE(MID(TEXT(K263,"00000000"),5,2))-VALUE(MID(F263,5,2))),"")</f>
        <v/>
      </c>
      <c r="AC263" s="20">
        <f>IF(OR(L263="",NOT(ISNUMBER(L263))),0,MAX(0,MIN(60,(VALUE(LEFT(F263,4))-VALUE(LEFT(TEXT(L263,"00000000"),4)))*12+(VALUE(MID(F263,5,2))-VALUE(MID(TEXT(L263,"00000000"),5,2))))))</f>
        <v/>
      </c>
      <c r="AD263" s="20">
        <f>IF(OR(L263="",NOT(ISNUMBER(L263))),0,IF(VALUE(F263)&lt;VALUE(LEFT(TEXT(L263,"00000000"),6)),1,0))</f>
        <v/>
      </c>
      <c r="AE263" s="20">
        <f>IF(OR(M263="",NOT(ISNUMBER(M263))),0,IF(VALUE(F263)&lt;VALUE(LEFT(TEXT(M263,"00000000"),6)),1,0))</f>
        <v/>
      </c>
      <c r="AF263" s="20">
        <f>IF(AND(AD263=0,AE263=0),1,0)</f>
        <v/>
      </c>
      <c r="AG263" s="20">
        <f>IF(ISNUMBER(X263),X263,IFERROR(VALUE(LEFT(TEXT(J263,"00000000"),4)),""))</f>
        <v/>
      </c>
      <c r="AH263" s="20">
        <f>IFERROR(XLOOKUP(AG263,Vintage_Rates!$A$2:$A$1000,Vintage_Rates!$B$2:$B$1000,""),"")</f>
        <v/>
      </c>
      <c r="AI263" s="20">
        <f>IF(ISNUMBER(Y263),Y263,IFERROR((G263-AH263)*100,""))</f>
        <v/>
      </c>
      <c r="AJ263" s="20">
        <f>IF(ISNUMBER(V263),V263,IFERROR(XLOOKUP(VALUE(F263),PLC_Rates!$A$2:$A$1000,PLC_Rates!$B$2:$B$1000,""),""))</f>
        <v/>
      </c>
      <c r="AK263" s="20">
        <f>IF(ISNUMBER(Z263),Z263,IF(AE263=0,0,MAX(0,MIN(10,((VALUE(LEFT(TEXT(M263,"00000000"),4))-VALUE(LEFT(F263,4)))*12+(VALUE(MID(TEXT(M263,"00000000"),5,2))-VALUE(MID(F263,5,2))))/12))))</f>
        <v/>
      </c>
      <c r="AL263" s="20">
        <f>IFERROR(G263*100-AJ263,"")</f>
        <v/>
      </c>
      <c r="AM263" s="20">
        <f>IFERROR(G263*100-(AJ263+(1+AK263)*12.5),"")</f>
        <v/>
      </c>
      <c r="AN263" s="21">
        <f>IFERROR(MIN(H263/1000000,100),"")</f>
        <v/>
      </c>
      <c r="AO263" s="20">
        <f>IFERROR(INDEX(FHA_Lookup!$B$2:$B$11,MATCH(TRUE,ISNUMBER(SEARCH(FHA_Lookup!$A$2:$A$11,UPPER(SUBSTITUTE(O263," ","")))),0)),"OTHER")</f>
        <v/>
      </c>
      <c r="AP263" s="20">
        <f>IFERROR(INDEX(FHA_Lookup!$C$2:$C$11,MATCH(TRUE,ISNUMBER(SEARCH(FHA_Lookup!$A$2:$A$11,UPPER(SUBSTITUTE(O263," ","")))),0)),"OTHER")</f>
        <v/>
      </c>
      <c r="AQ263" s="20">
        <f>IF(AP263="NC",1,0)</f>
        <v/>
      </c>
      <c r="AR263" s="20">
        <f>IF(UPPER(TRIM(P263))="AFF",1,0)</f>
        <v/>
      </c>
      <c r="AS263" s="20">
        <f>IF(UPPER(TRIM(P263))="BAF",1,0)</f>
        <v/>
      </c>
      <c r="AT263" s="20">
        <f>IF(UPPER(TRIM(P263))="MKT",1,0)</f>
        <v/>
      </c>
      <c r="AU263" s="20">
        <f>IF(AO263="221d4",1,0)</f>
        <v/>
      </c>
      <c r="AV263" s="20">
        <f>IF(AO263="223a7",1,0)</f>
        <v/>
      </c>
      <c r="AW263" s="20">
        <f>IF(AO263="232",1,0)</f>
        <v/>
      </c>
      <c r="AX263" s="20">
        <f>IF(AO263="538",1,0)</f>
        <v/>
      </c>
      <c r="AY263" s="20">
        <f>IF(AO263="241",1,0)</f>
        <v/>
      </c>
      <c r="AZ263" s="20">
        <f>IF(AO263="220",1,0)</f>
        <v/>
      </c>
      <c r="BA263" s="20">
        <f>IF(AO263="OTHER",1,0)</f>
        <v/>
      </c>
      <c r="BB263" s="20">
        <f>IF(UPPER(TRIM(C263))="LM",1,0)</f>
        <v/>
      </c>
      <c r="BC263" s="20">
        <f>IF(UPPER(TRIM(C263))="PN",1,0)</f>
        <v/>
      </c>
      <c r="BD263" s="20">
        <f>IF(UPPER(TRIM(C263))="LS",1,0)</f>
        <v/>
      </c>
      <c r="BE263" s="20">
        <f>IF(UPPER(TRIM(C263))="RX",1,0)</f>
        <v/>
      </c>
      <c r="BF263" s="22">
        <f>IFERROR((Parameters!$C$6*AM263+Parameters!$C$7*MAX(AM263-(-150),0)+Parameters!$C$8*MAX(AM263-(-50),0)+Parameters!$C$9*MAX(AM263-(0),0)+Parameters!$C$10*MAX(AM263-(50),0)+Parameters!$C$11*MAX(AM263-(100),0)+Parameters!$C$12*MAX(AM263-(150),0)+Parameters!$C$13*MAX(AM263-(250),0)),0)</f>
        <v/>
      </c>
      <c r="BG263" s="22">
        <f>IFERROR((Parameters!$C$14*AA263+Parameters!$C$15*MAX(AA263-(12),0)+Parameters!$C$16*MAX(AA263-(36),0)+Parameters!$C$17*MAX(AA263-(60),0)+Parameters!$C$18*MAX(AA263-(84),0)+Parameters!$C$19*MAX(AA263-(120),0)+Parameters!$C$20*MAX(AA263-(180),0)),0)</f>
        <v/>
      </c>
      <c r="BH263" s="22">
        <f>IFERROR((Parameters!$C$21*AK263+Parameters!$C$22*MAX(AK263-(0),0)+Parameters!$C$23*MAX(AK263-(2),0)+Parameters!$C$24*MAX(AK263-(5),0)+Parameters!$C$25*MAX(AK263-(8),0)),0)</f>
        <v/>
      </c>
      <c r="BI263" s="22">
        <f>IFERROR((Parameters!$C$26*AI263+Parameters!$C$27*MAX(AI263-(-100),0)+Parameters!$C$28*MAX(AI263-(-25),0)+Parameters!$C$29*MAX(AI263-(25),0)+Parameters!$C$30*MAX(AI263-(100),0)),0)</f>
        <v/>
      </c>
      <c r="BJ263" s="22">
        <f>IFERROR((Parameters!$C$31*AN263+Parameters!$C$32*MAX(AN263-(2),0)+Parameters!$C$33*MAX(AN263-(10),0)+Parameters!$C$34*MAX(AN263-(25),0)),0)</f>
        <v/>
      </c>
      <c r="BK263" s="22">
        <f>IFERROR((Parameters!$C$35*AB263+Parameters!$C$36*MAX(AB263-(12),0)+Parameters!$C$37*MAX(AB263-(24),0)+Parameters!$C$38*MAX(AB263-(60),0)),0)</f>
        <v/>
      </c>
      <c r="BL263" s="22">
        <f>IFERROR((Parameters!$C$39*AC263+Parameters!$C$40*MAX(AC263-(6),0)+Parameters!$C$41*MAX(AC263-(12),0)+Parameters!$C$42*MAX(AC263-(24),0)),0)</f>
        <v/>
      </c>
      <c r="BM263" s="22">
        <f>IFERROR(Parameters!$C$43*(MAX(AM263,0)*MIN(MAX(AK263,0),10))/100,0)</f>
        <v/>
      </c>
      <c r="BN263" s="22">
        <f>Parameters!$C$44*AE263</f>
        <v/>
      </c>
      <c r="BO263" s="22">
        <f>Parameters!$C$45*AU263 + Parameters!$C$46*AV263 + Parameters!$C$47*AW263 + Parameters!$C$48*AX263 + Parameters!$C$49*AY263 + Parameters!$C$50*AZ263 + Parameters!$C$51*BA263</f>
        <v/>
      </c>
      <c r="BP263" s="22">
        <f>Parameters!$C$52*AQ263</f>
        <v/>
      </c>
      <c r="BQ263" s="22">
        <f>Parameters!$C$53*AR263+Parameters!$C$54*AS263+Parameters!$C$55*AT263</f>
        <v/>
      </c>
      <c r="BR263" s="22">
        <f>Parameters!$C$56*BB263+Parameters!$C$57*BC263+Parameters!$C$58*BD263+Parameters!$C$59*BE263</f>
        <v/>
      </c>
      <c r="BS263" s="23">
        <f>Parameters!$B$2</f>
        <v/>
      </c>
      <c r="BT263" s="23">
        <f>BS263+BF263 + BG263 + BH263 + BI263 + BJ263 + BK263 + BL263 + BM263 + BN263 + BO263 + BP263 + BQ263 + BR263</f>
        <v/>
      </c>
      <c r="BU263" s="24">
        <f>IF(AD263=1,0,1/(1+EXP(-BT263))*Parameters!$B$3)</f>
        <v/>
      </c>
      <c r="BV263" s="25">
        <f>(1-(1-BU263)^12)*100</f>
        <v/>
      </c>
      <c r="BW263" s="25">
        <f>IF(AD263=1,0,(1-(1-1/(1+EXP(-Parameters!$B$2)))^12)*100)</f>
        <v/>
      </c>
      <c r="BX263" s="25">
        <f>IF(AD263=1,0,BV263-(1-(1-(1/(1+EXP(-(BT263-BF263)))*Parameters!$B$3))^12)*100)</f>
        <v/>
      </c>
      <c r="BY263" s="25">
        <f>IF(AD263=1,0,BV263-(1-(1-(1/(1+EXP(-(BT263-BG263)))*Parameters!$B$3))^12)*100)</f>
        <v/>
      </c>
      <c r="BZ263" s="25">
        <f>IF(AD263=1,0,BV263-(1-(1-(1/(1+EXP(-(BT263-BH263)))*Parameters!$B$3))^12)*100)</f>
        <v/>
      </c>
      <c r="CA263" s="25">
        <f>IF(AD263=1,0,BV263-(1-(1-(1/(1+EXP(-(BT263-BI263)))*Parameters!$B$3))^12)*100)</f>
        <v/>
      </c>
      <c r="CB263" s="25">
        <f>IF(AD263=1,0,BV263-(1-(1-(1/(1+EXP(-(BT263-BJ263)))*Parameters!$B$3))^12)*100)</f>
        <v/>
      </c>
      <c r="CC263" s="25">
        <f>IF(AD263=1,0,BV263-(1-(1-(1/(1+EXP(-(BT263-BK263)))*Parameters!$B$3))^12)*100)</f>
        <v/>
      </c>
      <c r="CD263" s="25">
        <f>IF(AD263=1,0,BV263-(1-(1-(1/(1+EXP(-(BT263-BL263)))*Parameters!$B$3))^12)*100)</f>
        <v/>
      </c>
      <c r="CE263" s="25">
        <f>IF(AD263=1,0,BV263-(1-(1-(1/(1+EXP(-(BT263-BM263)))*Parameters!$B$3))^12)*100)</f>
        <v/>
      </c>
      <c r="CF263" s="25">
        <f>IF(AD263=1,0,BV263-(1-(1-(1/(1+EXP(-(BT263-BN263)))*Parameters!$B$3))^12)*100)</f>
        <v/>
      </c>
      <c r="CG263" s="25">
        <f>IF(AD263=1,0,BV263-(1-(1-(1/(1+EXP(-(BT263-BO263)))*Parameters!$B$3))^12)*100)</f>
        <v/>
      </c>
      <c r="CH263" s="25">
        <f>IF(AD263=1,0,BV263-(1-(1-(1/(1+EXP(-(BT263-BP263)))*Parameters!$B$3))^12)*100)</f>
        <v/>
      </c>
      <c r="CI263" s="25">
        <f>IF(AD263=1,0,BV263-(1-(1-(1/(1+EXP(-(BT263-BQ263)))*Parameters!$B$3))^12)*100)</f>
        <v/>
      </c>
      <c r="CJ263" s="25">
        <f>IF(AD263=1,0,BV263-(1-(1-(1/(1+EXP(-(BT263-BR263)))*Parameters!$B$3))^12)*100)</f>
        <v/>
      </c>
    </row>
    <row r="264">
      <c r="A264" s="17" t="inlineStr">
        <is>
          <t>GNR_USDA_538</t>
        </is>
      </c>
      <c r="B264" s="17" t="inlineStr">
        <is>
          <t>36193EB25</t>
        </is>
      </c>
      <c r="C264" s="17" t="inlineStr">
        <is>
          <t>PN</t>
        </is>
      </c>
      <c r="D264" s="17" t="inlineStr">
        <is>
          <t>MERCHANTS CAPITAL CORP.</t>
        </is>
      </c>
      <c r="E264" s="17" t="inlineStr">
        <is>
          <t>36193EB25_038033144156466</t>
        </is>
      </c>
      <c r="F264" s="17" t="n">
        <v>202603</v>
      </c>
      <c r="G264" s="18" t="n">
        <v>3.4</v>
      </c>
      <c r="H264" s="19" t="n">
        <v>1109373.7</v>
      </c>
      <c r="I264" s="17" t="n">
        <v>480</v>
      </c>
      <c r="J264" s="17" t="n">
        <v>20160818</v>
      </c>
      <c r="K264" s="17" t="n">
        <v>20580801</v>
      </c>
      <c r="L264" s="17" t="n"/>
      <c r="M264" s="17" t="n">
        <v>20280901</v>
      </c>
      <c r="N264" s="17" t="n">
        <v>10</v>
      </c>
      <c r="O264" s="17" t="inlineStr">
        <is>
          <t>538</t>
        </is>
      </c>
      <c r="P264" s="17" t="n"/>
      <c r="Q264" s="17" t="n"/>
      <c r="R264" s="17" t="n"/>
      <c r="S264" s="17" t="n"/>
      <c r="T264" s="17" t="inlineStr">
        <is>
          <t>NC</t>
        </is>
      </c>
      <c r="U264" s="17" t="n">
        <v>0</v>
      </c>
      <c r="V264" s="17" t="n">
        <v>490.5</v>
      </c>
      <c r="W264" s="17" t="n">
        <v>115</v>
      </c>
      <c r="X264" s="17" t="n">
        <v>2016</v>
      </c>
      <c r="Y264" s="17" t="n">
        <v>-5</v>
      </c>
      <c r="Z264" s="17" t="n">
        <v>3</v>
      </c>
      <c r="AA264" s="20">
        <f>IF(ISNUMBER(W264),W264,IFERROR(MAX(0,(VALUE(LEFT(F264,4))-VALUE(LEFT(TEXT(J264,"00000000"),4)))*12+(VALUE(MID(F264,5,2))-VALUE(MID(TEXT(J264,"00000000"),5,2)))),""))</f>
        <v/>
      </c>
      <c r="AB264" s="20">
        <f>IFERROR((VALUE(LEFT(TEXT(K264,"00000000"),4))-VALUE(LEFT(F264,4)))*12+(VALUE(MID(TEXT(K264,"00000000"),5,2))-VALUE(MID(F264,5,2))),"")</f>
        <v/>
      </c>
      <c r="AC264" s="20">
        <f>IF(OR(L264="",NOT(ISNUMBER(L264))),0,MAX(0,MIN(60,(VALUE(LEFT(F264,4))-VALUE(LEFT(TEXT(L264,"00000000"),4)))*12+(VALUE(MID(F264,5,2))-VALUE(MID(TEXT(L264,"00000000"),5,2))))))</f>
        <v/>
      </c>
      <c r="AD264" s="20">
        <f>IF(OR(L264="",NOT(ISNUMBER(L264))),0,IF(VALUE(F264)&lt;VALUE(LEFT(TEXT(L264,"00000000"),6)),1,0))</f>
        <v/>
      </c>
      <c r="AE264" s="20">
        <f>IF(OR(M264="",NOT(ISNUMBER(M264))),0,IF(VALUE(F264)&lt;VALUE(LEFT(TEXT(M264,"00000000"),6)),1,0))</f>
        <v/>
      </c>
      <c r="AF264" s="20">
        <f>IF(AND(AD264=0,AE264=0),1,0)</f>
        <v/>
      </c>
      <c r="AG264" s="20">
        <f>IF(ISNUMBER(X264),X264,IFERROR(VALUE(LEFT(TEXT(J264,"00000000"),4)),""))</f>
        <v/>
      </c>
      <c r="AH264" s="20">
        <f>IFERROR(XLOOKUP(AG264,Vintage_Rates!$A$2:$A$1000,Vintage_Rates!$B$2:$B$1000,""),"")</f>
        <v/>
      </c>
      <c r="AI264" s="20">
        <f>IF(ISNUMBER(Y264),Y264,IFERROR((G264-AH264)*100,""))</f>
        <v/>
      </c>
      <c r="AJ264" s="20">
        <f>IF(ISNUMBER(V264),V264,IFERROR(XLOOKUP(VALUE(F264),PLC_Rates!$A$2:$A$1000,PLC_Rates!$B$2:$B$1000,""),""))</f>
        <v/>
      </c>
      <c r="AK264" s="20">
        <f>IF(ISNUMBER(Z264),Z264,IF(AE264=0,0,MAX(0,MIN(10,((VALUE(LEFT(TEXT(M264,"00000000"),4))-VALUE(LEFT(F264,4)))*12+(VALUE(MID(TEXT(M264,"00000000"),5,2))-VALUE(MID(F264,5,2))))/12))))</f>
        <v/>
      </c>
      <c r="AL264" s="20">
        <f>IFERROR(G264*100-AJ264,"")</f>
        <v/>
      </c>
      <c r="AM264" s="20">
        <f>IFERROR(G264*100-(AJ264+(1+AK264)*12.5),"")</f>
        <v/>
      </c>
      <c r="AN264" s="21">
        <f>IFERROR(MIN(H264/1000000,100),"")</f>
        <v/>
      </c>
      <c r="AO264" s="20">
        <f>IFERROR(INDEX(FHA_Lookup!$B$2:$B$11,MATCH(TRUE,ISNUMBER(SEARCH(FHA_Lookup!$A$2:$A$11,UPPER(SUBSTITUTE(O264," ","")))),0)),"OTHER")</f>
        <v/>
      </c>
      <c r="AP264" s="20">
        <f>IFERROR(INDEX(FHA_Lookup!$C$2:$C$11,MATCH(TRUE,ISNUMBER(SEARCH(FHA_Lookup!$A$2:$A$11,UPPER(SUBSTITUTE(O264," ","")))),0)),"OTHER")</f>
        <v/>
      </c>
      <c r="AQ264" s="20">
        <f>IF(AP264="NC",1,0)</f>
        <v/>
      </c>
      <c r="AR264" s="20">
        <f>IF(UPPER(TRIM(P264))="AFF",1,0)</f>
        <v/>
      </c>
      <c r="AS264" s="20">
        <f>IF(UPPER(TRIM(P264))="BAF",1,0)</f>
        <v/>
      </c>
      <c r="AT264" s="20">
        <f>IF(UPPER(TRIM(P264))="MKT",1,0)</f>
        <v/>
      </c>
      <c r="AU264" s="20">
        <f>IF(AO264="221d4",1,0)</f>
        <v/>
      </c>
      <c r="AV264" s="20">
        <f>IF(AO264="223a7",1,0)</f>
        <v/>
      </c>
      <c r="AW264" s="20">
        <f>IF(AO264="232",1,0)</f>
        <v/>
      </c>
      <c r="AX264" s="20">
        <f>IF(AO264="538",1,0)</f>
        <v/>
      </c>
      <c r="AY264" s="20">
        <f>IF(AO264="241",1,0)</f>
        <v/>
      </c>
      <c r="AZ264" s="20">
        <f>IF(AO264="220",1,0)</f>
        <v/>
      </c>
      <c r="BA264" s="20">
        <f>IF(AO264="OTHER",1,0)</f>
        <v/>
      </c>
      <c r="BB264" s="20">
        <f>IF(UPPER(TRIM(C264))="LM",1,0)</f>
        <v/>
      </c>
      <c r="BC264" s="20">
        <f>IF(UPPER(TRIM(C264))="PN",1,0)</f>
        <v/>
      </c>
      <c r="BD264" s="20">
        <f>IF(UPPER(TRIM(C264))="LS",1,0)</f>
        <v/>
      </c>
      <c r="BE264" s="20">
        <f>IF(UPPER(TRIM(C264))="RX",1,0)</f>
        <v/>
      </c>
      <c r="BF264" s="22">
        <f>IFERROR((Parameters!$C$6*AM264+Parameters!$C$7*MAX(AM264-(-150),0)+Parameters!$C$8*MAX(AM264-(-50),0)+Parameters!$C$9*MAX(AM264-(0),0)+Parameters!$C$10*MAX(AM264-(50),0)+Parameters!$C$11*MAX(AM264-(100),0)+Parameters!$C$12*MAX(AM264-(150),0)+Parameters!$C$13*MAX(AM264-(250),0)),0)</f>
        <v/>
      </c>
      <c r="BG264" s="22">
        <f>IFERROR((Parameters!$C$14*AA264+Parameters!$C$15*MAX(AA264-(12),0)+Parameters!$C$16*MAX(AA264-(36),0)+Parameters!$C$17*MAX(AA264-(60),0)+Parameters!$C$18*MAX(AA264-(84),0)+Parameters!$C$19*MAX(AA264-(120),0)+Parameters!$C$20*MAX(AA264-(180),0)),0)</f>
        <v/>
      </c>
      <c r="BH264" s="22">
        <f>IFERROR((Parameters!$C$21*AK264+Parameters!$C$22*MAX(AK264-(0),0)+Parameters!$C$23*MAX(AK264-(2),0)+Parameters!$C$24*MAX(AK264-(5),0)+Parameters!$C$25*MAX(AK264-(8),0)),0)</f>
        <v/>
      </c>
      <c r="BI264" s="22">
        <f>IFERROR((Parameters!$C$26*AI264+Parameters!$C$27*MAX(AI264-(-100),0)+Parameters!$C$28*MAX(AI264-(-25),0)+Parameters!$C$29*MAX(AI264-(25),0)+Parameters!$C$30*MAX(AI264-(100),0)),0)</f>
        <v/>
      </c>
      <c r="BJ264" s="22">
        <f>IFERROR((Parameters!$C$31*AN264+Parameters!$C$32*MAX(AN264-(2),0)+Parameters!$C$33*MAX(AN264-(10),0)+Parameters!$C$34*MAX(AN264-(25),0)),0)</f>
        <v/>
      </c>
      <c r="BK264" s="22">
        <f>IFERROR((Parameters!$C$35*AB264+Parameters!$C$36*MAX(AB264-(12),0)+Parameters!$C$37*MAX(AB264-(24),0)+Parameters!$C$38*MAX(AB264-(60),0)),0)</f>
        <v/>
      </c>
      <c r="BL264" s="22">
        <f>IFERROR((Parameters!$C$39*AC264+Parameters!$C$40*MAX(AC264-(6),0)+Parameters!$C$41*MAX(AC264-(12),0)+Parameters!$C$42*MAX(AC264-(24),0)),0)</f>
        <v/>
      </c>
      <c r="BM264" s="22">
        <f>IFERROR(Parameters!$C$43*(MAX(AM264,0)*MIN(MAX(AK264,0),10))/100,0)</f>
        <v/>
      </c>
      <c r="BN264" s="22">
        <f>Parameters!$C$44*AE264</f>
        <v/>
      </c>
      <c r="BO264" s="22">
        <f>Parameters!$C$45*AU264 + Parameters!$C$46*AV264 + Parameters!$C$47*AW264 + Parameters!$C$48*AX264 + Parameters!$C$49*AY264 + Parameters!$C$50*AZ264 + Parameters!$C$51*BA264</f>
        <v/>
      </c>
      <c r="BP264" s="22">
        <f>Parameters!$C$52*AQ264</f>
        <v/>
      </c>
      <c r="BQ264" s="22">
        <f>Parameters!$C$53*AR264+Parameters!$C$54*AS264+Parameters!$C$55*AT264</f>
        <v/>
      </c>
      <c r="BR264" s="22">
        <f>Parameters!$C$56*BB264+Parameters!$C$57*BC264+Parameters!$C$58*BD264+Parameters!$C$59*BE264</f>
        <v/>
      </c>
      <c r="BS264" s="23">
        <f>Parameters!$B$2</f>
        <v/>
      </c>
      <c r="BT264" s="23">
        <f>BS264+BF264 + BG264 + BH264 + BI264 + BJ264 + BK264 + BL264 + BM264 + BN264 + BO264 + BP264 + BQ264 + BR264</f>
        <v/>
      </c>
      <c r="BU264" s="24">
        <f>IF(AD264=1,0,1/(1+EXP(-BT264))*Parameters!$B$3)</f>
        <v/>
      </c>
      <c r="BV264" s="25">
        <f>(1-(1-BU264)^12)*100</f>
        <v/>
      </c>
      <c r="BW264" s="25">
        <f>IF(AD264=1,0,(1-(1-1/(1+EXP(-Parameters!$B$2)))^12)*100)</f>
        <v/>
      </c>
      <c r="BX264" s="25">
        <f>IF(AD264=1,0,BV264-(1-(1-(1/(1+EXP(-(BT264-BF264)))*Parameters!$B$3))^12)*100)</f>
        <v/>
      </c>
      <c r="BY264" s="25">
        <f>IF(AD264=1,0,BV264-(1-(1-(1/(1+EXP(-(BT264-BG264)))*Parameters!$B$3))^12)*100)</f>
        <v/>
      </c>
      <c r="BZ264" s="25">
        <f>IF(AD264=1,0,BV264-(1-(1-(1/(1+EXP(-(BT264-BH264)))*Parameters!$B$3))^12)*100)</f>
        <v/>
      </c>
      <c r="CA264" s="25">
        <f>IF(AD264=1,0,BV264-(1-(1-(1/(1+EXP(-(BT264-BI264)))*Parameters!$B$3))^12)*100)</f>
        <v/>
      </c>
      <c r="CB264" s="25">
        <f>IF(AD264=1,0,BV264-(1-(1-(1/(1+EXP(-(BT264-BJ264)))*Parameters!$B$3))^12)*100)</f>
        <v/>
      </c>
      <c r="CC264" s="25">
        <f>IF(AD264=1,0,BV264-(1-(1-(1/(1+EXP(-(BT264-BK264)))*Parameters!$B$3))^12)*100)</f>
        <v/>
      </c>
      <c r="CD264" s="25">
        <f>IF(AD264=1,0,BV264-(1-(1-(1/(1+EXP(-(BT264-BL264)))*Parameters!$B$3))^12)*100)</f>
        <v/>
      </c>
      <c r="CE264" s="25">
        <f>IF(AD264=1,0,BV264-(1-(1-(1/(1+EXP(-(BT264-BM264)))*Parameters!$B$3))^12)*100)</f>
        <v/>
      </c>
      <c r="CF264" s="25">
        <f>IF(AD264=1,0,BV264-(1-(1-(1/(1+EXP(-(BT264-BN264)))*Parameters!$B$3))^12)*100)</f>
        <v/>
      </c>
      <c r="CG264" s="25">
        <f>IF(AD264=1,0,BV264-(1-(1-(1/(1+EXP(-(BT264-BO264)))*Parameters!$B$3))^12)*100)</f>
        <v/>
      </c>
      <c r="CH264" s="25">
        <f>IF(AD264=1,0,BV264-(1-(1-(1/(1+EXP(-(BT264-BP264)))*Parameters!$B$3))^12)*100)</f>
        <v/>
      </c>
      <c r="CI264" s="25">
        <f>IF(AD264=1,0,BV264-(1-(1-(1/(1+EXP(-(BT264-BQ264)))*Parameters!$B$3))^12)*100)</f>
        <v/>
      </c>
      <c r="CJ264" s="25">
        <f>IF(AD264=1,0,BV264-(1-(1-(1/(1+EXP(-(BT264-BR264)))*Parameters!$B$3))^12)*100)</f>
        <v/>
      </c>
    </row>
    <row r="265">
      <c r="A265" s="17" t="inlineStr">
        <is>
          <t>GNR_USDA_538</t>
        </is>
      </c>
      <c r="B265" s="17" t="inlineStr">
        <is>
          <t>3617KGE97</t>
        </is>
      </c>
      <c r="C265" s="17" t="inlineStr">
        <is>
          <t>PN</t>
        </is>
      </c>
      <c r="D265" s="17" t="inlineStr">
        <is>
          <t>BONNEVILLE MORTGAGE COMPANY, LLC</t>
        </is>
      </c>
      <c r="E265" s="17" t="inlineStr">
        <is>
          <t>3617KGE97_480620594914180</t>
        </is>
      </c>
      <c r="F265" s="17" t="n">
        <v>202603</v>
      </c>
      <c r="G265" s="18" t="n">
        <v>4.56</v>
      </c>
      <c r="H265" s="19" t="n">
        <v>1784825.54</v>
      </c>
      <c r="I265" s="17" t="n">
        <v>479</v>
      </c>
      <c r="J265" s="17" t="n">
        <v>20191009</v>
      </c>
      <c r="K265" s="17" t="n">
        <v>20591001</v>
      </c>
      <c r="L265" s="17" t="n"/>
      <c r="M265" s="17" t="n">
        <v>20291201</v>
      </c>
      <c r="N265" s="17" t="n">
        <v>10</v>
      </c>
      <c r="O265" s="17" t="inlineStr">
        <is>
          <t>538</t>
        </is>
      </c>
      <c r="P265" s="17" t="n"/>
      <c r="Q265" s="17" t="n"/>
      <c r="R265" s="17" t="n"/>
      <c r="S265" s="17" t="n"/>
      <c r="T265" s="17" t="inlineStr">
        <is>
          <t>TN</t>
        </is>
      </c>
      <c r="U265" s="17" t="n">
        <v>0</v>
      </c>
      <c r="V265" s="17" t="n">
        <v>490.5</v>
      </c>
      <c r="W265" s="17" t="n">
        <v>77</v>
      </c>
      <c r="X265" s="17" t="n">
        <v>2019</v>
      </c>
      <c r="Y265" s="17" t="n">
        <v>89</v>
      </c>
      <c r="Z265" s="17" t="n">
        <v>4</v>
      </c>
      <c r="AA265" s="20">
        <f>IF(ISNUMBER(W265),W265,IFERROR(MAX(0,(VALUE(LEFT(F265,4))-VALUE(LEFT(TEXT(J265,"00000000"),4)))*12+(VALUE(MID(F265,5,2))-VALUE(MID(TEXT(J265,"00000000"),5,2)))),""))</f>
        <v/>
      </c>
      <c r="AB265" s="20">
        <f>IFERROR((VALUE(LEFT(TEXT(K265,"00000000"),4))-VALUE(LEFT(F265,4)))*12+(VALUE(MID(TEXT(K265,"00000000"),5,2))-VALUE(MID(F265,5,2))),"")</f>
        <v/>
      </c>
      <c r="AC265" s="20">
        <f>IF(OR(L265="",NOT(ISNUMBER(L265))),0,MAX(0,MIN(60,(VALUE(LEFT(F265,4))-VALUE(LEFT(TEXT(L265,"00000000"),4)))*12+(VALUE(MID(F265,5,2))-VALUE(MID(TEXT(L265,"00000000"),5,2))))))</f>
        <v/>
      </c>
      <c r="AD265" s="20">
        <f>IF(OR(L265="",NOT(ISNUMBER(L265))),0,IF(VALUE(F265)&lt;VALUE(LEFT(TEXT(L265,"00000000"),6)),1,0))</f>
        <v/>
      </c>
      <c r="AE265" s="20">
        <f>IF(OR(M265="",NOT(ISNUMBER(M265))),0,IF(VALUE(F265)&lt;VALUE(LEFT(TEXT(M265,"00000000"),6)),1,0))</f>
        <v/>
      </c>
      <c r="AF265" s="20">
        <f>IF(AND(AD265=0,AE265=0),1,0)</f>
        <v/>
      </c>
      <c r="AG265" s="20">
        <f>IF(ISNUMBER(X265),X265,IFERROR(VALUE(LEFT(TEXT(J265,"00000000"),4)),""))</f>
        <v/>
      </c>
      <c r="AH265" s="20">
        <f>IFERROR(XLOOKUP(AG265,Vintage_Rates!$A$2:$A$1000,Vintage_Rates!$B$2:$B$1000,""),"")</f>
        <v/>
      </c>
      <c r="AI265" s="20">
        <f>IF(ISNUMBER(Y265),Y265,IFERROR((G265-AH265)*100,""))</f>
        <v/>
      </c>
      <c r="AJ265" s="20">
        <f>IF(ISNUMBER(V265),V265,IFERROR(XLOOKUP(VALUE(F265),PLC_Rates!$A$2:$A$1000,PLC_Rates!$B$2:$B$1000,""),""))</f>
        <v/>
      </c>
      <c r="AK265" s="20">
        <f>IF(ISNUMBER(Z265),Z265,IF(AE265=0,0,MAX(0,MIN(10,((VALUE(LEFT(TEXT(M265,"00000000"),4))-VALUE(LEFT(F265,4)))*12+(VALUE(MID(TEXT(M265,"00000000"),5,2))-VALUE(MID(F265,5,2))))/12))))</f>
        <v/>
      </c>
      <c r="AL265" s="20">
        <f>IFERROR(G265*100-AJ265,"")</f>
        <v/>
      </c>
      <c r="AM265" s="20">
        <f>IFERROR(G265*100-(AJ265+(1+AK265)*12.5),"")</f>
        <v/>
      </c>
      <c r="AN265" s="21">
        <f>IFERROR(MIN(H265/1000000,100),"")</f>
        <v/>
      </c>
      <c r="AO265" s="20">
        <f>IFERROR(INDEX(FHA_Lookup!$B$2:$B$11,MATCH(TRUE,ISNUMBER(SEARCH(FHA_Lookup!$A$2:$A$11,UPPER(SUBSTITUTE(O265," ","")))),0)),"OTHER")</f>
        <v/>
      </c>
      <c r="AP265" s="20">
        <f>IFERROR(INDEX(FHA_Lookup!$C$2:$C$11,MATCH(TRUE,ISNUMBER(SEARCH(FHA_Lookup!$A$2:$A$11,UPPER(SUBSTITUTE(O265," ","")))),0)),"OTHER")</f>
        <v/>
      </c>
      <c r="AQ265" s="20">
        <f>IF(AP265="NC",1,0)</f>
        <v/>
      </c>
      <c r="AR265" s="20">
        <f>IF(UPPER(TRIM(P265))="AFF",1,0)</f>
        <v/>
      </c>
      <c r="AS265" s="20">
        <f>IF(UPPER(TRIM(P265))="BAF",1,0)</f>
        <v/>
      </c>
      <c r="AT265" s="20">
        <f>IF(UPPER(TRIM(P265))="MKT",1,0)</f>
        <v/>
      </c>
      <c r="AU265" s="20">
        <f>IF(AO265="221d4",1,0)</f>
        <v/>
      </c>
      <c r="AV265" s="20">
        <f>IF(AO265="223a7",1,0)</f>
        <v/>
      </c>
      <c r="AW265" s="20">
        <f>IF(AO265="232",1,0)</f>
        <v/>
      </c>
      <c r="AX265" s="20">
        <f>IF(AO265="538",1,0)</f>
        <v/>
      </c>
      <c r="AY265" s="20">
        <f>IF(AO265="241",1,0)</f>
        <v/>
      </c>
      <c r="AZ265" s="20">
        <f>IF(AO265="220",1,0)</f>
        <v/>
      </c>
      <c r="BA265" s="20">
        <f>IF(AO265="OTHER",1,0)</f>
        <v/>
      </c>
      <c r="BB265" s="20">
        <f>IF(UPPER(TRIM(C265))="LM",1,0)</f>
        <v/>
      </c>
      <c r="BC265" s="20">
        <f>IF(UPPER(TRIM(C265))="PN",1,0)</f>
        <v/>
      </c>
      <c r="BD265" s="20">
        <f>IF(UPPER(TRIM(C265))="LS",1,0)</f>
        <v/>
      </c>
      <c r="BE265" s="20">
        <f>IF(UPPER(TRIM(C265))="RX",1,0)</f>
        <v/>
      </c>
      <c r="BF265" s="22">
        <f>IFERROR((Parameters!$C$6*AM265+Parameters!$C$7*MAX(AM265-(-150),0)+Parameters!$C$8*MAX(AM265-(-50),0)+Parameters!$C$9*MAX(AM265-(0),0)+Parameters!$C$10*MAX(AM265-(50),0)+Parameters!$C$11*MAX(AM265-(100),0)+Parameters!$C$12*MAX(AM265-(150),0)+Parameters!$C$13*MAX(AM265-(250),0)),0)</f>
        <v/>
      </c>
      <c r="BG265" s="22">
        <f>IFERROR((Parameters!$C$14*AA265+Parameters!$C$15*MAX(AA265-(12),0)+Parameters!$C$16*MAX(AA265-(36),0)+Parameters!$C$17*MAX(AA265-(60),0)+Parameters!$C$18*MAX(AA265-(84),0)+Parameters!$C$19*MAX(AA265-(120),0)+Parameters!$C$20*MAX(AA265-(180),0)),0)</f>
        <v/>
      </c>
      <c r="BH265" s="22">
        <f>IFERROR((Parameters!$C$21*AK265+Parameters!$C$22*MAX(AK265-(0),0)+Parameters!$C$23*MAX(AK265-(2),0)+Parameters!$C$24*MAX(AK265-(5),0)+Parameters!$C$25*MAX(AK265-(8),0)),0)</f>
        <v/>
      </c>
      <c r="BI265" s="22">
        <f>IFERROR((Parameters!$C$26*AI265+Parameters!$C$27*MAX(AI265-(-100),0)+Parameters!$C$28*MAX(AI265-(-25),0)+Parameters!$C$29*MAX(AI265-(25),0)+Parameters!$C$30*MAX(AI265-(100),0)),0)</f>
        <v/>
      </c>
      <c r="BJ265" s="22">
        <f>IFERROR((Parameters!$C$31*AN265+Parameters!$C$32*MAX(AN265-(2),0)+Parameters!$C$33*MAX(AN265-(10),0)+Parameters!$C$34*MAX(AN265-(25),0)),0)</f>
        <v/>
      </c>
      <c r="BK265" s="22">
        <f>IFERROR((Parameters!$C$35*AB265+Parameters!$C$36*MAX(AB265-(12),0)+Parameters!$C$37*MAX(AB265-(24),0)+Parameters!$C$38*MAX(AB265-(60),0)),0)</f>
        <v/>
      </c>
      <c r="BL265" s="22">
        <f>IFERROR((Parameters!$C$39*AC265+Parameters!$C$40*MAX(AC265-(6),0)+Parameters!$C$41*MAX(AC265-(12),0)+Parameters!$C$42*MAX(AC265-(24),0)),0)</f>
        <v/>
      </c>
      <c r="BM265" s="22">
        <f>IFERROR(Parameters!$C$43*(MAX(AM265,0)*MIN(MAX(AK265,0),10))/100,0)</f>
        <v/>
      </c>
      <c r="BN265" s="22">
        <f>Parameters!$C$44*AE265</f>
        <v/>
      </c>
      <c r="BO265" s="22">
        <f>Parameters!$C$45*AU265 + Parameters!$C$46*AV265 + Parameters!$C$47*AW265 + Parameters!$C$48*AX265 + Parameters!$C$49*AY265 + Parameters!$C$50*AZ265 + Parameters!$C$51*BA265</f>
        <v/>
      </c>
      <c r="BP265" s="22">
        <f>Parameters!$C$52*AQ265</f>
        <v/>
      </c>
      <c r="BQ265" s="22">
        <f>Parameters!$C$53*AR265+Parameters!$C$54*AS265+Parameters!$C$55*AT265</f>
        <v/>
      </c>
      <c r="BR265" s="22">
        <f>Parameters!$C$56*BB265+Parameters!$C$57*BC265+Parameters!$C$58*BD265+Parameters!$C$59*BE265</f>
        <v/>
      </c>
      <c r="BS265" s="23">
        <f>Parameters!$B$2</f>
        <v/>
      </c>
      <c r="BT265" s="23">
        <f>BS265+BF265 + BG265 + BH265 + BI265 + BJ265 + BK265 + BL265 + BM265 + BN265 + BO265 + BP265 + BQ265 + BR265</f>
        <v/>
      </c>
      <c r="BU265" s="24">
        <f>IF(AD265=1,0,1/(1+EXP(-BT265))*Parameters!$B$3)</f>
        <v/>
      </c>
      <c r="BV265" s="25">
        <f>(1-(1-BU265)^12)*100</f>
        <v/>
      </c>
      <c r="BW265" s="25">
        <f>IF(AD265=1,0,(1-(1-1/(1+EXP(-Parameters!$B$2)))^12)*100)</f>
        <v/>
      </c>
      <c r="BX265" s="25">
        <f>IF(AD265=1,0,BV265-(1-(1-(1/(1+EXP(-(BT265-BF265)))*Parameters!$B$3))^12)*100)</f>
        <v/>
      </c>
      <c r="BY265" s="25">
        <f>IF(AD265=1,0,BV265-(1-(1-(1/(1+EXP(-(BT265-BG265)))*Parameters!$B$3))^12)*100)</f>
        <v/>
      </c>
      <c r="BZ265" s="25">
        <f>IF(AD265=1,0,BV265-(1-(1-(1/(1+EXP(-(BT265-BH265)))*Parameters!$B$3))^12)*100)</f>
        <v/>
      </c>
      <c r="CA265" s="25">
        <f>IF(AD265=1,0,BV265-(1-(1-(1/(1+EXP(-(BT265-BI265)))*Parameters!$B$3))^12)*100)</f>
        <v/>
      </c>
      <c r="CB265" s="25">
        <f>IF(AD265=1,0,BV265-(1-(1-(1/(1+EXP(-(BT265-BJ265)))*Parameters!$B$3))^12)*100)</f>
        <v/>
      </c>
      <c r="CC265" s="25">
        <f>IF(AD265=1,0,BV265-(1-(1-(1/(1+EXP(-(BT265-BK265)))*Parameters!$B$3))^12)*100)</f>
        <v/>
      </c>
      <c r="CD265" s="25">
        <f>IF(AD265=1,0,BV265-(1-(1-(1/(1+EXP(-(BT265-BL265)))*Parameters!$B$3))^12)*100)</f>
        <v/>
      </c>
      <c r="CE265" s="25">
        <f>IF(AD265=1,0,BV265-(1-(1-(1/(1+EXP(-(BT265-BM265)))*Parameters!$B$3))^12)*100)</f>
        <v/>
      </c>
      <c r="CF265" s="25">
        <f>IF(AD265=1,0,BV265-(1-(1-(1/(1+EXP(-(BT265-BN265)))*Parameters!$B$3))^12)*100)</f>
        <v/>
      </c>
      <c r="CG265" s="25">
        <f>IF(AD265=1,0,BV265-(1-(1-(1/(1+EXP(-(BT265-BO265)))*Parameters!$B$3))^12)*100)</f>
        <v/>
      </c>
      <c r="CH265" s="25">
        <f>IF(AD265=1,0,BV265-(1-(1-(1/(1+EXP(-(BT265-BP265)))*Parameters!$B$3))^12)*100)</f>
        <v/>
      </c>
      <c r="CI265" s="25">
        <f>IF(AD265=1,0,BV265-(1-(1-(1/(1+EXP(-(BT265-BQ265)))*Parameters!$B$3))^12)*100)</f>
        <v/>
      </c>
      <c r="CJ265" s="25">
        <f>IF(AD265=1,0,BV265-(1-(1-(1/(1+EXP(-(BT265-BR265)))*Parameters!$B$3))^12)*100)</f>
        <v/>
      </c>
    </row>
    <row r="266">
      <c r="A266" s="17" t="inlineStr">
        <is>
          <t>GNR_USDA_538</t>
        </is>
      </c>
      <c r="B266" s="17" t="inlineStr">
        <is>
          <t>3620AURZ9</t>
        </is>
      </c>
      <c r="C266" s="17" t="inlineStr">
        <is>
          <t>PN</t>
        </is>
      </c>
      <c r="D266" s="17" t="inlineStr">
        <is>
          <t>BONNEVILLE MORTGAGE COMPANY, LLC</t>
        </is>
      </c>
      <c r="E266" s="17" t="inlineStr">
        <is>
          <t>3620AURZ9_022042199697689</t>
        </is>
      </c>
      <c r="F266" s="17" t="n">
        <v>202603</v>
      </c>
      <c r="G266" s="18" t="n">
        <v>4.9</v>
      </c>
      <c r="H266" s="19" t="n">
        <v>888145.8199999999</v>
      </c>
      <c r="I266" s="17" t="n">
        <v>479</v>
      </c>
      <c r="J266" s="17" t="n">
        <v>20110920</v>
      </c>
      <c r="K266" s="17" t="n">
        <v>20510901</v>
      </c>
      <c r="L266" s="17" t="n">
        <v>20131001</v>
      </c>
      <c r="M266" s="17" t="n">
        <v>20211001</v>
      </c>
      <c r="N266" s="17" t="n">
        <v>8</v>
      </c>
      <c r="O266" s="17" t="inlineStr">
        <is>
          <t>538</t>
        </is>
      </c>
      <c r="P266" s="17" t="n"/>
      <c r="Q266" s="17" t="n"/>
      <c r="R266" s="17" t="n"/>
      <c r="S266" s="17" t="n"/>
      <c r="T266" s="17" t="inlineStr">
        <is>
          <t>LA</t>
        </is>
      </c>
      <c r="U266" s="17" t="n">
        <v>0</v>
      </c>
      <c r="V266" s="17" t="n">
        <v>490.5</v>
      </c>
      <c r="W266" s="17" t="n">
        <v>174</v>
      </c>
      <c r="X266" s="17" t="n">
        <v>2011</v>
      </c>
      <c r="Y266" s="17" t="n">
        <v>97</v>
      </c>
      <c r="Z266" s="17" t="n">
        <v>0</v>
      </c>
      <c r="AA266" s="20">
        <f>IF(ISNUMBER(W266),W266,IFERROR(MAX(0,(VALUE(LEFT(F266,4))-VALUE(LEFT(TEXT(J266,"00000000"),4)))*12+(VALUE(MID(F266,5,2))-VALUE(MID(TEXT(J266,"00000000"),5,2)))),""))</f>
        <v/>
      </c>
      <c r="AB266" s="20">
        <f>IFERROR((VALUE(LEFT(TEXT(K266,"00000000"),4))-VALUE(LEFT(F266,4)))*12+(VALUE(MID(TEXT(K266,"00000000"),5,2))-VALUE(MID(F266,5,2))),"")</f>
        <v/>
      </c>
      <c r="AC266" s="20">
        <f>IF(OR(L266="",NOT(ISNUMBER(L266))),0,MAX(0,MIN(60,(VALUE(LEFT(F266,4))-VALUE(LEFT(TEXT(L266,"00000000"),4)))*12+(VALUE(MID(F266,5,2))-VALUE(MID(TEXT(L266,"00000000"),5,2))))))</f>
        <v/>
      </c>
      <c r="AD266" s="20">
        <f>IF(OR(L266="",NOT(ISNUMBER(L266))),0,IF(VALUE(F266)&lt;VALUE(LEFT(TEXT(L266,"00000000"),6)),1,0))</f>
        <v/>
      </c>
      <c r="AE266" s="20">
        <f>IF(OR(M266="",NOT(ISNUMBER(M266))),0,IF(VALUE(F266)&lt;VALUE(LEFT(TEXT(M266,"00000000"),6)),1,0))</f>
        <v/>
      </c>
      <c r="AF266" s="20">
        <f>IF(AND(AD266=0,AE266=0),1,0)</f>
        <v/>
      </c>
      <c r="AG266" s="20">
        <f>IF(ISNUMBER(X266),X266,IFERROR(VALUE(LEFT(TEXT(J266,"00000000"),4)),""))</f>
        <v/>
      </c>
      <c r="AH266" s="20">
        <f>IFERROR(XLOOKUP(AG266,Vintage_Rates!$A$2:$A$1000,Vintage_Rates!$B$2:$B$1000,""),"")</f>
        <v/>
      </c>
      <c r="AI266" s="20">
        <f>IF(ISNUMBER(Y266),Y266,IFERROR((G266-AH266)*100,""))</f>
        <v/>
      </c>
      <c r="AJ266" s="20">
        <f>IF(ISNUMBER(V266),V266,IFERROR(XLOOKUP(VALUE(F266),PLC_Rates!$A$2:$A$1000,PLC_Rates!$B$2:$B$1000,""),""))</f>
        <v/>
      </c>
      <c r="AK266" s="20">
        <f>IF(ISNUMBER(Z266),Z266,IF(AE266=0,0,MAX(0,MIN(10,((VALUE(LEFT(TEXT(M266,"00000000"),4))-VALUE(LEFT(F266,4)))*12+(VALUE(MID(TEXT(M266,"00000000"),5,2))-VALUE(MID(F266,5,2))))/12))))</f>
        <v/>
      </c>
      <c r="AL266" s="20">
        <f>IFERROR(G266*100-AJ266,"")</f>
        <v/>
      </c>
      <c r="AM266" s="20">
        <f>IFERROR(G266*100-(AJ266+(1+AK266)*12.5),"")</f>
        <v/>
      </c>
      <c r="AN266" s="21">
        <f>IFERROR(MIN(H266/1000000,100),"")</f>
        <v/>
      </c>
      <c r="AO266" s="20">
        <f>IFERROR(INDEX(FHA_Lookup!$B$2:$B$11,MATCH(TRUE,ISNUMBER(SEARCH(FHA_Lookup!$A$2:$A$11,UPPER(SUBSTITUTE(O266," ","")))),0)),"OTHER")</f>
        <v/>
      </c>
      <c r="AP266" s="20">
        <f>IFERROR(INDEX(FHA_Lookup!$C$2:$C$11,MATCH(TRUE,ISNUMBER(SEARCH(FHA_Lookup!$A$2:$A$11,UPPER(SUBSTITUTE(O266," ","")))),0)),"OTHER")</f>
        <v/>
      </c>
      <c r="AQ266" s="20">
        <f>IF(AP266="NC",1,0)</f>
        <v/>
      </c>
      <c r="AR266" s="20">
        <f>IF(UPPER(TRIM(P266))="AFF",1,0)</f>
        <v/>
      </c>
      <c r="AS266" s="20">
        <f>IF(UPPER(TRIM(P266))="BAF",1,0)</f>
        <v/>
      </c>
      <c r="AT266" s="20">
        <f>IF(UPPER(TRIM(P266))="MKT",1,0)</f>
        <v/>
      </c>
      <c r="AU266" s="20">
        <f>IF(AO266="221d4",1,0)</f>
        <v/>
      </c>
      <c r="AV266" s="20">
        <f>IF(AO266="223a7",1,0)</f>
        <v/>
      </c>
      <c r="AW266" s="20">
        <f>IF(AO266="232",1,0)</f>
        <v/>
      </c>
      <c r="AX266" s="20">
        <f>IF(AO266="538",1,0)</f>
        <v/>
      </c>
      <c r="AY266" s="20">
        <f>IF(AO266="241",1,0)</f>
        <v/>
      </c>
      <c r="AZ266" s="20">
        <f>IF(AO266="220",1,0)</f>
        <v/>
      </c>
      <c r="BA266" s="20">
        <f>IF(AO266="OTHER",1,0)</f>
        <v/>
      </c>
      <c r="BB266" s="20">
        <f>IF(UPPER(TRIM(C266))="LM",1,0)</f>
        <v/>
      </c>
      <c r="BC266" s="20">
        <f>IF(UPPER(TRIM(C266))="PN",1,0)</f>
        <v/>
      </c>
      <c r="BD266" s="20">
        <f>IF(UPPER(TRIM(C266))="LS",1,0)</f>
        <v/>
      </c>
      <c r="BE266" s="20">
        <f>IF(UPPER(TRIM(C266))="RX",1,0)</f>
        <v/>
      </c>
      <c r="BF266" s="22">
        <f>IFERROR((Parameters!$C$6*AM266+Parameters!$C$7*MAX(AM266-(-150),0)+Parameters!$C$8*MAX(AM266-(-50),0)+Parameters!$C$9*MAX(AM266-(0),0)+Parameters!$C$10*MAX(AM266-(50),0)+Parameters!$C$11*MAX(AM266-(100),0)+Parameters!$C$12*MAX(AM266-(150),0)+Parameters!$C$13*MAX(AM266-(250),0)),0)</f>
        <v/>
      </c>
      <c r="BG266" s="22">
        <f>IFERROR((Parameters!$C$14*AA266+Parameters!$C$15*MAX(AA266-(12),0)+Parameters!$C$16*MAX(AA266-(36),0)+Parameters!$C$17*MAX(AA266-(60),0)+Parameters!$C$18*MAX(AA266-(84),0)+Parameters!$C$19*MAX(AA266-(120),0)+Parameters!$C$20*MAX(AA266-(180),0)),0)</f>
        <v/>
      </c>
      <c r="BH266" s="22">
        <f>IFERROR((Parameters!$C$21*AK266+Parameters!$C$22*MAX(AK266-(0),0)+Parameters!$C$23*MAX(AK266-(2),0)+Parameters!$C$24*MAX(AK266-(5),0)+Parameters!$C$25*MAX(AK266-(8),0)),0)</f>
        <v/>
      </c>
      <c r="BI266" s="22">
        <f>IFERROR((Parameters!$C$26*AI266+Parameters!$C$27*MAX(AI266-(-100),0)+Parameters!$C$28*MAX(AI266-(-25),0)+Parameters!$C$29*MAX(AI266-(25),0)+Parameters!$C$30*MAX(AI266-(100),0)),0)</f>
        <v/>
      </c>
      <c r="BJ266" s="22">
        <f>IFERROR((Parameters!$C$31*AN266+Parameters!$C$32*MAX(AN266-(2),0)+Parameters!$C$33*MAX(AN266-(10),0)+Parameters!$C$34*MAX(AN266-(25),0)),0)</f>
        <v/>
      </c>
      <c r="BK266" s="22">
        <f>IFERROR((Parameters!$C$35*AB266+Parameters!$C$36*MAX(AB266-(12),0)+Parameters!$C$37*MAX(AB266-(24),0)+Parameters!$C$38*MAX(AB266-(60),0)),0)</f>
        <v/>
      </c>
      <c r="BL266" s="22">
        <f>IFERROR((Parameters!$C$39*AC266+Parameters!$C$40*MAX(AC266-(6),0)+Parameters!$C$41*MAX(AC266-(12),0)+Parameters!$C$42*MAX(AC266-(24),0)),0)</f>
        <v/>
      </c>
      <c r="BM266" s="22">
        <f>IFERROR(Parameters!$C$43*(MAX(AM266,0)*MIN(MAX(AK266,0),10))/100,0)</f>
        <v/>
      </c>
      <c r="BN266" s="22">
        <f>Parameters!$C$44*AE266</f>
        <v/>
      </c>
      <c r="BO266" s="22">
        <f>Parameters!$C$45*AU266 + Parameters!$C$46*AV266 + Parameters!$C$47*AW266 + Parameters!$C$48*AX266 + Parameters!$C$49*AY266 + Parameters!$C$50*AZ266 + Parameters!$C$51*BA266</f>
        <v/>
      </c>
      <c r="BP266" s="22">
        <f>Parameters!$C$52*AQ266</f>
        <v/>
      </c>
      <c r="BQ266" s="22">
        <f>Parameters!$C$53*AR266+Parameters!$C$54*AS266+Parameters!$C$55*AT266</f>
        <v/>
      </c>
      <c r="BR266" s="22">
        <f>Parameters!$C$56*BB266+Parameters!$C$57*BC266+Parameters!$C$58*BD266+Parameters!$C$59*BE266</f>
        <v/>
      </c>
      <c r="BS266" s="23">
        <f>Parameters!$B$2</f>
        <v/>
      </c>
      <c r="BT266" s="23">
        <f>BS266+BF266 + BG266 + BH266 + BI266 + BJ266 + BK266 + BL266 + BM266 + BN266 + BO266 + BP266 + BQ266 + BR266</f>
        <v/>
      </c>
      <c r="BU266" s="24">
        <f>IF(AD266=1,0,1/(1+EXP(-BT266))*Parameters!$B$3)</f>
        <v/>
      </c>
      <c r="BV266" s="25">
        <f>(1-(1-BU266)^12)*100</f>
        <v/>
      </c>
      <c r="BW266" s="25">
        <f>IF(AD266=1,0,(1-(1-1/(1+EXP(-Parameters!$B$2)))^12)*100)</f>
        <v/>
      </c>
      <c r="BX266" s="25">
        <f>IF(AD266=1,0,BV266-(1-(1-(1/(1+EXP(-(BT266-BF266)))*Parameters!$B$3))^12)*100)</f>
        <v/>
      </c>
      <c r="BY266" s="25">
        <f>IF(AD266=1,0,BV266-(1-(1-(1/(1+EXP(-(BT266-BG266)))*Parameters!$B$3))^12)*100)</f>
        <v/>
      </c>
      <c r="BZ266" s="25">
        <f>IF(AD266=1,0,BV266-(1-(1-(1/(1+EXP(-(BT266-BH266)))*Parameters!$B$3))^12)*100)</f>
        <v/>
      </c>
      <c r="CA266" s="25">
        <f>IF(AD266=1,0,BV266-(1-(1-(1/(1+EXP(-(BT266-BI266)))*Parameters!$B$3))^12)*100)</f>
        <v/>
      </c>
      <c r="CB266" s="25">
        <f>IF(AD266=1,0,BV266-(1-(1-(1/(1+EXP(-(BT266-BJ266)))*Parameters!$B$3))^12)*100)</f>
        <v/>
      </c>
      <c r="CC266" s="25">
        <f>IF(AD266=1,0,BV266-(1-(1-(1/(1+EXP(-(BT266-BK266)))*Parameters!$B$3))^12)*100)</f>
        <v/>
      </c>
      <c r="CD266" s="25">
        <f>IF(AD266=1,0,BV266-(1-(1-(1/(1+EXP(-(BT266-BL266)))*Parameters!$B$3))^12)*100)</f>
        <v/>
      </c>
      <c r="CE266" s="25">
        <f>IF(AD266=1,0,BV266-(1-(1-(1/(1+EXP(-(BT266-BM266)))*Parameters!$B$3))^12)*100)</f>
        <v/>
      </c>
      <c r="CF266" s="25">
        <f>IF(AD266=1,0,BV266-(1-(1-(1/(1+EXP(-(BT266-BN266)))*Parameters!$B$3))^12)*100)</f>
        <v/>
      </c>
      <c r="CG266" s="25">
        <f>IF(AD266=1,0,BV266-(1-(1-(1/(1+EXP(-(BT266-BO266)))*Parameters!$B$3))^12)*100)</f>
        <v/>
      </c>
      <c r="CH266" s="25">
        <f>IF(AD266=1,0,BV266-(1-(1-(1/(1+EXP(-(BT266-BP266)))*Parameters!$B$3))^12)*100)</f>
        <v/>
      </c>
      <c r="CI266" s="25">
        <f>IF(AD266=1,0,BV266-(1-(1-(1/(1+EXP(-(BT266-BQ266)))*Parameters!$B$3))^12)*100)</f>
        <v/>
      </c>
      <c r="CJ266" s="25">
        <f>IF(AD266=1,0,BV266-(1-(1-(1/(1+EXP(-(BT266-BR266)))*Parameters!$B$3))^12)*100)</f>
        <v/>
      </c>
    </row>
    <row r="267">
      <c r="A267" s="17" t="inlineStr">
        <is>
          <t>GNR_USDA_538</t>
        </is>
      </c>
      <c r="B267" s="17" t="inlineStr">
        <is>
          <t>3617HBS30</t>
        </is>
      </c>
      <c r="C267" s="17" t="inlineStr">
        <is>
          <t>PN</t>
        </is>
      </c>
      <c r="D267" s="17" t="inlineStr">
        <is>
          <t>BONNEVILLE MORTGAGE COMPANY, LLC</t>
        </is>
      </c>
      <c r="E267" s="17" t="inlineStr">
        <is>
          <t>3617HBS30_005055375455227</t>
        </is>
      </c>
      <c r="F267" s="17" t="n">
        <v>202603</v>
      </c>
      <c r="G267" s="18" t="n">
        <v>5.45</v>
      </c>
      <c r="H267" s="19" t="n">
        <v>567235.67</v>
      </c>
      <c r="I267" s="17" t="n">
        <v>479</v>
      </c>
      <c r="J267" s="17" t="n">
        <v>20180821</v>
      </c>
      <c r="K267" s="17" t="n">
        <v>20580801</v>
      </c>
      <c r="L267" s="17" t="n"/>
      <c r="M267" s="17" t="n">
        <v>20291201</v>
      </c>
      <c r="N267" s="17" t="n">
        <v>10</v>
      </c>
      <c r="O267" s="17" t="inlineStr">
        <is>
          <t>538</t>
        </is>
      </c>
      <c r="P267" s="17" t="n"/>
      <c r="Q267" s="17" t="n"/>
      <c r="R267" s="17" t="n"/>
      <c r="S267" s="17" t="n"/>
      <c r="T267" s="17" t="inlineStr">
        <is>
          <t>CO</t>
        </is>
      </c>
      <c r="U267" s="17" t="n">
        <v>0</v>
      </c>
      <c r="V267" s="17" t="n">
        <v>490.5</v>
      </c>
      <c r="W267" s="17" t="n">
        <v>91</v>
      </c>
      <c r="X267" s="17" t="n">
        <v>2018</v>
      </c>
      <c r="Y267" s="17" t="n">
        <v>143</v>
      </c>
      <c r="Z267" s="17" t="n">
        <v>4</v>
      </c>
      <c r="AA267" s="20">
        <f>IF(ISNUMBER(W267),W267,IFERROR(MAX(0,(VALUE(LEFT(F267,4))-VALUE(LEFT(TEXT(J267,"00000000"),4)))*12+(VALUE(MID(F267,5,2))-VALUE(MID(TEXT(J267,"00000000"),5,2)))),""))</f>
        <v/>
      </c>
      <c r="AB267" s="20">
        <f>IFERROR((VALUE(LEFT(TEXT(K267,"00000000"),4))-VALUE(LEFT(F267,4)))*12+(VALUE(MID(TEXT(K267,"00000000"),5,2))-VALUE(MID(F267,5,2))),"")</f>
        <v/>
      </c>
      <c r="AC267" s="20">
        <f>IF(OR(L267="",NOT(ISNUMBER(L267))),0,MAX(0,MIN(60,(VALUE(LEFT(F267,4))-VALUE(LEFT(TEXT(L267,"00000000"),4)))*12+(VALUE(MID(F267,5,2))-VALUE(MID(TEXT(L267,"00000000"),5,2))))))</f>
        <v/>
      </c>
      <c r="AD267" s="20">
        <f>IF(OR(L267="",NOT(ISNUMBER(L267))),0,IF(VALUE(F267)&lt;VALUE(LEFT(TEXT(L267,"00000000"),6)),1,0))</f>
        <v/>
      </c>
      <c r="AE267" s="20">
        <f>IF(OR(M267="",NOT(ISNUMBER(M267))),0,IF(VALUE(F267)&lt;VALUE(LEFT(TEXT(M267,"00000000"),6)),1,0))</f>
        <v/>
      </c>
      <c r="AF267" s="20">
        <f>IF(AND(AD267=0,AE267=0),1,0)</f>
        <v/>
      </c>
      <c r="AG267" s="20">
        <f>IF(ISNUMBER(X267),X267,IFERROR(VALUE(LEFT(TEXT(J267,"00000000"),4)),""))</f>
        <v/>
      </c>
      <c r="AH267" s="20">
        <f>IFERROR(XLOOKUP(AG267,Vintage_Rates!$A$2:$A$1000,Vintage_Rates!$B$2:$B$1000,""),"")</f>
        <v/>
      </c>
      <c r="AI267" s="20">
        <f>IF(ISNUMBER(Y267),Y267,IFERROR((G267-AH267)*100,""))</f>
        <v/>
      </c>
      <c r="AJ267" s="20">
        <f>IF(ISNUMBER(V267),V267,IFERROR(XLOOKUP(VALUE(F267),PLC_Rates!$A$2:$A$1000,PLC_Rates!$B$2:$B$1000,""),""))</f>
        <v/>
      </c>
      <c r="AK267" s="20">
        <f>IF(ISNUMBER(Z267),Z267,IF(AE267=0,0,MAX(0,MIN(10,((VALUE(LEFT(TEXT(M267,"00000000"),4))-VALUE(LEFT(F267,4)))*12+(VALUE(MID(TEXT(M267,"00000000"),5,2))-VALUE(MID(F267,5,2))))/12))))</f>
        <v/>
      </c>
      <c r="AL267" s="20">
        <f>IFERROR(G267*100-AJ267,"")</f>
        <v/>
      </c>
      <c r="AM267" s="20">
        <f>IFERROR(G267*100-(AJ267+(1+AK267)*12.5),"")</f>
        <v/>
      </c>
      <c r="AN267" s="21">
        <f>IFERROR(MIN(H267/1000000,100),"")</f>
        <v/>
      </c>
      <c r="AO267" s="20">
        <f>IFERROR(INDEX(FHA_Lookup!$B$2:$B$11,MATCH(TRUE,ISNUMBER(SEARCH(FHA_Lookup!$A$2:$A$11,UPPER(SUBSTITUTE(O267," ","")))),0)),"OTHER")</f>
        <v/>
      </c>
      <c r="AP267" s="20">
        <f>IFERROR(INDEX(FHA_Lookup!$C$2:$C$11,MATCH(TRUE,ISNUMBER(SEARCH(FHA_Lookup!$A$2:$A$11,UPPER(SUBSTITUTE(O267," ","")))),0)),"OTHER")</f>
        <v/>
      </c>
      <c r="AQ267" s="20">
        <f>IF(AP267="NC",1,0)</f>
        <v/>
      </c>
      <c r="AR267" s="20">
        <f>IF(UPPER(TRIM(P267))="AFF",1,0)</f>
        <v/>
      </c>
      <c r="AS267" s="20">
        <f>IF(UPPER(TRIM(P267))="BAF",1,0)</f>
        <v/>
      </c>
      <c r="AT267" s="20">
        <f>IF(UPPER(TRIM(P267))="MKT",1,0)</f>
        <v/>
      </c>
      <c r="AU267" s="20">
        <f>IF(AO267="221d4",1,0)</f>
        <v/>
      </c>
      <c r="AV267" s="20">
        <f>IF(AO267="223a7",1,0)</f>
        <v/>
      </c>
      <c r="AW267" s="20">
        <f>IF(AO267="232",1,0)</f>
        <v/>
      </c>
      <c r="AX267" s="20">
        <f>IF(AO267="538",1,0)</f>
        <v/>
      </c>
      <c r="AY267" s="20">
        <f>IF(AO267="241",1,0)</f>
        <v/>
      </c>
      <c r="AZ267" s="20">
        <f>IF(AO267="220",1,0)</f>
        <v/>
      </c>
      <c r="BA267" s="20">
        <f>IF(AO267="OTHER",1,0)</f>
        <v/>
      </c>
      <c r="BB267" s="20">
        <f>IF(UPPER(TRIM(C267))="LM",1,0)</f>
        <v/>
      </c>
      <c r="BC267" s="20">
        <f>IF(UPPER(TRIM(C267))="PN",1,0)</f>
        <v/>
      </c>
      <c r="BD267" s="20">
        <f>IF(UPPER(TRIM(C267))="LS",1,0)</f>
        <v/>
      </c>
      <c r="BE267" s="20">
        <f>IF(UPPER(TRIM(C267))="RX",1,0)</f>
        <v/>
      </c>
      <c r="BF267" s="22">
        <f>IFERROR((Parameters!$C$6*AM267+Parameters!$C$7*MAX(AM267-(-150),0)+Parameters!$C$8*MAX(AM267-(-50),0)+Parameters!$C$9*MAX(AM267-(0),0)+Parameters!$C$10*MAX(AM267-(50),0)+Parameters!$C$11*MAX(AM267-(100),0)+Parameters!$C$12*MAX(AM267-(150),0)+Parameters!$C$13*MAX(AM267-(250),0)),0)</f>
        <v/>
      </c>
      <c r="BG267" s="22">
        <f>IFERROR((Parameters!$C$14*AA267+Parameters!$C$15*MAX(AA267-(12),0)+Parameters!$C$16*MAX(AA267-(36),0)+Parameters!$C$17*MAX(AA267-(60),0)+Parameters!$C$18*MAX(AA267-(84),0)+Parameters!$C$19*MAX(AA267-(120),0)+Parameters!$C$20*MAX(AA267-(180),0)),0)</f>
        <v/>
      </c>
      <c r="BH267" s="22">
        <f>IFERROR((Parameters!$C$21*AK267+Parameters!$C$22*MAX(AK267-(0),0)+Parameters!$C$23*MAX(AK267-(2),0)+Parameters!$C$24*MAX(AK267-(5),0)+Parameters!$C$25*MAX(AK267-(8),0)),0)</f>
        <v/>
      </c>
      <c r="BI267" s="22">
        <f>IFERROR((Parameters!$C$26*AI267+Parameters!$C$27*MAX(AI267-(-100),0)+Parameters!$C$28*MAX(AI267-(-25),0)+Parameters!$C$29*MAX(AI267-(25),0)+Parameters!$C$30*MAX(AI267-(100),0)),0)</f>
        <v/>
      </c>
      <c r="BJ267" s="22">
        <f>IFERROR((Parameters!$C$31*AN267+Parameters!$C$32*MAX(AN267-(2),0)+Parameters!$C$33*MAX(AN267-(10),0)+Parameters!$C$34*MAX(AN267-(25),0)),0)</f>
        <v/>
      </c>
      <c r="BK267" s="22">
        <f>IFERROR((Parameters!$C$35*AB267+Parameters!$C$36*MAX(AB267-(12),0)+Parameters!$C$37*MAX(AB267-(24),0)+Parameters!$C$38*MAX(AB267-(60),0)),0)</f>
        <v/>
      </c>
      <c r="BL267" s="22">
        <f>IFERROR((Parameters!$C$39*AC267+Parameters!$C$40*MAX(AC267-(6),0)+Parameters!$C$41*MAX(AC267-(12),0)+Parameters!$C$42*MAX(AC267-(24),0)),0)</f>
        <v/>
      </c>
      <c r="BM267" s="22">
        <f>IFERROR(Parameters!$C$43*(MAX(AM267,0)*MIN(MAX(AK267,0),10))/100,0)</f>
        <v/>
      </c>
      <c r="BN267" s="22">
        <f>Parameters!$C$44*AE267</f>
        <v/>
      </c>
      <c r="BO267" s="22">
        <f>Parameters!$C$45*AU267 + Parameters!$C$46*AV267 + Parameters!$C$47*AW267 + Parameters!$C$48*AX267 + Parameters!$C$49*AY267 + Parameters!$C$50*AZ267 + Parameters!$C$51*BA267</f>
        <v/>
      </c>
      <c r="BP267" s="22">
        <f>Parameters!$C$52*AQ267</f>
        <v/>
      </c>
      <c r="BQ267" s="22">
        <f>Parameters!$C$53*AR267+Parameters!$C$54*AS267+Parameters!$C$55*AT267</f>
        <v/>
      </c>
      <c r="BR267" s="22">
        <f>Parameters!$C$56*BB267+Parameters!$C$57*BC267+Parameters!$C$58*BD267+Parameters!$C$59*BE267</f>
        <v/>
      </c>
      <c r="BS267" s="23">
        <f>Parameters!$B$2</f>
        <v/>
      </c>
      <c r="BT267" s="23">
        <f>BS267+BF267 + BG267 + BH267 + BI267 + BJ267 + BK267 + BL267 + BM267 + BN267 + BO267 + BP267 + BQ267 + BR267</f>
        <v/>
      </c>
      <c r="BU267" s="24">
        <f>IF(AD267=1,0,1/(1+EXP(-BT267))*Parameters!$B$3)</f>
        <v/>
      </c>
      <c r="BV267" s="25">
        <f>(1-(1-BU267)^12)*100</f>
        <v/>
      </c>
      <c r="BW267" s="25">
        <f>IF(AD267=1,0,(1-(1-1/(1+EXP(-Parameters!$B$2)))^12)*100)</f>
        <v/>
      </c>
      <c r="BX267" s="25">
        <f>IF(AD267=1,0,BV267-(1-(1-(1/(1+EXP(-(BT267-BF267)))*Parameters!$B$3))^12)*100)</f>
        <v/>
      </c>
      <c r="BY267" s="25">
        <f>IF(AD267=1,0,BV267-(1-(1-(1/(1+EXP(-(BT267-BG267)))*Parameters!$B$3))^12)*100)</f>
        <v/>
      </c>
      <c r="BZ267" s="25">
        <f>IF(AD267=1,0,BV267-(1-(1-(1/(1+EXP(-(BT267-BH267)))*Parameters!$B$3))^12)*100)</f>
        <v/>
      </c>
      <c r="CA267" s="25">
        <f>IF(AD267=1,0,BV267-(1-(1-(1/(1+EXP(-(BT267-BI267)))*Parameters!$B$3))^12)*100)</f>
        <v/>
      </c>
      <c r="CB267" s="25">
        <f>IF(AD267=1,0,BV267-(1-(1-(1/(1+EXP(-(BT267-BJ267)))*Parameters!$B$3))^12)*100)</f>
        <v/>
      </c>
      <c r="CC267" s="25">
        <f>IF(AD267=1,0,BV267-(1-(1-(1/(1+EXP(-(BT267-BK267)))*Parameters!$B$3))^12)*100)</f>
        <v/>
      </c>
      <c r="CD267" s="25">
        <f>IF(AD267=1,0,BV267-(1-(1-(1/(1+EXP(-(BT267-BL267)))*Parameters!$B$3))^12)*100)</f>
        <v/>
      </c>
      <c r="CE267" s="25">
        <f>IF(AD267=1,0,BV267-(1-(1-(1/(1+EXP(-(BT267-BM267)))*Parameters!$B$3))^12)*100)</f>
        <v/>
      </c>
      <c r="CF267" s="25">
        <f>IF(AD267=1,0,BV267-(1-(1-(1/(1+EXP(-(BT267-BN267)))*Parameters!$B$3))^12)*100)</f>
        <v/>
      </c>
      <c r="CG267" s="25">
        <f>IF(AD267=1,0,BV267-(1-(1-(1/(1+EXP(-(BT267-BO267)))*Parameters!$B$3))^12)*100)</f>
        <v/>
      </c>
      <c r="CH267" s="25">
        <f>IF(AD267=1,0,BV267-(1-(1-(1/(1+EXP(-(BT267-BP267)))*Parameters!$B$3))^12)*100)</f>
        <v/>
      </c>
      <c r="CI267" s="25">
        <f>IF(AD267=1,0,BV267-(1-(1-(1/(1+EXP(-(BT267-BQ267)))*Parameters!$B$3))^12)*100)</f>
        <v/>
      </c>
      <c r="CJ267" s="25">
        <f>IF(AD267=1,0,BV267-(1-(1-(1/(1+EXP(-(BT267-BR267)))*Parameters!$B$3))^12)*100)</f>
        <v/>
      </c>
    </row>
    <row r="268">
      <c r="A268" s="17" t="inlineStr">
        <is>
          <t>GNR_USDA_538</t>
        </is>
      </c>
      <c r="B268" s="17" t="inlineStr">
        <is>
          <t>36193VJ29</t>
        </is>
      </c>
      <c r="C268" s="17" t="inlineStr">
        <is>
          <t>PN</t>
        </is>
      </c>
      <c r="D268" s="17" t="inlineStr">
        <is>
          <t>CHURCHILL MORTGAGE INVESTMENT LLC</t>
        </is>
      </c>
      <c r="E268" s="17" t="inlineStr">
        <is>
          <t>36193VJ29_038019239900493</t>
        </is>
      </c>
      <c r="F268" s="17" t="n">
        <v>202603</v>
      </c>
      <c r="G268" s="18" t="n">
        <v>3.91</v>
      </c>
      <c r="H268" s="19" t="n">
        <v>1745302.79</v>
      </c>
      <c r="I268" s="17" t="n">
        <v>477</v>
      </c>
      <c r="J268" s="17" t="n">
        <v>20161122</v>
      </c>
      <c r="K268" s="17" t="n">
        <v>20561201</v>
      </c>
      <c r="L268" s="17" t="n"/>
      <c r="M268" s="17" t="n">
        <v>20270101</v>
      </c>
      <c r="N268" s="17" t="n">
        <v>10</v>
      </c>
      <c r="O268" s="17" t="inlineStr">
        <is>
          <t>538</t>
        </is>
      </c>
      <c r="P268" s="17" t="n"/>
      <c r="Q268" s="17" t="n"/>
      <c r="R268" s="17" t="n"/>
      <c r="S268" s="17" t="n"/>
      <c r="T268" s="17" t="inlineStr">
        <is>
          <t>NC</t>
        </is>
      </c>
      <c r="U268" s="17" t="n">
        <v>0</v>
      </c>
      <c r="V268" s="17" t="n">
        <v>490.5</v>
      </c>
      <c r="W268" s="17" t="n">
        <v>112</v>
      </c>
      <c r="X268" s="17" t="n">
        <v>2016</v>
      </c>
      <c r="Y268" s="17" t="n">
        <v>46</v>
      </c>
      <c r="Z268" s="17" t="n">
        <v>1</v>
      </c>
      <c r="AA268" s="20">
        <f>IF(ISNUMBER(W268),W268,IFERROR(MAX(0,(VALUE(LEFT(F268,4))-VALUE(LEFT(TEXT(J268,"00000000"),4)))*12+(VALUE(MID(F268,5,2))-VALUE(MID(TEXT(J268,"00000000"),5,2)))),""))</f>
        <v/>
      </c>
      <c r="AB268" s="20">
        <f>IFERROR((VALUE(LEFT(TEXT(K268,"00000000"),4))-VALUE(LEFT(F268,4)))*12+(VALUE(MID(TEXT(K268,"00000000"),5,2))-VALUE(MID(F268,5,2))),"")</f>
        <v/>
      </c>
      <c r="AC268" s="20">
        <f>IF(OR(L268="",NOT(ISNUMBER(L268))),0,MAX(0,MIN(60,(VALUE(LEFT(F268,4))-VALUE(LEFT(TEXT(L268,"00000000"),4)))*12+(VALUE(MID(F268,5,2))-VALUE(MID(TEXT(L268,"00000000"),5,2))))))</f>
        <v/>
      </c>
      <c r="AD268" s="20">
        <f>IF(OR(L268="",NOT(ISNUMBER(L268))),0,IF(VALUE(F268)&lt;VALUE(LEFT(TEXT(L268,"00000000"),6)),1,0))</f>
        <v/>
      </c>
      <c r="AE268" s="20">
        <f>IF(OR(M268="",NOT(ISNUMBER(M268))),0,IF(VALUE(F268)&lt;VALUE(LEFT(TEXT(M268,"00000000"),6)),1,0))</f>
        <v/>
      </c>
      <c r="AF268" s="20">
        <f>IF(AND(AD268=0,AE268=0),1,0)</f>
        <v/>
      </c>
      <c r="AG268" s="20">
        <f>IF(ISNUMBER(X268),X268,IFERROR(VALUE(LEFT(TEXT(J268,"00000000"),4)),""))</f>
        <v/>
      </c>
      <c r="AH268" s="20">
        <f>IFERROR(XLOOKUP(AG268,Vintage_Rates!$A$2:$A$1000,Vintage_Rates!$B$2:$B$1000,""),"")</f>
        <v/>
      </c>
      <c r="AI268" s="20">
        <f>IF(ISNUMBER(Y268),Y268,IFERROR((G268-AH268)*100,""))</f>
        <v/>
      </c>
      <c r="AJ268" s="20">
        <f>IF(ISNUMBER(V268),V268,IFERROR(XLOOKUP(VALUE(F268),PLC_Rates!$A$2:$A$1000,PLC_Rates!$B$2:$B$1000,""),""))</f>
        <v/>
      </c>
      <c r="AK268" s="20">
        <f>IF(ISNUMBER(Z268),Z268,IF(AE268=0,0,MAX(0,MIN(10,((VALUE(LEFT(TEXT(M268,"00000000"),4))-VALUE(LEFT(F268,4)))*12+(VALUE(MID(TEXT(M268,"00000000"),5,2))-VALUE(MID(F268,5,2))))/12))))</f>
        <v/>
      </c>
      <c r="AL268" s="20">
        <f>IFERROR(G268*100-AJ268,"")</f>
        <v/>
      </c>
      <c r="AM268" s="20">
        <f>IFERROR(G268*100-(AJ268+(1+AK268)*12.5),"")</f>
        <v/>
      </c>
      <c r="AN268" s="21">
        <f>IFERROR(MIN(H268/1000000,100),"")</f>
        <v/>
      </c>
      <c r="AO268" s="20">
        <f>IFERROR(INDEX(FHA_Lookup!$B$2:$B$11,MATCH(TRUE,ISNUMBER(SEARCH(FHA_Lookup!$A$2:$A$11,UPPER(SUBSTITUTE(O268," ","")))),0)),"OTHER")</f>
        <v/>
      </c>
      <c r="AP268" s="20">
        <f>IFERROR(INDEX(FHA_Lookup!$C$2:$C$11,MATCH(TRUE,ISNUMBER(SEARCH(FHA_Lookup!$A$2:$A$11,UPPER(SUBSTITUTE(O268," ","")))),0)),"OTHER")</f>
        <v/>
      </c>
      <c r="AQ268" s="20">
        <f>IF(AP268="NC",1,0)</f>
        <v/>
      </c>
      <c r="AR268" s="20">
        <f>IF(UPPER(TRIM(P268))="AFF",1,0)</f>
        <v/>
      </c>
      <c r="AS268" s="20">
        <f>IF(UPPER(TRIM(P268))="BAF",1,0)</f>
        <v/>
      </c>
      <c r="AT268" s="20">
        <f>IF(UPPER(TRIM(P268))="MKT",1,0)</f>
        <v/>
      </c>
      <c r="AU268" s="20">
        <f>IF(AO268="221d4",1,0)</f>
        <v/>
      </c>
      <c r="AV268" s="20">
        <f>IF(AO268="223a7",1,0)</f>
        <v/>
      </c>
      <c r="AW268" s="20">
        <f>IF(AO268="232",1,0)</f>
        <v/>
      </c>
      <c r="AX268" s="20">
        <f>IF(AO268="538",1,0)</f>
        <v/>
      </c>
      <c r="AY268" s="20">
        <f>IF(AO268="241",1,0)</f>
        <v/>
      </c>
      <c r="AZ268" s="20">
        <f>IF(AO268="220",1,0)</f>
        <v/>
      </c>
      <c r="BA268" s="20">
        <f>IF(AO268="OTHER",1,0)</f>
        <v/>
      </c>
      <c r="BB268" s="20">
        <f>IF(UPPER(TRIM(C268))="LM",1,0)</f>
        <v/>
      </c>
      <c r="BC268" s="20">
        <f>IF(UPPER(TRIM(C268))="PN",1,0)</f>
        <v/>
      </c>
      <c r="BD268" s="20">
        <f>IF(UPPER(TRIM(C268))="LS",1,0)</f>
        <v/>
      </c>
      <c r="BE268" s="20">
        <f>IF(UPPER(TRIM(C268))="RX",1,0)</f>
        <v/>
      </c>
      <c r="BF268" s="22">
        <f>IFERROR((Parameters!$C$6*AM268+Parameters!$C$7*MAX(AM268-(-150),0)+Parameters!$C$8*MAX(AM268-(-50),0)+Parameters!$C$9*MAX(AM268-(0),0)+Parameters!$C$10*MAX(AM268-(50),0)+Parameters!$C$11*MAX(AM268-(100),0)+Parameters!$C$12*MAX(AM268-(150),0)+Parameters!$C$13*MAX(AM268-(250),0)),0)</f>
        <v/>
      </c>
      <c r="BG268" s="22">
        <f>IFERROR((Parameters!$C$14*AA268+Parameters!$C$15*MAX(AA268-(12),0)+Parameters!$C$16*MAX(AA268-(36),0)+Parameters!$C$17*MAX(AA268-(60),0)+Parameters!$C$18*MAX(AA268-(84),0)+Parameters!$C$19*MAX(AA268-(120),0)+Parameters!$C$20*MAX(AA268-(180),0)),0)</f>
        <v/>
      </c>
      <c r="BH268" s="22">
        <f>IFERROR((Parameters!$C$21*AK268+Parameters!$C$22*MAX(AK268-(0),0)+Parameters!$C$23*MAX(AK268-(2),0)+Parameters!$C$24*MAX(AK268-(5),0)+Parameters!$C$25*MAX(AK268-(8),0)),0)</f>
        <v/>
      </c>
      <c r="BI268" s="22">
        <f>IFERROR((Parameters!$C$26*AI268+Parameters!$C$27*MAX(AI268-(-100),0)+Parameters!$C$28*MAX(AI268-(-25),0)+Parameters!$C$29*MAX(AI268-(25),0)+Parameters!$C$30*MAX(AI268-(100),0)),0)</f>
        <v/>
      </c>
      <c r="BJ268" s="22">
        <f>IFERROR((Parameters!$C$31*AN268+Parameters!$C$32*MAX(AN268-(2),0)+Parameters!$C$33*MAX(AN268-(10),0)+Parameters!$C$34*MAX(AN268-(25),0)),0)</f>
        <v/>
      </c>
      <c r="BK268" s="22">
        <f>IFERROR((Parameters!$C$35*AB268+Parameters!$C$36*MAX(AB268-(12),0)+Parameters!$C$37*MAX(AB268-(24),0)+Parameters!$C$38*MAX(AB268-(60),0)),0)</f>
        <v/>
      </c>
      <c r="BL268" s="22">
        <f>IFERROR((Parameters!$C$39*AC268+Parameters!$C$40*MAX(AC268-(6),0)+Parameters!$C$41*MAX(AC268-(12),0)+Parameters!$C$42*MAX(AC268-(24),0)),0)</f>
        <v/>
      </c>
      <c r="BM268" s="22">
        <f>IFERROR(Parameters!$C$43*(MAX(AM268,0)*MIN(MAX(AK268,0),10))/100,0)</f>
        <v/>
      </c>
      <c r="BN268" s="22">
        <f>Parameters!$C$44*AE268</f>
        <v/>
      </c>
      <c r="BO268" s="22">
        <f>Parameters!$C$45*AU268 + Parameters!$C$46*AV268 + Parameters!$C$47*AW268 + Parameters!$C$48*AX268 + Parameters!$C$49*AY268 + Parameters!$C$50*AZ268 + Parameters!$C$51*BA268</f>
        <v/>
      </c>
      <c r="BP268" s="22">
        <f>Parameters!$C$52*AQ268</f>
        <v/>
      </c>
      <c r="BQ268" s="22">
        <f>Parameters!$C$53*AR268+Parameters!$C$54*AS268+Parameters!$C$55*AT268</f>
        <v/>
      </c>
      <c r="BR268" s="22">
        <f>Parameters!$C$56*BB268+Parameters!$C$57*BC268+Parameters!$C$58*BD268+Parameters!$C$59*BE268</f>
        <v/>
      </c>
      <c r="BS268" s="23">
        <f>Parameters!$B$2</f>
        <v/>
      </c>
      <c r="BT268" s="23">
        <f>BS268+BF268 + BG268 + BH268 + BI268 + BJ268 + BK268 + BL268 + BM268 + BN268 + BO268 + BP268 + BQ268 + BR268</f>
        <v/>
      </c>
      <c r="BU268" s="24">
        <f>IF(AD268=1,0,1/(1+EXP(-BT268))*Parameters!$B$3)</f>
        <v/>
      </c>
      <c r="BV268" s="25">
        <f>(1-(1-BU268)^12)*100</f>
        <v/>
      </c>
      <c r="BW268" s="25">
        <f>IF(AD268=1,0,(1-(1-1/(1+EXP(-Parameters!$B$2)))^12)*100)</f>
        <v/>
      </c>
      <c r="BX268" s="25">
        <f>IF(AD268=1,0,BV268-(1-(1-(1/(1+EXP(-(BT268-BF268)))*Parameters!$B$3))^12)*100)</f>
        <v/>
      </c>
      <c r="BY268" s="25">
        <f>IF(AD268=1,0,BV268-(1-(1-(1/(1+EXP(-(BT268-BG268)))*Parameters!$B$3))^12)*100)</f>
        <v/>
      </c>
      <c r="BZ268" s="25">
        <f>IF(AD268=1,0,BV268-(1-(1-(1/(1+EXP(-(BT268-BH268)))*Parameters!$B$3))^12)*100)</f>
        <v/>
      </c>
      <c r="CA268" s="25">
        <f>IF(AD268=1,0,BV268-(1-(1-(1/(1+EXP(-(BT268-BI268)))*Parameters!$B$3))^12)*100)</f>
        <v/>
      </c>
      <c r="CB268" s="25">
        <f>IF(AD268=1,0,BV268-(1-(1-(1/(1+EXP(-(BT268-BJ268)))*Parameters!$B$3))^12)*100)</f>
        <v/>
      </c>
      <c r="CC268" s="25">
        <f>IF(AD268=1,0,BV268-(1-(1-(1/(1+EXP(-(BT268-BK268)))*Parameters!$B$3))^12)*100)</f>
        <v/>
      </c>
      <c r="CD268" s="25">
        <f>IF(AD268=1,0,BV268-(1-(1-(1/(1+EXP(-(BT268-BL268)))*Parameters!$B$3))^12)*100)</f>
        <v/>
      </c>
      <c r="CE268" s="25">
        <f>IF(AD268=1,0,BV268-(1-(1-(1/(1+EXP(-(BT268-BM268)))*Parameters!$B$3))^12)*100)</f>
        <v/>
      </c>
      <c r="CF268" s="25">
        <f>IF(AD268=1,0,BV268-(1-(1-(1/(1+EXP(-(BT268-BN268)))*Parameters!$B$3))^12)*100)</f>
        <v/>
      </c>
      <c r="CG268" s="25">
        <f>IF(AD268=1,0,BV268-(1-(1-(1/(1+EXP(-(BT268-BO268)))*Parameters!$B$3))^12)*100)</f>
        <v/>
      </c>
      <c r="CH268" s="25">
        <f>IF(AD268=1,0,BV268-(1-(1-(1/(1+EXP(-(BT268-BP268)))*Parameters!$B$3))^12)*100)</f>
        <v/>
      </c>
      <c r="CI268" s="25">
        <f>IF(AD268=1,0,BV268-(1-(1-(1/(1+EXP(-(BT268-BQ268)))*Parameters!$B$3))^12)*100)</f>
        <v/>
      </c>
      <c r="CJ268" s="25">
        <f>IF(AD268=1,0,BV268-(1-(1-(1/(1+EXP(-(BT268-BR268)))*Parameters!$B$3))^12)*100)</f>
        <v/>
      </c>
    </row>
    <row r="269">
      <c r="A269" s="17" t="inlineStr">
        <is>
          <t>GNR_USDA_538</t>
        </is>
      </c>
      <c r="B269" s="17" t="inlineStr">
        <is>
          <t>3617LUBH0</t>
        </is>
      </c>
      <c r="C269" s="17" t="inlineStr">
        <is>
          <t>PN</t>
        </is>
      </c>
      <c r="D269" s="17" t="inlineStr">
        <is>
          <t>CHURCHILL MORTGAGE INVESTMENT LLC</t>
        </is>
      </c>
      <c r="E269" s="17" t="inlineStr">
        <is>
          <t>3617LUBH0_009028807499557</t>
        </is>
      </c>
      <c r="F269" s="17" t="n">
        <v>202603</v>
      </c>
      <c r="G269" s="18" t="n">
        <v>3.8</v>
      </c>
      <c r="H269" s="19" t="n">
        <v>3862097.13</v>
      </c>
      <c r="I269" s="17" t="n">
        <v>481</v>
      </c>
      <c r="J269" s="17" t="n">
        <v>20210413</v>
      </c>
      <c r="K269" s="17" t="n">
        <v>20610401</v>
      </c>
      <c r="L269" s="17" t="n"/>
      <c r="M269" s="17" t="n">
        <v>20330501</v>
      </c>
      <c r="N269" s="17" t="n">
        <v>10</v>
      </c>
      <c r="O269" s="17" t="inlineStr">
        <is>
          <t>538</t>
        </is>
      </c>
      <c r="P269" s="17" t="n"/>
      <c r="Q269" s="17" t="n"/>
      <c r="R269" s="17" t="n"/>
      <c r="S269" s="17" t="n"/>
      <c r="T269" s="17" t="inlineStr">
        <is>
          <t>FL</t>
        </is>
      </c>
      <c r="U269" s="17" t="n">
        <v>0</v>
      </c>
      <c r="V269" s="17" t="n">
        <v>490.5</v>
      </c>
      <c r="W269" s="17" t="n">
        <v>59</v>
      </c>
      <c r="X269" s="17" t="n">
        <v>2021</v>
      </c>
      <c r="Y269" s="17" t="n">
        <v>122</v>
      </c>
      <c r="Z269" s="17" t="n">
        <v>8</v>
      </c>
      <c r="AA269" s="20">
        <f>IF(ISNUMBER(W269),W269,IFERROR(MAX(0,(VALUE(LEFT(F269,4))-VALUE(LEFT(TEXT(J269,"00000000"),4)))*12+(VALUE(MID(F269,5,2))-VALUE(MID(TEXT(J269,"00000000"),5,2)))),""))</f>
        <v/>
      </c>
      <c r="AB269" s="20">
        <f>IFERROR((VALUE(LEFT(TEXT(K269,"00000000"),4))-VALUE(LEFT(F269,4)))*12+(VALUE(MID(TEXT(K269,"00000000"),5,2))-VALUE(MID(F269,5,2))),"")</f>
        <v/>
      </c>
      <c r="AC269" s="20">
        <f>IF(OR(L269="",NOT(ISNUMBER(L269))),0,MAX(0,MIN(60,(VALUE(LEFT(F269,4))-VALUE(LEFT(TEXT(L269,"00000000"),4)))*12+(VALUE(MID(F269,5,2))-VALUE(MID(TEXT(L269,"00000000"),5,2))))))</f>
        <v/>
      </c>
      <c r="AD269" s="20">
        <f>IF(OR(L269="",NOT(ISNUMBER(L269))),0,IF(VALUE(F269)&lt;VALUE(LEFT(TEXT(L269,"00000000"),6)),1,0))</f>
        <v/>
      </c>
      <c r="AE269" s="20">
        <f>IF(OR(M269="",NOT(ISNUMBER(M269))),0,IF(VALUE(F269)&lt;VALUE(LEFT(TEXT(M269,"00000000"),6)),1,0))</f>
        <v/>
      </c>
      <c r="AF269" s="20">
        <f>IF(AND(AD269=0,AE269=0),1,0)</f>
        <v/>
      </c>
      <c r="AG269" s="20">
        <f>IF(ISNUMBER(X269),X269,IFERROR(VALUE(LEFT(TEXT(J269,"00000000"),4)),""))</f>
        <v/>
      </c>
      <c r="AH269" s="20">
        <f>IFERROR(XLOOKUP(AG269,Vintage_Rates!$A$2:$A$1000,Vintage_Rates!$B$2:$B$1000,""),"")</f>
        <v/>
      </c>
      <c r="AI269" s="20">
        <f>IF(ISNUMBER(Y269),Y269,IFERROR((G269-AH269)*100,""))</f>
        <v/>
      </c>
      <c r="AJ269" s="20">
        <f>IF(ISNUMBER(V269),V269,IFERROR(XLOOKUP(VALUE(F269),PLC_Rates!$A$2:$A$1000,PLC_Rates!$B$2:$B$1000,""),""))</f>
        <v/>
      </c>
      <c r="AK269" s="20">
        <f>IF(ISNUMBER(Z269),Z269,IF(AE269=0,0,MAX(0,MIN(10,((VALUE(LEFT(TEXT(M269,"00000000"),4))-VALUE(LEFT(F269,4)))*12+(VALUE(MID(TEXT(M269,"00000000"),5,2))-VALUE(MID(F269,5,2))))/12))))</f>
        <v/>
      </c>
      <c r="AL269" s="20">
        <f>IFERROR(G269*100-AJ269,"")</f>
        <v/>
      </c>
      <c r="AM269" s="20">
        <f>IFERROR(G269*100-(AJ269+(1+AK269)*12.5),"")</f>
        <v/>
      </c>
      <c r="AN269" s="21">
        <f>IFERROR(MIN(H269/1000000,100),"")</f>
        <v/>
      </c>
      <c r="AO269" s="20">
        <f>IFERROR(INDEX(FHA_Lookup!$B$2:$B$11,MATCH(TRUE,ISNUMBER(SEARCH(FHA_Lookup!$A$2:$A$11,UPPER(SUBSTITUTE(O269," ","")))),0)),"OTHER")</f>
        <v/>
      </c>
      <c r="AP269" s="20">
        <f>IFERROR(INDEX(FHA_Lookup!$C$2:$C$11,MATCH(TRUE,ISNUMBER(SEARCH(FHA_Lookup!$A$2:$A$11,UPPER(SUBSTITUTE(O269," ","")))),0)),"OTHER")</f>
        <v/>
      </c>
      <c r="AQ269" s="20">
        <f>IF(AP269="NC",1,0)</f>
        <v/>
      </c>
      <c r="AR269" s="20">
        <f>IF(UPPER(TRIM(P269))="AFF",1,0)</f>
        <v/>
      </c>
      <c r="AS269" s="20">
        <f>IF(UPPER(TRIM(P269))="BAF",1,0)</f>
        <v/>
      </c>
      <c r="AT269" s="20">
        <f>IF(UPPER(TRIM(P269))="MKT",1,0)</f>
        <v/>
      </c>
      <c r="AU269" s="20">
        <f>IF(AO269="221d4",1,0)</f>
        <v/>
      </c>
      <c r="AV269" s="20">
        <f>IF(AO269="223a7",1,0)</f>
        <v/>
      </c>
      <c r="AW269" s="20">
        <f>IF(AO269="232",1,0)</f>
        <v/>
      </c>
      <c r="AX269" s="20">
        <f>IF(AO269="538",1,0)</f>
        <v/>
      </c>
      <c r="AY269" s="20">
        <f>IF(AO269="241",1,0)</f>
        <v/>
      </c>
      <c r="AZ269" s="20">
        <f>IF(AO269="220",1,0)</f>
        <v/>
      </c>
      <c r="BA269" s="20">
        <f>IF(AO269="OTHER",1,0)</f>
        <v/>
      </c>
      <c r="BB269" s="20">
        <f>IF(UPPER(TRIM(C269))="LM",1,0)</f>
        <v/>
      </c>
      <c r="BC269" s="20">
        <f>IF(UPPER(TRIM(C269))="PN",1,0)</f>
        <v/>
      </c>
      <c r="BD269" s="20">
        <f>IF(UPPER(TRIM(C269))="LS",1,0)</f>
        <v/>
      </c>
      <c r="BE269" s="20">
        <f>IF(UPPER(TRIM(C269))="RX",1,0)</f>
        <v/>
      </c>
      <c r="BF269" s="22">
        <f>IFERROR((Parameters!$C$6*AM269+Parameters!$C$7*MAX(AM269-(-150),0)+Parameters!$C$8*MAX(AM269-(-50),0)+Parameters!$C$9*MAX(AM269-(0),0)+Parameters!$C$10*MAX(AM269-(50),0)+Parameters!$C$11*MAX(AM269-(100),0)+Parameters!$C$12*MAX(AM269-(150),0)+Parameters!$C$13*MAX(AM269-(250),0)),0)</f>
        <v/>
      </c>
      <c r="BG269" s="22">
        <f>IFERROR((Parameters!$C$14*AA269+Parameters!$C$15*MAX(AA269-(12),0)+Parameters!$C$16*MAX(AA269-(36),0)+Parameters!$C$17*MAX(AA269-(60),0)+Parameters!$C$18*MAX(AA269-(84),0)+Parameters!$C$19*MAX(AA269-(120),0)+Parameters!$C$20*MAX(AA269-(180),0)),0)</f>
        <v/>
      </c>
      <c r="BH269" s="22">
        <f>IFERROR((Parameters!$C$21*AK269+Parameters!$C$22*MAX(AK269-(0),0)+Parameters!$C$23*MAX(AK269-(2),0)+Parameters!$C$24*MAX(AK269-(5),0)+Parameters!$C$25*MAX(AK269-(8),0)),0)</f>
        <v/>
      </c>
      <c r="BI269" s="22">
        <f>IFERROR((Parameters!$C$26*AI269+Parameters!$C$27*MAX(AI269-(-100),0)+Parameters!$C$28*MAX(AI269-(-25),0)+Parameters!$C$29*MAX(AI269-(25),0)+Parameters!$C$30*MAX(AI269-(100),0)),0)</f>
        <v/>
      </c>
      <c r="BJ269" s="22">
        <f>IFERROR((Parameters!$C$31*AN269+Parameters!$C$32*MAX(AN269-(2),0)+Parameters!$C$33*MAX(AN269-(10),0)+Parameters!$C$34*MAX(AN269-(25),0)),0)</f>
        <v/>
      </c>
      <c r="BK269" s="22">
        <f>IFERROR((Parameters!$C$35*AB269+Parameters!$C$36*MAX(AB269-(12),0)+Parameters!$C$37*MAX(AB269-(24),0)+Parameters!$C$38*MAX(AB269-(60),0)),0)</f>
        <v/>
      </c>
      <c r="BL269" s="22">
        <f>IFERROR((Parameters!$C$39*AC269+Parameters!$C$40*MAX(AC269-(6),0)+Parameters!$C$41*MAX(AC269-(12),0)+Parameters!$C$42*MAX(AC269-(24),0)),0)</f>
        <v/>
      </c>
      <c r="BM269" s="22">
        <f>IFERROR(Parameters!$C$43*(MAX(AM269,0)*MIN(MAX(AK269,0),10))/100,0)</f>
        <v/>
      </c>
      <c r="BN269" s="22">
        <f>Parameters!$C$44*AE269</f>
        <v/>
      </c>
      <c r="BO269" s="22">
        <f>Parameters!$C$45*AU269 + Parameters!$C$46*AV269 + Parameters!$C$47*AW269 + Parameters!$C$48*AX269 + Parameters!$C$49*AY269 + Parameters!$C$50*AZ269 + Parameters!$C$51*BA269</f>
        <v/>
      </c>
      <c r="BP269" s="22">
        <f>Parameters!$C$52*AQ269</f>
        <v/>
      </c>
      <c r="BQ269" s="22">
        <f>Parameters!$C$53*AR269+Parameters!$C$54*AS269+Parameters!$C$55*AT269</f>
        <v/>
      </c>
      <c r="BR269" s="22">
        <f>Parameters!$C$56*BB269+Parameters!$C$57*BC269+Parameters!$C$58*BD269+Parameters!$C$59*BE269</f>
        <v/>
      </c>
      <c r="BS269" s="23">
        <f>Parameters!$B$2</f>
        <v/>
      </c>
      <c r="BT269" s="23">
        <f>BS269+BF269 + BG269 + BH269 + BI269 + BJ269 + BK269 + BL269 + BM269 + BN269 + BO269 + BP269 + BQ269 + BR269</f>
        <v/>
      </c>
      <c r="BU269" s="24">
        <f>IF(AD269=1,0,1/(1+EXP(-BT269))*Parameters!$B$3)</f>
        <v/>
      </c>
      <c r="BV269" s="25">
        <f>(1-(1-BU269)^12)*100</f>
        <v/>
      </c>
      <c r="BW269" s="25">
        <f>IF(AD269=1,0,(1-(1-1/(1+EXP(-Parameters!$B$2)))^12)*100)</f>
        <v/>
      </c>
      <c r="BX269" s="25">
        <f>IF(AD269=1,0,BV269-(1-(1-(1/(1+EXP(-(BT269-BF269)))*Parameters!$B$3))^12)*100)</f>
        <v/>
      </c>
      <c r="BY269" s="25">
        <f>IF(AD269=1,0,BV269-(1-(1-(1/(1+EXP(-(BT269-BG269)))*Parameters!$B$3))^12)*100)</f>
        <v/>
      </c>
      <c r="BZ269" s="25">
        <f>IF(AD269=1,0,BV269-(1-(1-(1/(1+EXP(-(BT269-BH269)))*Parameters!$B$3))^12)*100)</f>
        <v/>
      </c>
      <c r="CA269" s="25">
        <f>IF(AD269=1,0,BV269-(1-(1-(1/(1+EXP(-(BT269-BI269)))*Parameters!$B$3))^12)*100)</f>
        <v/>
      </c>
      <c r="CB269" s="25">
        <f>IF(AD269=1,0,BV269-(1-(1-(1/(1+EXP(-(BT269-BJ269)))*Parameters!$B$3))^12)*100)</f>
        <v/>
      </c>
      <c r="CC269" s="25">
        <f>IF(AD269=1,0,BV269-(1-(1-(1/(1+EXP(-(BT269-BK269)))*Parameters!$B$3))^12)*100)</f>
        <v/>
      </c>
      <c r="CD269" s="25">
        <f>IF(AD269=1,0,BV269-(1-(1-(1/(1+EXP(-(BT269-BL269)))*Parameters!$B$3))^12)*100)</f>
        <v/>
      </c>
      <c r="CE269" s="25">
        <f>IF(AD269=1,0,BV269-(1-(1-(1/(1+EXP(-(BT269-BM269)))*Parameters!$B$3))^12)*100)</f>
        <v/>
      </c>
      <c r="CF269" s="25">
        <f>IF(AD269=1,0,BV269-(1-(1-(1/(1+EXP(-(BT269-BN269)))*Parameters!$B$3))^12)*100)</f>
        <v/>
      </c>
      <c r="CG269" s="25">
        <f>IF(AD269=1,0,BV269-(1-(1-(1/(1+EXP(-(BT269-BO269)))*Parameters!$B$3))^12)*100)</f>
        <v/>
      </c>
      <c r="CH269" s="25">
        <f>IF(AD269=1,0,BV269-(1-(1-(1/(1+EXP(-(BT269-BP269)))*Parameters!$B$3))^12)*100)</f>
        <v/>
      </c>
      <c r="CI269" s="25">
        <f>IF(AD269=1,0,BV269-(1-(1-(1/(1+EXP(-(BT269-BQ269)))*Parameters!$B$3))^12)*100)</f>
        <v/>
      </c>
      <c r="CJ269" s="25">
        <f>IF(AD269=1,0,BV269-(1-(1-(1/(1+EXP(-(BT269-BR269)))*Parameters!$B$3))^12)*100)</f>
        <v/>
      </c>
    </row>
    <row r="270">
      <c r="A270" s="17" t="inlineStr">
        <is>
          <t>GNR_USDA_538</t>
        </is>
      </c>
      <c r="B270" s="17" t="inlineStr">
        <is>
          <t>3617LUBY3</t>
        </is>
      </c>
      <c r="C270" s="17" t="inlineStr">
        <is>
          <t>LM</t>
        </is>
      </c>
      <c r="D270" s="17" t="inlineStr">
        <is>
          <t>CHURCHILL MORTGAGE INVESTMENT LLC</t>
        </is>
      </c>
      <c r="E270" s="17" t="inlineStr">
        <is>
          <t>3617LUBY3_022007632210208</t>
        </is>
      </c>
      <c r="F270" s="17" t="n">
        <v>202603</v>
      </c>
      <c r="G270" s="18" t="n">
        <v>3.68</v>
      </c>
      <c r="H270" s="19" t="n">
        <v>804988.14</v>
      </c>
      <c r="I270" s="17" t="n">
        <v>481</v>
      </c>
      <c r="J270" s="17" t="n">
        <v>20210726</v>
      </c>
      <c r="K270" s="17" t="n">
        <v>20590401</v>
      </c>
      <c r="L270" s="17" t="n">
        <v>20220901</v>
      </c>
      <c r="M270" s="17" t="n">
        <v>20310901</v>
      </c>
      <c r="N270" s="17" t="n">
        <v>9</v>
      </c>
      <c r="O270" s="17" t="inlineStr">
        <is>
          <t>538</t>
        </is>
      </c>
      <c r="P270" s="17" t="n"/>
      <c r="Q270" s="17" t="inlineStr">
        <is>
          <t>M</t>
        </is>
      </c>
      <c r="R270" s="17" t="n"/>
      <c r="S270" s="17" t="n">
        <v>1</v>
      </c>
      <c r="T270" s="17" t="inlineStr">
        <is>
          <t>LA</t>
        </is>
      </c>
      <c r="U270" s="17" t="n">
        <v>0</v>
      </c>
      <c r="V270" s="17" t="n">
        <v>490.5</v>
      </c>
      <c r="W270" s="17" t="n">
        <v>56</v>
      </c>
      <c r="X270" s="17" t="n">
        <v>2021</v>
      </c>
      <c r="Y270" s="17" t="n">
        <v>110</v>
      </c>
      <c r="Z270" s="17" t="n">
        <v>7</v>
      </c>
      <c r="AA270" s="20">
        <f>IF(ISNUMBER(W270),W270,IFERROR(MAX(0,(VALUE(LEFT(F270,4))-VALUE(LEFT(TEXT(J270,"00000000"),4)))*12+(VALUE(MID(F270,5,2))-VALUE(MID(TEXT(J270,"00000000"),5,2)))),""))</f>
        <v/>
      </c>
      <c r="AB270" s="20">
        <f>IFERROR((VALUE(LEFT(TEXT(K270,"00000000"),4))-VALUE(LEFT(F270,4)))*12+(VALUE(MID(TEXT(K270,"00000000"),5,2))-VALUE(MID(F270,5,2))),"")</f>
        <v/>
      </c>
      <c r="AC270" s="20">
        <f>IF(OR(L270="",NOT(ISNUMBER(L270))),0,MAX(0,MIN(60,(VALUE(LEFT(F270,4))-VALUE(LEFT(TEXT(L270,"00000000"),4)))*12+(VALUE(MID(F270,5,2))-VALUE(MID(TEXT(L270,"00000000"),5,2))))))</f>
        <v/>
      </c>
      <c r="AD270" s="20">
        <f>IF(OR(L270="",NOT(ISNUMBER(L270))),0,IF(VALUE(F270)&lt;VALUE(LEFT(TEXT(L270,"00000000"),6)),1,0))</f>
        <v/>
      </c>
      <c r="AE270" s="20">
        <f>IF(OR(M270="",NOT(ISNUMBER(M270))),0,IF(VALUE(F270)&lt;VALUE(LEFT(TEXT(M270,"00000000"),6)),1,0))</f>
        <v/>
      </c>
      <c r="AF270" s="20">
        <f>IF(AND(AD270=0,AE270=0),1,0)</f>
        <v/>
      </c>
      <c r="AG270" s="20">
        <f>IF(ISNUMBER(X270),X270,IFERROR(VALUE(LEFT(TEXT(J270,"00000000"),4)),""))</f>
        <v/>
      </c>
      <c r="AH270" s="20">
        <f>IFERROR(XLOOKUP(AG270,Vintage_Rates!$A$2:$A$1000,Vintage_Rates!$B$2:$B$1000,""),"")</f>
        <v/>
      </c>
      <c r="AI270" s="20">
        <f>IF(ISNUMBER(Y270),Y270,IFERROR((G270-AH270)*100,""))</f>
        <v/>
      </c>
      <c r="AJ270" s="20">
        <f>IF(ISNUMBER(V270),V270,IFERROR(XLOOKUP(VALUE(F270),PLC_Rates!$A$2:$A$1000,PLC_Rates!$B$2:$B$1000,""),""))</f>
        <v/>
      </c>
      <c r="AK270" s="20">
        <f>IF(ISNUMBER(Z270),Z270,IF(AE270=0,0,MAX(0,MIN(10,((VALUE(LEFT(TEXT(M270,"00000000"),4))-VALUE(LEFT(F270,4)))*12+(VALUE(MID(TEXT(M270,"00000000"),5,2))-VALUE(MID(F270,5,2))))/12))))</f>
        <v/>
      </c>
      <c r="AL270" s="20">
        <f>IFERROR(G270*100-AJ270,"")</f>
        <v/>
      </c>
      <c r="AM270" s="20">
        <f>IFERROR(G270*100-(AJ270+(1+AK270)*12.5),"")</f>
        <v/>
      </c>
      <c r="AN270" s="21">
        <f>IFERROR(MIN(H270/1000000,100),"")</f>
        <v/>
      </c>
      <c r="AO270" s="20">
        <f>IFERROR(INDEX(FHA_Lookup!$B$2:$B$11,MATCH(TRUE,ISNUMBER(SEARCH(FHA_Lookup!$A$2:$A$11,UPPER(SUBSTITUTE(O270," ","")))),0)),"OTHER")</f>
        <v/>
      </c>
      <c r="AP270" s="20">
        <f>IFERROR(INDEX(FHA_Lookup!$C$2:$C$11,MATCH(TRUE,ISNUMBER(SEARCH(FHA_Lookup!$A$2:$A$11,UPPER(SUBSTITUTE(O270," ","")))),0)),"OTHER")</f>
        <v/>
      </c>
      <c r="AQ270" s="20">
        <f>IF(AP270="NC",1,0)</f>
        <v/>
      </c>
      <c r="AR270" s="20">
        <f>IF(UPPER(TRIM(P270))="AFF",1,0)</f>
        <v/>
      </c>
      <c r="AS270" s="20">
        <f>IF(UPPER(TRIM(P270))="BAF",1,0)</f>
        <v/>
      </c>
      <c r="AT270" s="20">
        <f>IF(UPPER(TRIM(P270))="MKT",1,0)</f>
        <v/>
      </c>
      <c r="AU270" s="20">
        <f>IF(AO270="221d4",1,0)</f>
        <v/>
      </c>
      <c r="AV270" s="20">
        <f>IF(AO270="223a7",1,0)</f>
        <v/>
      </c>
      <c r="AW270" s="20">
        <f>IF(AO270="232",1,0)</f>
        <v/>
      </c>
      <c r="AX270" s="20">
        <f>IF(AO270="538",1,0)</f>
        <v/>
      </c>
      <c r="AY270" s="20">
        <f>IF(AO270="241",1,0)</f>
        <v/>
      </c>
      <c r="AZ270" s="20">
        <f>IF(AO270="220",1,0)</f>
        <v/>
      </c>
      <c r="BA270" s="20">
        <f>IF(AO270="OTHER",1,0)</f>
        <v/>
      </c>
      <c r="BB270" s="20">
        <f>IF(UPPER(TRIM(C270))="LM",1,0)</f>
        <v/>
      </c>
      <c r="BC270" s="20">
        <f>IF(UPPER(TRIM(C270))="PN",1,0)</f>
        <v/>
      </c>
      <c r="BD270" s="20">
        <f>IF(UPPER(TRIM(C270))="LS",1,0)</f>
        <v/>
      </c>
      <c r="BE270" s="20">
        <f>IF(UPPER(TRIM(C270))="RX",1,0)</f>
        <v/>
      </c>
      <c r="BF270" s="22">
        <f>IFERROR((Parameters!$C$6*AM270+Parameters!$C$7*MAX(AM270-(-150),0)+Parameters!$C$8*MAX(AM270-(-50),0)+Parameters!$C$9*MAX(AM270-(0),0)+Parameters!$C$10*MAX(AM270-(50),0)+Parameters!$C$11*MAX(AM270-(100),0)+Parameters!$C$12*MAX(AM270-(150),0)+Parameters!$C$13*MAX(AM270-(250),0)),0)</f>
        <v/>
      </c>
      <c r="BG270" s="22">
        <f>IFERROR((Parameters!$C$14*AA270+Parameters!$C$15*MAX(AA270-(12),0)+Parameters!$C$16*MAX(AA270-(36),0)+Parameters!$C$17*MAX(AA270-(60),0)+Parameters!$C$18*MAX(AA270-(84),0)+Parameters!$C$19*MAX(AA270-(120),0)+Parameters!$C$20*MAX(AA270-(180),0)),0)</f>
        <v/>
      </c>
      <c r="BH270" s="22">
        <f>IFERROR((Parameters!$C$21*AK270+Parameters!$C$22*MAX(AK270-(0),0)+Parameters!$C$23*MAX(AK270-(2),0)+Parameters!$C$24*MAX(AK270-(5),0)+Parameters!$C$25*MAX(AK270-(8),0)),0)</f>
        <v/>
      </c>
      <c r="BI270" s="22">
        <f>IFERROR((Parameters!$C$26*AI270+Parameters!$C$27*MAX(AI270-(-100),0)+Parameters!$C$28*MAX(AI270-(-25),0)+Parameters!$C$29*MAX(AI270-(25),0)+Parameters!$C$30*MAX(AI270-(100),0)),0)</f>
        <v/>
      </c>
      <c r="BJ270" s="22">
        <f>IFERROR((Parameters!$C$31*AN270+Parameters!$C$32*MAX(AN270-(2),0)+Parameters!$C$33*MAX(AN270-(10),0)+Parameters!$C$34*MAX(AN270-(25),0)),0)</f>
        <v/>
      </c>
      <c r="BK270" s="22">
        <f>IFERROR((Parameters!$C$35*AB270+Parameters!$C$36*MAX(AB270-(12),0)+Parameters!$C$37*MAX(AB270-(24),0)+Parameters!$C$38*MAX(AB270-(60),0)),0)</f>
        <v/>
      </c>
      <c r="BL270" s="22">
        <f>IFERROR((Parameters!$C$39*AC270+Parameters!$C$40*MAX(AC270-(6),0)+Parameters!$C$41*MAX(AC270-(12),0)+Parameters!$C$42*MAX(AC270-(24),0)),0)</f>
        <v/>
      </c>
      <c r="BM270" s="22">
        <f>IFERROR(Parameters!$C$43*(MAX(AM270,0)*MIN(MAX(AK270,0),10))/100,0)</f>
        <v/>
      </c>
      <c r="BN270" s="22">
        <f>Parameters!$C$44*AE270</f>
        <v/>
      </c>
      <c r="BO270" s="22">
        <f>Parameters!$C$45*AU270 + Parameters!$C$46*AV270 + Parameters!$C$47*AW270 + Parameters!$C$48*AX270 + Parameters!$C$49*AY270 + Parameters!$C$50*AZ270 + Parameters!$C$51*BA270</f>
        <v/>
      </c>
      <c r="BP270" s="22">
        <f>Parameters!$C$52*AQ270</f>
        <v/>
      </c>
      <c r="BQ270" s="22">
        <f>Parameters!$C$53*AR270+Parameters!$C$54*AS270+Parameters!$C$55*AT270</f>
        <v/>
      </c>
      <c r="BR270" s="22">
        <f>Parameters!$C$56*BB270+Parameters!$C$57*BC270+Parameters!$C$58*BD270+Parameters!$C$59*BE270</f>
        <v/>
      </c>
      <c r="BS270" s="23">
        <f>Parameters!$B$2</f>
        <v/>
      </c>
      <c r="BT270" s="23">
        <f>BS270+BF270 + BG270 + BH270 + BI270 + BJ270 + BK270 + BL270 + BM270 + BN270 + BO270 + BP270 + BQ270 + BR270</f>
        <v/>
      </c>
      <c r="BU270" s="24">
        <f>IF(AD270=1,0,1/(1+EXP(-BT270))*Parameters!$B$3)</f>
        <v/>
      </c>
      <c r="BV270" s="25">
        <f>(1-(1-BU270)^12)*100</f>
        <v/>
      </c>
      <c r="BW270" s="25">
        <f>IF(AD270=1,0,(1-(1-1/(1+EXP(-Parameters!$B$2)))^12)*100)</f>
        <v/>
      </c>
      <c r="BX270" s="25">
        <f>IF(AD270=1,0,BV270-(1-(1-(1/(1+EXP(-(BT270-BF270)))*Parameters!$B$3))^12)*100)</f>
        <v/>
      </c>
      <c r="BY270" s="25">
        <f>IF(AD270=1,0,BV270-(1-(1-(1/(1+EXP(-(BT270-BG270)))*Parameters!$B$3))^12)*100)</f>
        <v/>
      </c>
      <c r="BZ270" s="25">
        <f>IF(AD270=1,0,BV270-(1-(1-(1/(1+EXP(-(BT270-BH270)))*Parameters!$B$3))^12)*100)</f>
        <v/>
      </c>
      <c r="CA270" s="25">
        <f>IF(AD270=1,0,BV270-(1-(1-(1/(1+EXP(-(BT270-BI270)))*Parameters!$B$3))^12)*100)</f>
        <v/>
      </c>
      <c r="CB270" s="25">
        <f>IF(AD270=1,0,BV270-(1-(1-(1/(1+EXP(-(BT270-BJ270)))*Parameters!$B$3))^12)*100)</f>
        <v/>
      </c>
      <c r="CC270" s="25">
        <f>IF(AD270=1,0,BV270-(1-(1-(1/(1+EXP(-(BT270-BK270)))*Parameters!$B$3))^12)*100)</f>
        <v/>
      </c>
      <c r="CD270" s="25">
        <f>IF(AD270=1,0,BV270-(1-(1-(1/(1+EXP(-(BT270-BL270)))*Parameters!$B$3))^12)*100)</f>
        <v/>
      </c>
      <c r="CE270" s="25">
        <f>IF(AD270=1,0,BV270-(1-(1-(1/(1+EXP(-(BT270-BM270)))*Parameters!$B$3))^12)*100)</f>
        <v/>
      </c>
      <c r="CF270" s="25">
        <f>IF(AD270=1,0,BV270-(1-(1-(1/(1+EXP(-(BT270-BN270)))*Parameters!$B$3))^12)*100)</f>
        <v/>
      </c>
      <c r="CG270" s="25">
        <f>IF(AD270=1,0,BV270-(1-(1-(1/(1+EXP(-(BT270-BO270)))*Parameters!$B$3))^12)*100)</f>
        <v/>
      </c>
      <c r="CH270" s="25">
        <f>IF(AD270=1,0,BV270-(1-(1-(1/(1+EXP(-(BT270-BP270)))*Parameters!$B$3))^12)*100)</f>
        <v/>
      </c>
      <c r="CI270" s="25">
        <f>IF(AD270=1,0,BV270-(1-(1-(1/(1+EXP(-(BT270-BQ270)))*Parameters!$B$3))^12)*100)</f>
        <v/>
      </c>
      <c r="CJ270" s="25">
        <f>IF(AD270=1,0,BV270-(1-(1-(1/(1+EXP(-(BT270-BR270)))*Parameters!$B$3))^12)*100)</f>
        <v/>
      </c>
    </row>
    <row r="271">
      <c r="A271" s="17" t="inlineStr">
        <is>
          <t>GNR_USDA_538</t>
        </is>
      </c>
      <c r="B271" s="17" t="inlineStr">
        <is>
          <t>36195EVR6</t>
        </is>
      </c>
      <c r="C271" s="17" t="inlineStr">
        <is>
          <t>LS</t>
        </is>
      </c>
      <c r="D271" s="17" t="inlineStr">
        <is>
          <t>CHURCHILL MORTGAGE INVESTMENT LLC</t>
        </is>
      </c>
      <c r="E271" s="17" t="inlineStr">
        <is>
          <t>36195EVR6_009035346857129</t>
        </is>
      </c>
      <c r="F271" s="17" t="n">
        <v>202603</v>
      </c>
      <c r="G271" s="18" t="n">
        <v>3.7</v>
      </c>
      <c r="H271" s="19" t="n">
        <v>438506.33</v>
      </c>
      <c r="I271" s="17" t="n">
        <v>487</v>
      </c>
      <c r="J271" s="17" t="n">
        <v>20160901</v>
      </c>
      <c r="K271" s="17" t="n">
        <v>20561001</v>
      </c>
      <c r="L271" s="17" t="n"/>
      <c r="M271" s="17" t="n">
        <v>20261101</v>
      </c>
      <c r="N271" s="17" t="n">
        <v>10</v>
      </c>
      <c r="O271" s="17" t="inlineStr">
        <is>
          <t>538</t>
        </is>
      </c>
      <c r="P271" s="17" t="n"/>
      <c r="Q271" s="17" t="n"/>
      <c r="R271" s="17" t="n"/>
      <c r="S271" s="17" t="n"/>
      <c r="T271" s="17" t="inlineStr">
        <is>
          <t>FL</t>
        </is>
      </c>
      <c r="U271" s="17" t="n">
        <v>0</v>
      </c>
      <c r="V271" s="17" t="n">
        <v>490.5</v>
      </c>
      <c r="W271" s="17" t="n">
        <v>114</v>
      </c>
      <c r="X271" s="17" t="n">
        <v>2016</v>
      </c>
      <c r="Y271" s="17" t="n">
        <v>25</v>
      </c>
      <c r="Z271" s="17" t="n">
        <v>1</v>
      </c>
      <c r="AA271" s="20">
        <f>IF(ISNUMBER(W271),W271,IFERROR(MAX(0,(VALUE(LEFT(F271,4))-VALUE(LEFT(TEXT(J271,"00000000"),4)))*12+(VALUE(MID(F271,5,2))-VALUE(MID(TEXT(J271,"00000000"),5,2)))),""))</f>
        <v/>
      </c>
      <c r="AB271" s="20">
        <f>IFERROR((VALUE(LEFT(TEXT(K271,"00000000"),4))-VALUE(LEFT(F271,4)))*12+(VALUE(MID(TEXT(K271,"00000000"),5,2))-VALUE(MID(F271,5,2))),"")</f>
        <v/>
      </c>
      <c r="AC271" s="20">
        <f>IF(OR(L271="",NOT(ISNUMBER(L271))),0,MAX(0,MIN(60,(VALUE(LEFT(F271,4))-VALUE(LEFT(TEXT(L271,"00000000"),4)))*12+(VALUE(MID(F271,5,2))-VALUE(MID(TEXT(L271,"00000000"),5,2))))))</f>
        <v/>
      </c>
      <c r="AD271" s="20">
        <f>IF(OR(L271="",NOT(ISNUMBER(L271))),0,IF(VALUE(F271)&lt;VALUE(LEFT(TEXT(L271,"00000000"),6)),1,0))</f>
        <v/>
      </c>
      <c r="AE271" s="20">
        <f>IF(OR(M271="",NOT(ISNUMBER(M271))),0,IF(VALUE(F271)&lt;VALUE(LEFT(TEXT(M271,"00000000"),6)),1,0))</f>
        <v/>
      </c>
      <c r="AF271" s="20">
        <f>IF(AND(AD271=0,AE271=0),1,0)</f>
        <v/>
      </c>
      <c r="AG271" s="20">
        <f>IF(ISNUMBER(X271),X271,IFERROR(VALUE(LEFT(TEXT(J271,"00000000"),4)),""))</f>
        <v/>
      </c>
      <c r="AH271" s="20">
        <f>IFERROR(XLOOKUP(AG271,Vintage_Rates!$A$2:$A$1000,Vintage_Rates!$B$2:$B$1000,""),"")</f>
        <v/>
      </c>
      <c r="AI271" s="20">
        <f>IF(ISNUMBER(Y271),Y271,IFERROR((G271-AH271)*100,""))</f>
        <v/>
      </c>
      <c r="AJ271" s="20">
        <f>IF(ISNUMBER(V271),V271,IFERROR(XLOOKUP(VALUE(F271),PLC_Rates!$A$2:$A$1000,PLC_Rates!$B$2:$B$1000,""),""))</f>
        <v/>
      </c>
      <c r="AK271" s="20">
        <f>IF(ISNUMBER(Z271),Z271,IF(AE271=0,0,MAX(0,MIN(10,((VALUE(LEFT(TEXT(M271,"00000000"),4))-VALUE(LEFT(F271,4)))*12+(VALUE(MID(TEXT(M271,"00000000"),5,2))-VALUE(MID(F271,5,2))))/12))))</f>
        <v/>
      </c>
      <c r="AL271" s="20">
        <f>IFERROR(G271*100-AJ271,"")</f>
        <v/>
      </c>
      <c r="AM271" s="20">
        <f>IFERROR(G271*100-(AJ271+(1+AK271)*12.5),"")</f>
        <v/>
      </c>
      <c r="AN271" s="21">
        <f>IFERROR(MIN(H271/1000000,100),"")</f>
        <v/>
      </c>
      <c r="AO271" s="20">
        <f>IFERROR(INDEX(FHA_Lookup!$B$2:$B$11,MATCH(TRUE,ISNUMBER(SEARCH(FHA_Lookup!$A$2:$A$11,UPPER(SUBSTITUTE(O271," ","")))),0)),"OTHER")</f>
        <v/>
      </c>
      <c r="AP271" s="20">
        <f>IFERROR(INDEX(FHA_Lookup!$C$2:$C$11,MATCH(TRUE,ISNUMBER(SEARCH(FHA_Lookup!$A$2:$A$11,UPPER(SUBSTITUTE(O271," ","")))),0)),"OTHER")</f>
        <v/>
      </c>
      <c r="AQ271" s="20">
        <f>IF(AP271="NC",1,0)</f>
        <v/>
      </c>
      <c r="AR271" s="20">
        <f>IF(UPPER(TRIM(P271))="AFF",1,0)</f>
        <v/>
      </c>
      <c r="AS271" s="20">
        <f>IF(UPPER(TRIM(P271))="BAF",1,0)</f>
        <v/>
      </c>
      <c r="AT271" s="20">
        <f>IF(UPPER(TRIM(P271))="MKT",1,0)</f>
        <v/>
      </c>
      <c r="AU271" s="20">
        <f>IF(AO271="221d4",1,0)</f>
        <v/>
      </c>
      <c r="AV271" s="20">
        <f>IF(AO271="223a7",1,0)</f>
        <v/>
      </c>
      <c r="AW271" s="20">
        <f>IF(AO271="232",1,0)</f>
        <v/>
      </c>
      <c r="AX271" s="20">
        <f>IF(AO271="538",1,0)</f>
        <v/>
      </c>
      <c r="AY271" s="20">
        <f>IF(AO271="241",1,0)</f>
        <v/>
      </c>
      <c r="AZ271" s="20">
        <f>IF(AO271="220",1,0)</f>
        <v/>
      </c>
      <c r="BA271" s="20">
        <f>IF(AO271="OTHER",1,0)</f>
        <v/>
      </c>
      <c r="BB271" s="20">
        <f>IF(UPPER(TRIM(C271))="LM",1,0)</f>
        <v/>
      </c>
      <c r="BC271" s="20">
        <f>IF(UPPER(TRIM(C271))="PN",1,0)</f>
        <v/>
      </c>
      <c r="BD271" s="20">
        <f>IF(UPPER(TRIM(C271))="LS",1,0)</f>
        <v/>
      </c>
      <c r="BE271" s="20">
        <f>IF(UPPER(TRIM(C271))="RX",1,0)</f>
        <v/>
      </c>
      <c r="BF271" s="22">
        <f>IFERROR((Parameters!$C$6*AM271+Parameters!$C$7*MAX(AM271-(-150),0)+Parameters!$C$8*MAX(AM271-(-50),0)+Parameters!$C$9*MAX(AM271-(0),0)+Parameters!$C$10*MAX(AM271-(50),0)+Parameters!$C$11*MAX(AM271-(100),0)+Parameters!$C$12*MAX(AM271-(150),0)+Parameters!$C$13*MAX(AM271-(250),0)),0)</f>
        <v/>
      </c>
      <c r="BG271" s="22">
        <f>IFERROR((Parameters!$C$14*AA271+Parameters!$C$15*MAX(AA271-(12),0)+Parameters!$C$16*MAX(AA271-(36),0)+Parameters!$C$17*MAX(AA271-(60),0)+Parameters!$C$18*MAX(AA271-(84),0)+Parameters!$C$19*MAX(AA271-(120),0)+Parameters!$C$20*MAX(AA271-(180),0)),0)</f>
        <v/>
      </c>
      <c r="BH271" s="22">
        <f>IFERROR((Parameters!$C$21*AK271+Parameters!$C$22*MAX(AK271-(0),0)+Parameters!$C$23*MAX(AK271-(2),0)+Parameters!$C$24*MAX(AK271-(5),0)+Parameters!$C$25*MAX(AK271-(8),0)),0)</f>
        <v/>
      </c>
      <c r="BI271" s="22">
        <f>IFERROR((Parameters!$C$26*AI271+Parameters!$C$27*MAX(AI271-(-100),0)+Parameters!$C$28*MAX(AI271-(-25),0)+Parameters!$C$29*MAX(AI271-(25),0)+Parameters!$C$30*MAX(AI271-(100),0)),0)</f>
        <v/>
      </c>
      <c r="BJ271" s="22">
        <f>IFERROR((Parameters!$C$31*AN271+Parameters!$C$32*MAX(AN271-(2),0)+Parameters!$C$33*MAX(AN271-(10),0)+Parameters!$C$34*MAX(AN271-(25),0)),0)</f>
        <v/>
      </c>
      <c r="BK271" s="22">
        <f>IFERROR((Parameters!$C$35*AB271+Parameters!$C$36*MAX(AB271-(12),0)+Parameters!$C$37*MAX(AB271-(24),0)+Parameters!$C$38*MAX(AB271-(60),0)),0)</f>
        <v/>
      </c>
      <c r="BL271" s="22">
        <f>IFERROR((Parameters!$C$39*AC271+Parameters!$C$40*MAX(AC271-(6),0)+Parameters!$C$41*MAX(AC271-(12),0)+Parameters!$C$42*MAX(AC271-(24),0)),0)</f>
        <v/>
      </c>
      <c r="BM271" s="22">
        <f>IFERROR(Parameters!$C$43*(MAX(AM271,0)*MIN(MAX(AK271,0),10))/100,0)</f>
        <v/>
      </c>
      <c r="BN271" s="22">
        <f>Parameters!$C$44*AE271</f>
        <v/>
      </c>
      <c r="BO271" s="22">
        <f>Parameters!$C$45*AU271 + Parameters!$C$46*AV271 + Parameters!$C$47*AW271 + Parameters!$C$48*AX271 + Parameters!$C$49*AY271 + Parameters!$C$50*AZ271 + Parameters!$C$51*BA271</f>
        <v/>
      </c>
      <c r="BP271" s="22">
        <f>Parameters!$C$52*AQ271</f>
        <v/>
      </c>
      <c r="BQ271" s="22">
        <f>Parameters!$C$53*AR271+Parameters!$C$54*AS271+Parameters!$C$55*AT271</f>
        <v/>
      </c>
      <c r="BR271" s="22">
        <f>Parameters!$C$56*BB271+Parameters!$C$57*BC271+Parameters!$C$58*BD271+Parameters!$C$59*BE271</f>
        <v/>
      </c>
      <c r="BS271" s="23">
        <f>Parameters!$B$2</f>
        <v/>
      </c>
      <c r="BT271" s="23">
        <f>BS271+BF271 + BG271 + BH271 + BI271 + BJ271 + BK271 + BL271 + BM271 + BN271 + BO271 + BP271 + BQ271 + BR271</f>
        <v/>
      </c>
      <c r="BU271" s="24">
        <f>IF(AD271=1,0,1/(1+EXP(-BT271))*Parameters!$B$3)</f>
        <v/>
      </c>
      <c r="BV271" s="25">
        <f>(1-(1-BU271)^12)*100</f>
        <v/>
      </c>
      <c r="BW271" s="25">
        <f>IF(AD271=1,0,(1-(1-1/(1+EXP(-Parameters!$B$2)))^12)*100)</f>
        <v/>
      </c>
      <c r="BX271" s="25">
        <f>IF(AD271=1,0,BV271-(1-(1-(1/(1+EXP(-(BT271-BF271)))*Parameters!$B$3))^12)*100)</f>
        <v/>
      </c>
      <c r="BY271" s="25">
        <f>IF(AD271=1,0,BV271-(1-(1-(1/(1+EXP(-(BT271-BG271)))*Parameters!$B$3))^12)*100)</f>
        <v/>
      </c>
      <c r="BZ271" s="25">
        <f>IF(AD271=1,0,BV271-(1-(1-(1/(1+EXP(-(BT271-BH271)))*Parameters!$B$3))^12)*100)</f>
        <v/>
      </c>
      <c r="CA271" s="25">
        <f>IF(AD271=1,0,BV271-(1-(1-(1/(1+EXP(-(BT271-BI271)))*Parameters!$B$3))^12)*100)</f>
        <v/>
      </c>
      <c r="CB271" s="25">
        <f>IF(AD271=1,0,BV271-(1-(1-(1/(1+EXP(-(BT271-BJ271)))*Parameters!$B$3))^12)*100)</f>
        <v/>
      </c>
      <c r="CC271" s="25">
        <f>IF(AD271=1,0,BV271-(1-(1-(1/(1+EXP(-(BT271-BK271)))*Parameters!$B$3))^12)*100)</f>
        <v/>
      </c>
      <c r="CD271" s="25">
        <f>IF(AD271=1,0,BV271-(1-(1-(1/(1+EXP(-(BT271-BL271)))*Parameters!$B$3))^12)*100)</f>
        <v/>
      </c>
      <c r="CE271" s="25">
        <f>IF(AD271=1,0,BV271-(1-(1-(1/(1+EXP(-(BT271-BM271)))*Parameters!$B$3))^12)*100)</f>
        <v/>
      </c>
      <c r="CF271" s="25">
        <f>IF(AD271=1,0,BV271-(1-(1-(1/(1+EXP(-(BT271-BN271)))*Parameters!$B$3))^12)*100)</f>
        <v/>
      </c>
      <c r="CG271" s="25">
        <f>IF(AD271=1,0,BV271-(1-(1-(1/(1+EXP(-(BT271-BO271)))*Parameters!$B$3))^12)*100)</f>
        <v/>
      </c>
      <c r="CH271" s="25">
        <f>IF(AD271=1,0,BV271-(1-(1-(1/(1+EXP(-(BT271-BP271)))*Parameters!$B$3))^12)*100)</f>
        <v/>
      </c>
      <c r="CI271" s="25">
        <f>IF(AD271=1,0,BV271-(1-(1-(1/(1+EXP(-(BT271-BQ271)))*Parameters!$B$3))^12)*100)</f>
        <v/>
      </c>
      <c r="CJ271" s="25">
        <f>IF(AD271=1,0,BV271-(1-(1-(1/(1+EXP(-(BT271-BR271)))*Parameters!$B$3))^12)*100)</f>
        <v/>
      </c>
    </row>
    <row r="272">
      <c r="A272" s="17" t="inlineStr">
        <is>
          <t>GNR_USDA_538</t>
        </is>
      </c>
      <c r="B272" s="17" t="inlineStr">
        <is>
          <t>36195CDX7</t>
        </is>
      </c>
      <c r="C272" s="17" t="inlineStr">
        <is>
          <t>LS</t>
        </is>
      </c>
      <c r="D272" s="17" t="inlineStr">
        <is>
          <t>BONNEVILLE MORTGAGE COMPANY, LLC</t>
        </is>
      </c>
      <c r="E272" s="17" t="inlineStr">
        <is>
          <t>36195CDX7_004052074228826</t>
        </is>
      </c>
      <c r="F272" s="17" t="n">
        <v>202603</v>
      </c>
      <c r="G272" s="18" t="n">
        <v>3.7</v>
      </c>
      <c r="H272" s="19" t="n">
        <v>779392.14</v>
      </c>
      <c r="I272" s="17" t="n">
        <v>479</v>
      </c>
      <c r="J272" s="17" t="n">
        <v>20160901</v>
      </c>
      <c r="K272" s="17" t="n">
        <v>20560801</v>
      </c>
      <c r="L272" s="17" t="n"/>
      <c r="M272" s="17" t="n">
        <v>20261001</v>
      </c>
      <c r="N272" s="17" t="n">
        <v>10</v>
      </c>
      <c r="O272" s="17" t="inlineStr">
        <is>
          <t>538/515</t>
        </is>
      </c>
      <c r="P272" s="17" t="n"/>
      <c r="Q272" s="17" t="n"/>
      <c r="R272" s="17" t="n"/>
      <c r="S272" s="17" t="n"/>
      <c r="T272" s="17" t="inlineStr">
        <is>
          <t>CA</t>
        </is>
      </c>
      <c r="U272" s="17" t="n">
        <v>0</v>
      </c>
      <c r="V272" s="17" t="n">
        <v>490.5</v>
      </c>
      <c r="W272" s="17" t="n">
        <v>114</v>
      </c>
      <c r="X272" s="17" t="n">
        <v>2016</v>
      </c>
      <c r="Y272" s="17" t="n">
        <v>25</v>
      </c>
      <c r="Z272" s="17" t="n">
        <v>1</v>
      </c>
      <c r="AA272" s="20">
        <f>IF(ISNUMBER(W272),W272,IFERROR(MAX(0,(VALUE(LEFT(F272,4))-VALUE(LEFT(TEXT(J272,"00000000"),4)))*12+(VALUE(MID(F272,5,2))-VALUE(MID(TEXT(J272,"00000000"),5,2)))),""))</f>
        <v/>
      </c>
      <c r="AB272" s="20">
        <f>IFERROR((VALUE(LEFT(TEXT(K272,"00000000"),4))-VALUE(LEFT(F272,4)))*12+(VALUE(MID(TEXT(K272,"00000000"),5,2))-VALUE(MID(F272,5,2))),"")</f>
        <v/>
      </c>
      <c r="AC272" s="20">
        <f>IF(OR(L272="",NOT(ISNUMBER(L272))),0,MAX(0,MIN(60,(VALUE(LEFT(F272,4))-VALUE(LEFT(TEXT(L272,"00000000"),4)))*12+(VALUE(MID(F272,5,2))-VALUE(MID(TEXT(L272,"00000000"),5,2))))))</f>
        <v/>
      </c>
      <c r="AD272" s="20">
        <f>IF(OR(L272="",NOT(ISNUMBER(L272))),0,IF(VALUE(F272)&lt;VALUE(LEFT(TEXT(L272,"00000000"),6)),1,0))</f>
        <v/>
      </c>
      <c r="AE272" s="20">
        <f>IF(OR(M272="",NOT(ISNUMBER(M272))),0,IF(VALUE(F272)&lt;VALUE(LEFT(TEXT(M272,"00000000"),6)),1,0))</f>
        <v/>
      </c>
      <c r="AF272" s="20">
        <f>IF(AND(AD272=0,AE272=0),1,0)</f>
        <v/>
      </c>
      <c r="AG272" s="20">
        <f>IF(ISNUMBER(X272),X272,IFERROR(VALUE(LEFT(TEXT(J272,"00000000"),4)),""))</f>
        <v/>
      </c>
      <c r="AH272" s="20">
        <f>IFERROR(XLOOKUP(AG272,Vintage_Rates!$A$2:$A$1000,Vintage_Rates!$B$2:$B$1000,""),"")</f>
        <v/>
      </c>
      <c r="AI272" s="20">
        <f>IF(ISNUMBER(Y272),Y272,IFERROR((G272-AH272)*100,""))</f>
        <v/>
      </c>
      <c r="AJ272" s="20">
        <f>IF(ISNUMBER(V272),V272,IFERROR(XLOOKUP(VALUE(F272),PLC_Rates!$A$2:$A$1000,PLC_Rates!$B$2:$B$1000,""),""))</f>
        <v/>
      </c>
      <c r="AK272" s="20">
        <f>IF(ISNUMBER(Z272),Z272,IF(AE272=0,0,MAX(0,MIN(10,((VALUE(LEFT(TEXT(M272,"00000000"),4))-VALUE(LEFT(F272,4)))*12+(VALUE(MID(TEXT(M272,"00000000"),5,2))-VALUE(MID(F272,5,2))))/12))))</f>
        <v/>
      </c>
      <c r="AL272" s="20">
        <f>IFERROR(G272*100-AJ272,"")</f>
        <v/>
      </c>
      <c r="AM272" s="20">
        <f>IFERROR(G272*100-(AJ272+(1+AK272)*12.5),"")</f>
        <v/>
      </c>
      <c r="AN272" s="21">
        <f>IFERROR(MIN(H272/1000000,100),"")</f>
        <v/>
      </c>
      <c r="AO272" s="20">
        <f>IFERROR(INDEX(FHA_Lookup!$B$2:$B$11,MATCH(TRUE,ISNUMBER(SEARCH(FHA_Lookup!$A$2:$A$11,UPPER(SUBSTITUTE(O272," ","")))),0)),"OTHER")</f>
        <v/>
      </c>
      <c r="AP272" s="20">
        <f>IFERROR(INDEX(FHA_Lookup!$C$2:$C$11,MATCH(TRUE,ISNUMBER(SEARCH(FHA_Lookup!$A$2:$A$11,UPPER(SUBSTITUTE(O272," ","")))),0)),"OTHER")</f>
        <v/>
      </c>
      <c r="AQ272" s="20">
        <f>IF(AP272="NC",1,0)</f>
        <v/>
      </c>
      <c r="AR272" s="20">
        <f>IF(UPPER(TRIM(P272))="AFF",1,0)</f>
        <v/>
      </c>
      <c r="AS272" s="20">
        <f>IF(UPPER(TRIM(P272))="BAF",1,0)</f>
        <v/>
      </c>
      <c r="AT272" s="20">
        <f>IF(UPPER(TRIM(P272))="MKT",1,0)</f>
        <v/>
      </c>
      <c r="AU272" s="20">
        <f>IF(AO272="221d4",1,0)</f>
        <v/>
      </c>
      <c r="AV272" s="20">
        <f>IF(AO272="223a7",1,0)</f>
        <v/>
      </c>
      <c r="AW272" s="20">
        <f>IF(AO272="232",1,0)</f>
        <v/>
      </c>
      <c r="AX272" s="20">
        <f>IF(AO272="538",1,0)</f>
        <v/>
      </c>
      <c r="AY272" s="20">
        <f>IF(AO272="241",1,0)</f>
        <v/>
      </c>
      <c r="AZ272" s="20">
        <f>IF(AO272="220",1,0)</f>
        <v/>
      </c>
      <c r="BA272" s="20">
        <f>IF(AO272="OTHER",1,0)</f>
        <v/>
      </c>
      <c r="BB272" s="20">
        <f>IF(UPPER(TRIM(C272))="LM",1,0)</f>
        <v/>
      </c>
      <c r="BC272" s="20">
        <f>IF(UPPER(TRIM(C272))="PN",1,0)</f>
        <v/>
      </c>
      <c r="BD272" s="20">
        <f>IF(UPPER(TRIM(C272))="LS",1,0)</f>
        <v/>
      </c>
      <c r="BE272" s="20">
        <f>IF(UPPER(TRIM(C272))="RX",1,0)</f>
        <v/>
      </c>
      <c r="BF272" s="22">
        <f>IFERROR((Parameters!$C$6*AM272+Parameters!$C$7*MAX(AM272-(-150),0)+Parameters!$C$8*MAX(AM272-(-50),0)+Parameters!$C$9*MAX(AM272-(0),0)+Parameters!$C$10*MAX(AM272-(50),0)+Parameters!$C$11*MAX(AM272-(100),0)+Parameters!$C$12*MAX(AM272-(150),0)+Parameters!$C$13*MAX(AM272-(250),0)),0)</f>
        <v/>
      </c>
      <c r="BG272" s="22">
        <f>IFERROR((Parameters!$C$14*AA272+Parameters!$C$15*MAX(AA272-(12),0)+Parameters!$C$16*MAX(AA272-(36),0)+Parameters!$C$17*MAX(AA272-(60),0)+Parameters!$C$18*MAX(AA272-(84),0)+Parameters!$C$19*MAX(AA272-(120),0)+Parameters!$C$20*MAX(AA272-(180),0)),0)</f>
        <v/>
      </c>
      <c r="BH272" s="22">
        <f>IFERROR((Parameters!$C$21*AK272+Parameters!$C$22*MAX(AK272-(0),0)+Parameters!$C$23*MAX(AK272-(2),0)+Parameters!$C$24*MAX(AK272-(5),0)+Parameters!$C$25*MAX(AK272-(8),0)),0)</f>
        <v/>
      </c>
      <c r="BI272" s="22">
        <f>IFERROR((Parameters!$C$26*AI272+Parameters!$C$27*MAX(AI272-(-100),0)+Parameters!$C$28*MAX(AI272-(-25),0)+Parameters!$C$29*MAX(AI272-(25),0)+Parameters!$C$30*MAX(AI272-(100),0)),0)</f>
        <v/>
      </c>
      <c r="BJ272" s="22">
        <f>IFERROR((Parameters!$C$31*AN272+Parameters!$C$32*MAX(AN272-(2),0)+Parameters!$C$33*MAX(AN272-(10),0)+Parameters!$C$34*MAX(AN272-(25),0)),0)</f>
        <v/>
      </c>
      <c r="BK272" s="22">
        <f>IFERROR((Parameters!$C$35*AB272+Parameters!$C$36*MAX(AB272-(12),0)+Parameters!$C$37*MAX(AB272-(24),0)+Parameters!$C$38*MAX(AB272-(60),0)),0)</f>
        <v/>
      </c>
      <c r="BL272" s="22">
        <f>IFERROR((Parameters!$C$39*AC272+Parameters!$C$40*MAX(AC272-(6),0)+Parameters!$C$41*MAX(AC272-(12),0)+Parameters!$C$42*MAX(AC272-(24),0)),0)</f>
        <v/>
      </c>
      <c r="BM272" s="22">
        <f>IFERROR(Parameters!$C$43*(MAX(AM272,0)*MIN(MAX(AK272,0),10))/100,0)</f>
        <v/>
      </c>
      <c r="BN272" s="22">
        <f>Parameters!$C$44*AE272</f>
        <v/>
      </c>
      <c r="BO272" s="22">
        <f>Parameters!$C$45*AU272 + Parameters!$C$46*AV272 + Parameters!$C$47*AW272 + Parameters!$C$48*AX272 + Parameters!$C$49*AY272 + Parameters!$C$50*AZ272 + Parameters!$C$51*BA272</f>
        <v/>
      </c>
      <c r="BP272" s="22">
        <f>Parameters!$C$52*AQ272</f>
        <v/>
      </c>
      <c r="BQ272" s="22">
        <f>Parameters!$C$53*AR272+Parameters!$C$54*AS272+Parameters!$C$55*AT272</f>
        <v/>
      </c>
      <c r="BR272" s="22">
        <f>Parameters!$C$56*BB272+Parameters!$C$57*BC272+Parameters!$C$58*BD272+Parameters!$C$59*BE272</f>
        <v/>
      </c>
      <c r="BS272" s="23">
        <f>Parameters!$B$2</f>
        <v/>
      </c>
      <c r="BT272" s="23">
        <f>BS272+BF272 + BG272 + BH272 + BI272 + BJ272 + BK272 + BL272 + BM272 + BN272 + BO272 + BP272 + BQ272 + BR272</f>
        <v/>
      </c>
      <c r="BU272" s="24">
        <f>IF(AD272=1,0,1/(1+EXP(-BT272))*Parameters!$B$3)</f>
        <v/>
      </c>
      <c r="BV272" s="25">
        <f>(1-(1-BU272)^12)*100</f>
        <v/>
      </c>
      <c r="BW272" s="25">
        <f>IF(AD272=1,0,(1-(1-1/(1+EXP(-Parameters!$B$2)))^12)*100)</f>
        <v/>
      </c>
      <c r="BX272" s="25">
        <f>IF(AD272=1,0,BV272-(1-(1-(1/(1+EXP(-(BT272-BF272)))*Parameters!$B$3))^12)*100)</f>
        <v/>
      </c>
      <c r="BY272" s="25">
        <f>IF(AD272=1,0,BV272-(1-(1-(1/(1+EXP(-(BT272-BG272)))*Parameters!$B$3))^12)*100)</f>
        <v/>
      </c>
      <c r="BZ272" s="25">
        <f>IF(AD272=1,0,BV272-(1-(1-(1/(1+EXP(-(BT272-BH272)))*Parameters!$B$3))^12)*100)</f>
        <v/>
      </c>
      <c r="CA272" s="25">
        <f>IF(AD272=1,0,BV272-(1-(1-(1/(1+EXP(-(BT272-BI272)))*Parameters!$B$3))^12)*100)</f>
        <v/>
      </c>
      <c r="CB272" s="25">
        <f>IF(AD272=1,0,BV272-(1-(1-(1/(1+EXP(-(BT272-BJ272)))*Parameters!$B$3))^12)*100)</f>
        <v/>
      </c>
      <c r="CC272" s="25">
        <f>IF(AD272=1,0,BV272-(1-(1-(1/(1+EXP(-(BT272-BK272)))*Parameters!$B$3))^12)*100)</f>
        <v/>
      </c>
      <c r="CD272" s="25">
        <f>IF(AD272=1,0,BV272-(1-(1-(1/(1+EXP(-(BT272-BL272)))*Parameters!$B$3))^12)*100)</f>
        <v/>
      </c>
      <c r="CE272" s="25">
        <f>IF(AD272=1,0,BV272-(1-(1-(1/(1+EXP(-(BT272-BM272)))*Parameters!$B$3))^12)*100)</f>
        <v/>
      </c>
      <c r="CF272" s="25">
        <f>IF(AD272=1,0,BV272-(1-(1-(1/(1+EXP(-(BT272-BN272)))*Parameters!$B$3))^12)*100)</f>
        <v/>
      </c>
      <c r="CG272" s="25">
        <f>IF(AD272=1,0,BV272-(1-(1-(1/(1+EXP(-(BT272-BO272)))*Parameters!$B$3))^12)*100)</f>
        <v/>
      </c>
      <c r="CH272" s="25">
        <f>IF(AD272=1,0,BV272-(1-(1-(1/(1+EXP(-(BT272-BP272)))*Parameters!$B$3))^12)*100)</f>
        <v/>
      </c>
      <c r="CI272" s="25">
        <f>IF(AD272=1,0,BV272-(1-(1-(1/(1+EXP(-(BT272-BQ272)))*Parameters!$B$3))^12)*100)</f>
        <v/>
      </c>
      <c r="CJ272" s="25">
        <f>IF(AD272=1,0,BV272-(1-(1-(1/(1+EXP(-(BT272-BR272)))*Parameters!$B$3))^12)*100)</f>
        <v/>
      </c>
    </row>
  </sheetData>
  <mergeCells count="4">
    <mergeCell ref="A1:Z1"/>
    <mergeCell ref="BS1:CJ1"/>
    <mergeCell ref="AA1:BE1"/>
    <mergeCell ref="BF1:B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c r="A1" s="5" t="inlineStr">
        <is>
          <t>deal_id</t>
        </is>
      </c>
      <c r="B1" s="5" t="inlineStr">
        <is>
          <t>n_loans</t>
        </is>
      </c>
      <c r="C1" s="5" t="inlineStr">
        <is>
          <t>total_upb_$mn</t>
        </is>
      </c>
      <c r="D1" s="5" t="inlineStr">
        <is>
          <t>weighted_predicted_CPR_pct</t>
        </is>
      </c>
      <c r="E1" s="5" t="inlineStr">
        <is>
          <t>weighted_baseline_CPR_pct</t>
        </is>
      </c>
      <c r="F1" s="5" t="inlineStr">
        <is>
          <t>weighted_loan_age_months</t>
        </is>
      </c>
      <c r="G1" s="5" t="inlineStr">
        <is>
          <t>weighted_loan_rate_pct</t>
        </is>
      </c>
      <c r="H1" s="5" t="inlineStr">
        <is>
          <t>weighted_refi_incentive_bps</t>
        </is>
      </c>
      <c r="I1" s="5" t="inlineStr">
        <is>
          <t>weighted_prepay_penalty_points</t>
        </is>
      </c>
      <c r="J1" s="5" t="inlineStr">
        <is>
          <t>weighted_sato_bps</t>
        </is>
      </c>
      <c r="K1" s="5" t="inlineStr">
        <is>
          <t>weighted_upb_millions</t>
        </is>
      </c>
      <c r="L1" s="5" t="inlineStr">
        <is>
          <t>pct_in_lockout</t>
        </is>
      </c>
      <c r="M1" s="5" t="inlineStr">
        <is>
          <t>pct_in_prepay_penalty</t>
        </is>
      </c>
      <c r="N1" s="5" t="inlineStr">
        <is>
          <t>pct_past_all_restrictions</t>
        </is>
      </c>
      <c r="O1" s="5" t="inlineStr">
        <is>
          <t>wtd_attr_REFI</t>
        </is>
      </c>
      <c r="P1" s="5" t="inlineStr">
        <is>
          <t>wtd_attr_AGE</t>
        </is>
      </c>
      <c r="Q1" s="5" t="inlineStr">
        <is>
          <t>wtd_attr_PEN</t>
        </is>
      </c>
      <c r="R1" s="5" t="inlineStr">
        <is>
          <t>wtd_attr_SATO</t>
        </is>
      </c>
      <c r="S1" s="5" t="inlineStr">
        <is>
          <t>wtd_attr_SIZE</t>
        </is>
      </c>
      <c r="T1" s="5" t="inlineStr">
        <is>
          <t>wtd_attr_M2M</t>
        </is>
      </c>
      <c r="U1" s="5" t="inlineStr">
        <is>
          <t>wtd_attr_MPL</t>
        </is>
      </c>
      <c r="V1" s="5" t="inlineStr">
        <is>
          <t>wtd_attr_INTERACT</t>
        </is>
      </c>
      <c r="W1" s="5" t="inlineStr">
        <is>
          <t>wtd_attr_PHASE</t>
        </is>
      </c>
      <c r="X1" s="5" t="inlineStr">
        <is>
          <t>wtd_attr_FHA</t>
        </is>
      </c>
      <c r="Y1" s="5" t="inlineStr">
        <is>
          <t>wtd_attr_PURPOSE</t>
        </is>
      </c>
      <c r="Z1" s="5" t="inlineStr">
        <is>
          <t>wtd_attr_AFF</t>
        </is>
      </c>
      <c r="AA1" s="5" t="inlineStr">
        <is>
          <t>wtd_attr_POOL</t>
        </is>
      </c>
      <c r="AB1" s="5" t="inlineStr">
        <is>
          <t>pct_NC</t>
        </is>
      </c>
      <c r="AC1" s="5" t="inlineStr">
        <is>
          <t>pct_232</t>
        </is>
      </c>
      <c r="AD1" s="5" t="inlineStr">
        <is>
          <t>pct_221d4</t>
        </is>
      </c>
      <c r="AE1" s="5" t="inlineStr">
        <is>
          <t>pct_223f</t>
        </is>
      </c>
      <c r="AF1" s="5" t="inlineStr">
        <is>
          <t>pct_223a7</t>
        </is>
      </c>
      <c r="AG1" s="5" t="inlineStr">
        <is>
          <t>pct_538</t>
        </is>
      </c>
      <c r="AH1" s="5" t="inlineStr">
        <is>
          <t>pct_AFF_or_BAF</t>
        </is>
      </c>
    </row>
    <row r="2">
      <c r="A2">
        <f>IFERROR(UNIQUE(FILTER(Loan_Input!$A$3:$A$272,Loan_Input!$A$3:$A$272&lt;&gt;"")),"")</f>
        <v/>
      </c>
      <c r="B2">
        <f>IF($A2="","",COUNTIF(Loan_Input!$A$3:$A$272,$A2))</f>
        <v/>
      </c>
      <c r="C2" s="26">
        <f>IF($A2="","",SUMIF(Loan_Input!$A$3:$A$272,$A2,Loan_Input!$H$3:$H$272)/1000000)</f>
        <v/>
      </c>
      <c r="D2" s="27">
        <f>IF($A2="","",IFERROR(SUMPRODUCT((Loan_Input!$A$3:$A$272=$A2)*Loan_Input!$BV$3:$BV$272*Loan_Input!$H$3:$H$272)/SUMIF(Loan_Input!$A$3:$A$272,$A2,Loan_Input!$H$3:$H$272),""))</f>
        <v/>
      </c>
      <c r="E2" s="27">
        <f>IF($A2="","",IFERROR(SUMPRODUCT((Loan_Input!$A$3:$A$272=$A2)*Loan_Input!$BW$3:$BW$272*Loan_Input!$H$3:$H$272)/SUMIF(Loan_Input!$A$3:$A$272,$A2,Loan_Input!$H$3:$H$272),""))</f>
        <v/>
      </c>
      <c r="F2" s="28">
        <f>IF($A2="","",IFERROR(SUMPRODUCT((Loan_Input!$A$3:$A$272=$A2)*Loan_Input!$AA$3:$AA$272*Loan_Input!$H$3:$H$272)/SUMIF(Loan_Input!$A$3:$A$272,$A2,Loan_Input!$H$3:$H$272),""))</f>
        <v/>
      </c>
      <c r="G2" s="29">
        <f>IF($A2="","",IFERROR(SUMPRODUCT((Loan_Input!$A$3:$A$272=$A2)*Loan_Input!$G$3:$G$272*Loan_Input!$H$3:$H$272)/SUMIF(Loan_Input!$A$3:$A$272,$A2,Loan_Input!$H$3:$H$272),""))</f>
        <v/>
      </c>
      <c r="H2" s="30">
        <f>IF($A2="","",IFERROR(SUMPRODUCT((Loan_Input!$A$3:$A$272=$A2)*Loan_Input!$AM$3:$AM$272*Loan_Input!$H$3:$H$272)/SUMIF(Loan_Input!$A$3:$A$272,$A2,Loan_Input!$H$3:$H$272),""))</f>
        <v/>
      </c>
      <c r="I2" s="27">
        <f>IF($A2="","",IFERROR(SUMPRODUCT((Loan_Input!$A$3:$A$272=$A2)*Loan_Input!$AK$3:$AK$272*Loan_Input!$H$3:$H$272)/SUMIF(Loan_Input!$A$3:$A$272,$A2,Loan_Input!$H$3:$H$272),""))</f>
        <v/>
      </c>
      <c r="J2" s="30">
        <f>IF($A2="","",IFERROR(SUMPRODUCT((Loan_Input!$A$3:$A$272=$A2)*Loan_Input!$AI$3:$AI$272*Loan_Input!$H$3:$H$272)/SUMIF(Loan_Input!$A$3:$A$272,$A2,Loan_Input!$H$3:$H$272),""))</f>
        <v/>
      </c>
      <c r="K2" s="27">
        <f>IF($A2="","",IFERROR(SUMPRODUCT((Loan_Input!$A$3:$A$272=$A2)*Loan_Input!$AN$3:$AN$272*Loan_Input!$H$3:$H$272)/SUMIF(Loan_Input!$A$3:$A$272,$A2,Loan_Input!$H$3:$H$272),""))</f>
        <v/>
      </c>
      <c r="L2" s="31">
        <f>IF($A2="","",IFERROR(SUMPRODUCT((Loan_Input!$A$3:$A$272=$A2)*Loan_Input!$AD$3:$AD$272*Loan_Input!$H$3:$H$272)/SUMIF(Loan_Input!$A$3:$A$272,$A2,Loan_Input!$H$3:$H$272),""))</f>
        <v/>
      </c>
      <c r="M2" s="31">
        <f>IF($A2="","",IFERROR(SUMPRODUCT((Loan_Input!$A$3:$A$272=$A2)*Loan_Input!$AE$3:$AE$272*Loan_Input!$H$3:$H$272)/SUMIF(Loan_Input!$A$3:$A$272,$A2,Loan_Input!$H$3:$H$272),""))</f>
        <v/>
      </c>
      <c r="N2" s="31">
        <f>IF($A2="","",IFERROR(SUMPRODUCT((Loan_Input!$A$3:$A$272=$A2)*Loan_Input!$AF$3:$AF$272*Loan_Input!$H$3:$H$272)/SUMIF(Loan_Input!$A$3:$A$272,$A2,Loan_Input!$H$3:$H$272),""))</f>
        <v/>
      </c>
      <c r="O2" s="27">
        <f>IF($A2="","",IFERROR(SUMPRODUCT((Loan_Input!$A$3:$A$272=$A2)*Loan_Input!$BX$3:$BX$272*Loan_Input!$H$3:$H$272)/SUMIF(Loan_Input!$A$3:$A$272,$A2,Loan_Input!$H$3:$H$272),""))</f>
        <v/>
      </c>
      <c r="P2" s="27">
        <f>IF($A2="","",IFERROR(SUMPRODUCT((Loan_Input!$A$3:$A$272=$A2)*Loan_Input!$BY$3:$BY$272*Loan_Input!$H$3:$H$272)/SUMIF(Loan_Input!$A$3:$A$272,$A2,Loan_Input!$H$3:$H$272),""))</f>
        <v/>
      </c>
      <c r="Q2" s="27">
        <f>IF($A2="","",IFERROR(SUMPRODUCT((Loan_Input!$A$3:$A$272=$A2)*Loan_Input!$BZ$3:$BZ$272*Loan_Input!$H$3:$H$272)/SUMIF(Loan_Input!$A$3:$A$272,$A2,Loan_Input!$H$3:$H$272),""))</f>
        <v/>
      </c>
      <c r="R2" s="27">
        <f>IF($A2="","",IFERROR(SUMPRODUCT((Loan_Input!$A$3:$A$272=$A2)*Loan_Input!$CA$3:$CA$272*Loan_Input!$H$3:$H$272)/SUMIF(Loan_Input!$A$3:$A$272,$A2,Loan_Input!$H$3:$H$272),""))</f>
        <v/>
      </c>
      <c r="S2" s="27">
        <f>IF($A2="","",IFERROR(SUMPRODUCT((Loan_Input!$A$3:$A$272=$A2)*Loan_Input!$CB$3:$CB$272*Loan_Input!$H$3:$H$272)/SUMIF(Loan_Input!$A$3:$A$272,$A2,Loan_Input!$H$3:$H$272),""))</f>
        <v/>
      </c>
      <c r="T2" s="27">
        <f>IF($A2="","",IFERROR(SUMPRODUCT((Loan_Input!$A$3:$A$272=$A2)*Loan_Input!$CC$3:$CC$272*Loan_Input!$H$3:$H$272)/SUMIF(Loan_Input!$A$3:$A$272,$A2,Loan_Input!$H$3:$H$272),""))</f>
        <v/>
      </c>
      <c r="U2" s="27">
        <f>IF($A2="","",IFERROR(SUMPRODUCT((Loan_Input!$A$3:$A$272=$A2)*Loan_Input!$CD$3:$CD$272*Loan_Input!$H$3:$H$272)/SUMIF(Loan_Input!$A$3:$A$272,$A2,Loan_Input!$H$3:$H$272),""))</f>
        <v/>
      </c>
      <c r="V2" s="27">
        <f>IF($A2="","",IFERROR(SUMPRODUCT((Loan_Input!$A$3:$A$272=$A2)*Loan_Input!$CE$3:$CE$272*Loan_Input!$H$3:$H$272)/SUMIF(Loan_Input!$A$3:$A$272,$A2,Loan_Input!$H$3:$H$272),""))</f>
        <v/>
      </c>
      <c r="W2" s="27">
        <f>IF($A2="","",IFERROR(SUMPRODUCT((Loan_Input!$A$3:$A$272=$A2)*Loan_Input!$CF$3:$CF$272*Loan_Input!$H$3:$H$272)/SUMIF(Loan_Input!$A$3:$A$272,$A2,Loan_Input!$H$3:$H$272),""))</f>
        <v/>
      </c>
      <c r="X2" s="27">
        <f>IF($A2="","",IFERROR(SUMPRODUCT((Loan_Input!$A$3:$A$272=$A2)*Loan_Input!$CG$3:$CG$272*Loan_Input!$H$3:$H$272)/SUMIF(Loan_Input!$A$3:$A$272,$A2,Loan_Input!$H$3:$H$272),""))</f>
        <v/>
      </c>
      <c r="Y2" s="27">
        <f>IF($A2="","",IFERROR(SUMPRODUCT((Loan_Input!$A$3:$A$272=$A2)*Loan_Input!$CH$3:$CH$272*Loan_Input!$H$3:$H$272)/SUMIF(Loan_Input!$A$3:$A$272,$A2,Loan_Input!$H$3:$H$272),""))</f>
        <v/>
      </c>
      <c r="Z2" s="27">
        <f>IF($A2="","",IFERROR(SUMPRODUCT((Loan_Input!$A$3:$A$272=$A2)*Loan_Input!$CI$3:$CI$272*Loan_Input!$H$3:$H$272)/SUMIF(Loan_Input!$A$3:$A$272,$A2,Loan_Input!$H$3:$H$272),""))</f>
        <v/>
      </c>
      <c r="AA2" s="27">
        <f>IF($A2="","",IFERROR(SUMPRODUCT((Loan_Input!$A$3:$A$272=$A2)*Loan_Input!$CJ$3:$CJ$272*Loan_Input!$H$3:$H$272)/SUMIF(Loan_Input!$A$3:$A$272,$A2,Loan_Input!$H$3:$H$272),""))</f>
        <v/>
      </c>
      <c r="AB2" s="31">
        <f>IF($A2="","",IFERROR(SUMPRODUCT((Loan_Input!$A$3:$A$272=$A2)*Loan_Input!$AQ$3:$AQ$272*Loan_Input!$H$3:$H$272)/SUMIF(Loan_Input!$A$3:$A$272,$A2,Loan_Input!$H$3:$H$272),""))</f>
        <v/>
      </c>
      <c r="AC2" s="31">
        <f>IF($A2="","",IFERROR(SUMPRODUCT((Loan_Input!$A$3:$A$272=$A2)*Loan_Input!$AW$3:$AW$272*Loan_Input!$H$3:$H$272)/SUMIF(Loan_Input!$A$3:$A$272,$A2,Loan_Input!$H$3:$H$272),""))</f>
        <v/>
      </c>
      <c r="AD2" s="31">
        <f>IF($A2="","",IFERROR(SUMPRODUCT((Loan_Input!$A$3:$A$272=$A2)*Loan_Input!$AU$3:$AU$272*Loan_Input!$H$3:$H$272)/SUMIF(Loan_Input!$A$3:$A$272,$A2,Loan_Input!$H$3:$H$272),""))</f>
        <v/>
      </c>
      <c r="AE2" s="31">
        <f>IF($A2="","",IFERROR(SUMPRODUCT((Loan_Input!$A$3:$A$272=$A2)*(Loan_Input!$AO$3:$AO$272="223f")*Loan_Input!$H$3:$H$272)/SUMIF(Loan_Input!$A$3:$A$272,$A2,Loan_Input!$H$3:$H$272),""))</f>
        <v/>
      </c>
      <c r="AF2" s="31">
        <f>IF($A2="","",IFERROR(SUMPRODUCT((Loan_Input!$A$3:$A$272=$A2)*Loan_Input!$AV$3:$AV$272*Loan_Input!$H$3:$H$272)/SUMIF(Loan_Input!$A$3:$A$272,$A2,Loan_Input!$H$3:$H$272),""))</f>
        <v/>
      </c>
      <c r="AG2" s="31">
        <f>IF($A2="","",IFERROR(SUMPRODUCT((Loan_Input!$A$3:$A$272=$A2)*Loan_Input!$AX$3:$AX$272*Loan_Input!$H$3:$H$272)/SUMIF(Loan_Input!$A$3:$A$272,$A2,Loan_Input!$H$3:$H$272),""))</f>
        <v/>
      </c>
      <c r="AH2" s="31">
        <f>IF($A2="","",IFERROR(SUMPRODUCT((Loan_Input!$A$3:$A$272=$A2)*(Loan_Input!$AR$3:$AR$272+Loan_Input!$AS$3:$AS$272)*Loan_Input!$H$3:$H$272)/SUMIF(Loan_Input!$A$3:$A$272,$A2,Loan_Input!$H$3:$H$272),""))</f>
        <v/>
      </c>
    </row>
    <row r="3">
      <c r="B3">
        <f>IF($A3="","",COUNTIF(Loan_Input!$A$3:$A$272,$A3))</f>
        <v/>
      </c>
      <c r="C3" s="26">
        <f>IF($A3="","",SUMIF(Loan_Input!$A$3:$A$272,$A3,Loan_Input!$H$3:$H$272)/1000000)</f>
        <v/>
      </c>
      <c r="D3" s="27">
        <f>IF($A3="","",IFERROR(SUMPRODUCT((Loan_Input!$A$3:$A$272=$A3)*Loan_Input!$BV$3:$BV$272*Loan_Input!$H$3:$H$272)/SUMIF(Loan_Input!$A$3:$A$272,$A3,Loan_Input!$H$3:$H$272),""))</f>
        <v/>
      </c>
      <c r="E3" s="27">
        <f>IF($A3="","",IFERROR(SUMPRODUCT((Loan_Input!$A$3:$A$272=$A3)*Loan_Input!$BW$3:$BW$272*Loan_Input!$H$3:$H$272)/SUMIF(Loan_Input!$A$3:$A$272,$A3,Loan_Input!$H$3:$H$272),""))</f>
        <v/>
      </c>
      <c r="F3" s="28">
        <f>IF($A3="","",IFERROR(SUMPRODUCT((Loan_Input!$A$3:$A$272=$A3)*Loan_Input!$AA$3:$AA$272*Loan_Input!$H$3:$H$272)/SUMIF(Loan_Input!$A$3:$A$272,$A3,Loan_Input!$H$3:$H$272),""))</f>
        <v/>
      </c>
      <c r="G3" s="29">
        <f>IF($A3="","",IFERROR(SUMPRODUCT((Loan_Input!$A$3:$A$272=$A3)*Loan_Input!$G$3:$G$272*Loan_Input!$H$3:$H$272)/SUMIF(Loan_Input!$A$3:$A$272,$A3,Loan_Input!$H$3:$H$272),""))</f>
        <v/>
      </c>
      <c r="H3" s="30">
        <f>IF($A3="","",IFERROR(SUMPRODUCT((Loan_Input!$A$3:$A$272=$A3)*Loan_Input!$AM$3:$AM$272*Loan_Input!$H$3:$H$272)/SUMIF(Loan_Input!$A$3:$A$272,$A3,Loan_Input!$H$3:$H$272),""))</f>
        <v/>
      </c>
      <c r="I3" s="27">
        <f>IF($A3="","",IFERROR(SUMPRODUCT((Loan_Input!$A$3:$A$272=$A3)*Loan_Input!$AK$3:$AK$272*Loan_Input!$H$3:$H$272)/SUMIF(Loan_Input!$A$3:$A$272,$A3,Loan_Input!$H$3:$H$272),""))</f>
        <v/>
      </c>
      <c r="J3" s="30">
        <f>IF($A3="","",IFERROR(SUMPRODUCT((Loan_Input!$A$3:$A$272=$A3)*Loan_Input!$AI$3:$AI$272*Loan_Input!$H$3:$H$272)/SUMIF(Loan_Input!$A$3:$A$272,$A3,Loan_Input!$H$3:$H$272),""))</f>
        <v/>
      </c>
      <c r="K3" s="27">
        <f>IF($A3="","",IFERROR(SUMPRODUCT((Loan_Input!$A$3:$A$272=$A3)*Loan_Input!$AN$3:$AN$272*Loan_Input!$H$3:$H$272)/SUMIF(Loan_Input!$A$3:$A$272,$A3,Loan_Input!$H$3:$H$272),""))</f>
        <v/>
      </c>
      <c r="L3" s="31">
        <f>IF($A3="","",IFERROR(SUMPRODUCT((Loan_Input!$A$3:$A$272=$A3)*Loan_Input!$AD$3:$AD$272*Loan_Input!$H$3:$H$272)/SUMIF(Loan_Input!$A$3:$A$272,$A3,Loan_Input!$H$3:$H$272),""))</f>
        <v/>
      </c>
      <c r="M3" s="31">
        <f>IF($A3="","",IFERROR(SUMPRODUCT((Loan_Input!$A$3:$A$272=$A3)*Loan_Input!$AE$3:$AE$272*Loan_Input!$H$3:$H$272)/SUMIF(Loan_Input!$A$3:$A$272,$A3,Loan_Input!$H$3:$H$272),""))</f>
        <v/>
      </c>
      <c r="N3" s="31">
        <f>IF($A3="","",IFERROR(SUMPRODUCT((Loan_Input!$A$3:$A$272=$A3)*Loan_Input!$AF$3:$AF$272*Loan_Input!$H$3:$H$272)/SUMIF(Loan_Input!$A$3:$A$272,$A3,Loan_Input!$H$3:$H$272),""))</f>
        <v/>
      </c>
      <c r="O3" s="27">
        <f>IF($A3="","",IFERROR(SUMPRODUCT((Loan_Input!$A$3:$A$272=$A3)*Loan_Input!$BX$3:$BX$272*Loan_Input!$H$3:$H$272)/SUMIF(Loan_Input!$A$3:$A$272,$A3,Loan_Input!$H$3:$H$272),""))</f>
        <v/>
      </c>
      <c r="P3" s="27">
        <f>IF($A3="","",IFERROR(SUMPRODUCT((Loan_Input!$A$3:$A$272=$A3)*Loan_Input!$BY$3:$BY$272*Loan_Input!$H$3:$H$272)/SUMIF(Loan_Input!$A$3:$A$272,$A3,Loan_Input!$H$3:$H$272),""))</f>
        <v/>
      </c>
      <c r="Q3" s="27">
        <f>IF($A3="","",IFERROR(SUMPRODUCT((Loan_Input!$A$3:$A$272=$A3)*Loan_Input!$BZ$3:$BZ$272*Loan_Input!$H$3:$H$272)/SUMIF(Loan_Input!$A$3:$A$272,$A3,Loan_Input!$H$3:$H$272),""))</f>
        <v/>
      </c>
      <c r="R3" s="27">
        <f>IF($A3="","",IFERROR(SUMPRODUCT((Loan_Input!$A$3:$A$272=$A3)*Loan_Input!$CA$3:$CA$272*Loan_Input!$H$3:$H$272)/SUMIF(Loan_Input!$A$3:$A$272,$A3,Loan_Input!$H$3:$H$272),""))</f>
        <v/>
      </c>
      <c r="S3" s="27">
        <f>IF($A3="","",IFERROR(SUMPRODUCT((Loan_Input!$A$3:$A$272=$A3)*Loan_Input!$CB$3:$CB$272*Loan_Input!$H$3:$H$272)/SUMIF(Loan_Input!$A$3:$A$272,$A3,Loan_Input!$H$3:$H$272),""))</f>
        <v/>
      </c>
      <c r="T3" s="27">
        <f>IF($A3="","",IFERROR(SUMPRODUCT((Loan_Input!$A$3:$A$272=$A3)*Loan_Input!$CC$3:$CC$272*Loan_Input!$H$3:$H$272)/SUMIF(Loan_Input!$A$3:$A$272,$A3,Loan_Input!$H$3:$H$272),""))</f>
        <v/>
      </c>
      <c r="U3" s="27">
        <f>IF($A3="","",IFERROR(SUMPRODUCT((Loan_Input!$A$3:$A$272=$A3)*Loan_Input!$CD$3:$CD$272*Loan_Input!$H$3:$H$272)/SUMIF(Loan_Input!$A$3:$A$272,$A3,Loan_Input!$H$3:$H$272),""))</f>
        <v/>
      </c>
      <c r="V3" s="27">
        <f>IF($A3="","",IFERROR(SUMPRODUCT((Loan_Input!$A$3:$A$272=$A3)*Loan_Input!$CE$3:$CE$272*Loan_Input!$H$3:$H$272)/SUMIF(Loan_Input!$A$3:$A$272,$A3,Loan_Input!$H$3:$H$272),""))</f>
        <v/>
      </c>
      <c r="W3" s="27">
        <f>IF($A3="","",IFERROR(SUMPRODUCT((Loan_Input!$A$3:$A$272=$A3)*Loan_Input!$CF$3:$CF$272*Loan_Input!$H$3:$H$272)/SUMIF(Loan_Input!$A$3:$A$272,$A3,Loan_Input!$H$3:$H$272),""))</f>
        <v/>
      </c>
      <c r="X3" s="27">
        <f>IF($A3="","",IFERROR(SUMPRODUCT((Loan_Input!$A$3:$A$272=$A3)*Loan_Input!$CG$3:$CG$272*Loan_Input!$H$3:$H$272)/SUMIF(Loan_Input!$A$3:$A$272,$A3,Loan_Input!$H$3:$H$272),""))</f>
        <v/>
      </c>
      <c r="Y3" s="27">
        <f>IF($A3="","",IFERROR(SUMPRODUCT((Loan_Input!$A$3:$A$272=$A3)*Loan_Input!$CH$3:$CH$272*Loan_Input!$H$3:$H$272)/SUMIF(Loan_Input!$A$3:$A$272,$A3,Loan_Input!$H$3:$H$272),""))</f>
        <v/>
      </c>
      <c r="Z3" s="27">
        <f>IF($A3="","",IFERROR(SUMPRODUCT((Loan_Input!$A$3:$A$272=$A3)*Loan_Input!$CI$3:$CI$272*Loan_Input!$H$3:$H$272)/SUMIF(Loan_Input!$A$3:$A$272,$A3,Loan_Input!$H$3:$H$272),""))</f>
        <v/>
      </c>
      <c r="AA3" s="27">
        <f>IF($A3="","",IFERROR(SUMPRODUCT((Loan_Input!$A$3:$A$272=$A3)*Loan_Input!$CJ$3:$CJ$272*Loan_Input!$H$3:$H$272)/SUMIF(Loan_Input!$A$3:$A$272,$A3,Loan_Input!$H$3:$H$272),""))</f>
        <v/>
      </c>
      <c r="AB3" s="31">
        <f>IF($A3="","",IFERROR(SUMPRODUCT((Loan_Input!$A$3:$A$272=$A3)*Loan_Input!$AQ$3:$AQ$272*Loan_Input!$H$3:$H$272)/SUMIF(Loan_Input!$A$3:$A$272,$A3,Loan_Input!$H$3:$H$272),""))</f>
        <v/>
      </c>
      <c r="AC3" s="31">
        <f>IF($A3="","",IFERROR(SUMPRODUCT((Loan_Input!$A$3:$A$272=$A3)*Loan_Input!$AW$3:$AW$272*Loan_Input!$H$3:$H$272)/SUMIF(Loan_Input!$A$3:$A$272,$A3,Loan_Input!$H$3:$H$272),""))</f>
        <v/>
      </c>
      <c r="AD3" s="31">
        <f>IF($A3="","",IFERROR(SUMPRODUCT((Loan_Input!$A$3:$A$272=$A3)*Loan_Input!$AU$3:$AU$272*Loan_Input!$H$3:$H$272)/SUMIF(Loan_Input!$A$3:$A$272,$A3,Loan_Input!$H$3:$H$272),""))</f>
        <v/>
      </c>
      <c r="AE3" s="31">
        <f>IF($A3="","",IFERROR(SUMPRODUCT((Loan_Input!$A$3:$A$272=$A3)*(Loan_Input!$AO$3:$AO$272="223f")*Loan_Input!$H$3:$H$272)/SUMIF(Loan_Input!$A$3:$A$272,$A3,Loan_Input!$H$3:$H$272),""))</f>
        <v/>
      </c>
      <c r="AF3" s="31">
        <f>IF($A3="","",IFERROR(SUMPRODUCT((Loan_Input!$A$3:$A$272=$A3)*Loan_Input!$AV$3:$AV$272*Loan_Input!$H$3:$H$272)/SUMIF(Loan_Input!$A$3:$A$272,$A3,Loan_Input!$H$3:$H$272),""))</f>
        <v/>
      </c>
      <c r="AG3" s="31">
        <f>IF($A3="","",IFERROR(SUMPRODUCT((Loan_Input!$A$3:$A$272=$A3)*Loan_Input!$AX$3:$AX$272*Loan_Input!$H$3:$H$272)/SUMIF(Loan_Input!$A$3:$A$272,$A3,Loan_Input!$H$3:$H$272),""))</f>
        <v/>
      </c>
      <c r="AH3" s="31">
        <f>IF($A3="","",IFERROR(SUMPRODUCT((Loan_Input!$A$3:$A$272=$A3)*(Loan_Input!$AR$3:$AR$272+Loan_Input!$AS$3:$AS$272)*Loan_Input!$H$3:$H$272)/SUMIF(Loan_Input!$A$3:$A$272,$A3,Loan_Input!$H$3:$H$272),""))</f>
        <v/>
      </c>
    </row>
    <row r="4">
      <c r="B4">
        <f>IF($A4="","",COUNTIF(Loan_Input!$A$3:$A$272,$A4))</f>
        <v/>
      </c>
      <c r="C4" s="26">
        <f>IF($A4="","",SUMIF(Loan_Input!$A$3:$A$272,$A4,Loan_Input!$H$3:$H$272)/1000000)</f>
        <v/>
      </c>
      <c r="D4" s="27">
        <f>IF($A4="","",IFERROR(SUMPRODUCT((Loan_Input!$A$3:$A$272=$A4)*Loan_Input!$BV$3:$BV$272*Loan_Input!$H$3:$H$272)/SUMIF(Loan_Input!$A$3:$A$272,$A4,Loan_Input!$H$3:$H$272),""))</f>
        <v/>
      </c>
      <c r="E4" s="27">
        <f>IF($A4="","",IFERROR(SUMPRODUCT((Loan_Input!$A$3:$A$272=$A4)*Loan_Input!$BW$3:$BW$272*Loan_Input!$H$3:$H$272)/SUMIF(Loan_Input!$A$3:$A$272,$A4,Loan_Input!$H$3:$H$272),""))</f>
        <v/>
      </c>
      <c r="F4" s="28">
        <f>IF($A4="","",IFERROR(SUMPRODUCT((Loan_Input!$A$3:$A$272=$A4)*Loan_Input!$AA$3:$AA$272*Loan_Input!$H$3:$H$272)/SUMIF(Loan_Input!$A$3:$A$272,$A4,Loan_Input!$H$3:$H$272),""))</f>
        <v/>
      </c>
      <c r="G4" s="29">
        <f>IF($A4="","",IFERROR(SUMPRODUCT((Loan_Input!$A$3:$A$272=$A4)*Loan_Input!$G$3:$G$272*Loan_Input!$H$3:$H$272)/SUMIF(Loan_Input!$A$3:$A$272,$A4,Loan_Input!$H$3:$H$272),""))</f>
        <v/>
      </c>
      <c r="H4" s="30">
        <f>IF($A4="","",IFERROR(SUMPRODUCT((Loan_Input!$A$3:$A$272=$A4)*Loan_Input!$AM$3:$AM$272*Loan_Input!$H$3:$H$272)/SUMIF(Loan_Input!$A$3:$A$272,$A4,Loan_Input!$H$3:$H$272),""))</f>
        <v/>
      </c>
      <c r="I4" s="27">
        <f>IF($A4="","",IFERROR(SUMPRODUCT((Loan_Input!$A$3:$A$272=$A4)*Loan_Input!$AK$3:$AK$272*Loan_Input!$H$3:$H$272)/SUMIF(Loan_Input!$A$3:$A$272,$A4,Loan_Input!$H$3:$H$272),""))</f>
        <v/>
      </c>
      <c r="J4" s="30">
        <f>IF($A4="","",IFERROR(SUMPRODUCT((Loan_Input!$A$3:$A$272=$A4)*Loan_Input!$AI$3:$AI$272*Loan_Input!$H$3:$H$272)/SUMIF(Loan_Input!$A$3:$A$272,$A4,Loan_Input!$H$3:$H$272),""))</f>
        <v/>
      </c>
      <c r="K4" s="27">
        <f>IF($A4="","",IFERROR(SUMPRODUCT((Loan_Input!$A$3:$A$272=$A4)*Loan_Input!$AN$3:$AN$272*Loan_Input!$H$3:$H$272)/SUMIF(Loan_Input!$A$3:$A$272,$A4,Loan_Input!$H$3:$H$272),""))</f>
        <v/>
      </c>
      <c r="L4" s="31">
        <f>IF($A4="","",IFERROR(SUMPRODUCT((Loan_Input!$A$3:$A$272=$A4)*Loan_Input!$AD$3:$AD$272*Loan_Input!$H$3:$H$272)/SUMIF(Loan_Input!$A$3:$A$272,$A4,Loan_Input!$H$3:$H$272),""))</f>
        <v/>
      </c>
      <c r="M4" s="31">
        <f>IF($A4="","",IFERROR(SUMPRODUCT((Loan_Input!$A$3:$A$272=$A4)*Loan_Input!$AE$3:$AE$272*Loan_Input!$H$3:$H$272)/SUMIF(Loan_Input!$A$3:$A$272,$A4,Loan_Input!$H$3:$H$272),""))</f>
        <v/>
      </c>
      <c r="N4" s="31">
        <f>IF($A4="","",IFERROR(SUMPRODUCT((Loan_Input!$A$3:$A$272=$A4)*Loan_Input!$AF$3:$AF$272*Loan_Input!$H$3:$H$272)/SUMIF(Loan_Input!$A$3:$A$272,$A4,Loan_Input!$H$3:$H$272),""))</f>
        <v/>
      </c>
      <c r="O4" s="27">
        <f>IF($A4="","",IFERROR(SUMPRODUCT((Loan_Input!$A$3:$A$272=$A4)*Loan_Input!$BX$3:$BX$272*Loan_Input!$H$3:$H$272)/SUMIF(Loan_Input!$A$3:$A$272,$A4,Loan_Input!$H$3:$H$272),""))</f>
        <v/>
      </c>
      <c r="P4" s="27">
        <f>IF($A4="","",IFERROR(SUMPRODUCT((Loan_Input!$A$3:$A$272=$A4)*Loan_Input!$BY$3:$BY$272*Loan_Input!$H$3:$H$272)/SUMIF(Loan_Input!$A$3:$A$272,$A4,Loan_Input!$H$3:$H$272),""))</f>
        <v/>
      </c>
      <c r="Q4" s="27">
        <f>IF($A4="","",IFERROR(SUMPRODUCT((Loan_Input!$A$3:$A$272=$A4)*Loan_Input!$BZ$3:$BZ$272*Loan_Input!$H$3:$H$272)/SUMIF(Loan_Input!$A$3:$A$272,$A4,Loan_Input!$H$3:$H$272),""))</f>
        <v/>
      </c>
      <c r="R4" s="27">
        <f>IF($A4="","",IFERROR(SUMPRODUCT((Loan_Input!$A$3:$A$272=$A4)*Loan_Input!$CA$3:$CA$272*Loan_Input!$H$3:$H$272)/SUMIF(Loan_Input!$A$3:$A$272,$A4,Loan_Input!$H$3:$H$272),""))</f>
        <v/>
      </c>
      <c r="S4" s="27">
        <f>IF($A4="","",IFERROR(SUMPRODUCT((Loan_Input!$A$3:$A$272=$A4)*Loan_Input!$CB$3:$CB$272*Loan_Input!$H$3:$H$272)/SUMIF(Loan_Input!$A$3:$A$272,$A4,Loan_Input!$H$3:$H$272),""))</f>
        <v/>
      </c>
      <c r="T4" s="27">
        <f>IF($A4="","",IFERROR(SUMPRODUCT((Loan_Input!$A$3:$A$272=$A4)*Loan_Input!$CC$3:$CC$272*Loan_Input!$H$3:$H$272)/SUMIF(Loan_Input!$A$3:$A$272,$A4,Loan_Input!$H$3:$H$272),""))</f>
        <v/>
      </c>
      <c r="U4" s="27">
        <f>IF($A4="","",IFERROR(SUMPRODUCT((Loan_Input!$A$3:$A$272=$A4)*Loan_Input!$CD$3:$CD$272*Loan_Input!$H$3:$H$272)/SUMIF(Loan_Input!$A$3:$A$272,$A4,Loan_Input!$H$3:$H$272),""))</f>
        <v/>
      </c>
      <c r="V4" s="27">
        <f>IF($A4="","",IFERROR(SUMPRODUCT((Loan_Input!$A$3:$A$272=$A4)*Loan_Input!$CE$3:$CE$272*Loan_Input!$H$3:$H$272)/SUMIF(Loan_Input!$A$3:$A$272,$A4,Loan_Input!$H$3:$H$272),""))</f>
        <v/>
      </c>
      <c r="W4" s="27">
        <f>IF($A4="","",IFERROR(SUMPRODUCT((Loan_Input!$A$3:$A$272=$A4)*Loan_Input!$CF$3:$CF$272*Loan_Input!$H$3:$H$272)/SUMIF(Loan_Input!$A$3:$A$272,$A4,Loan_Input!$H$3:$H$272),""))</f>
        <v/>
      </c>
      <c r="X4" s="27">
        <f>IF($A4="","",IFERROR(SUMPRODUCT((Loan_Input!$A$3:$A$272=$A4)*Loan_Input!$CG$3:$CG$272*Loan_Input!$H$3:$H$272)/SUMIF(Loan_Input!$A$3:$A$272,$A4,Loan_Input!$H$3:$H$272),""))</f>
        <v/>
      </c>
      <c r="Y4" s="27">
        <f>IF($A4="","",IFERROR(SUMPRODUCT((Loan_Input!$A$3:$A$272=$A4)*Loan_Input!$CH$3:$CH$272*Loan_Input!$H$3:$H$272)/SUMIF(Loan_Input!$A$3:$A$272,$A4,Loan_Input!$H$3:$H$272),""))</f>
        <v/>
      </c>
      <c r="Z4" s="27">
        <f>IF($A4="","",IFERROR(SUMPRODUCT((Loan_Input!$A$3:$A$272=$A4)*Loan_Input!$CI$3:$CI$272*Loan_Input!$H$3:$H$272)/SUMIF(Loan_Input!$A$3:$A$272,$A4,Loan_Input!$H$3:$H$272),""))</f>
        <v/>
      </c>
      <c r="AA4" s="27">
        <f>IF($A4="","",IFERROR(SUMPRODUCT((Loan_Input!$A$3:$A$272=$A4)*Loan_Input!$CJ$3:$CJ$272*Loan_Input!$H$3:$H$272)/SUMIF(Loan_Input!$A$3:$A$272,$A4,Loan_Input!$H$3:$H$272),""))</f>
        <v/>
      </c>
      <c r="AB4" s="31">
        <f>IF($A4="","",IFERROR(SUMPRODUCT((Loan_Input!$A$3:$A$272=$A4)*Loan_Input!$AQ$3:$AQ$272*Loan_Input!$H$3:$H$272)/SUMIF(Loan_Input!$A$3:$A$272,$A4,Loan_Input!$H$3:$H$272),""))</f>
        <v/>
      </c>
      <c r="AC4" s="31">
        <f>IF($A4="","",IFERROR(SUMPRODUCT((Loan_Input!$A$3:$A$272=$A4)*Loan_Input!$AW$3:$AW$272*Loan_Input!$H$3:$H$272)/SUMIF(Loan_Input!$A$3:$A$272,$A4,Loan_Input!$H$3:$H$272),""))</f>
        <v/>
      </c>
      <c r="AD4" s="31">
        <f>IF($A4="","",IFERROR(SUMPRODUCT((Loan_Input!$A$3:$A$272=$A4)*Loan_Input!$AU$3:$AU$272*Loan_Input!$H$3:$H$272)/SUMIF(Loan_Input!$A$3:$A$272,$A4,Loan_Input!$H$3:$H$272),""))</f>
        <v/>
      </c>
      <c r="AE4" s="31">
        <f>IF($A4="","",IFERROR(SUMPRODUCT((Loan_Input!$A$3:$A$272=$A4)*(Loan_Input!$AO$3:$AO$272="223f")*Loan_Input!$H$3:$H$272)/SUMIF(Loan_Input!$A$3:$A$272,$A4,Loan_Input!$H$3:$H$272),""))</f>
        <v/>
      </c>
      <c r="AF4" s="31">
        <f>IF($A4="","",IFERROR(SUMPRODUCT((Loan_Input!$A$3:$A$272=$A4)*Loan_Input!$AV$3:$AV$272*Loan_Input!$H$3:$H$272)/SUMIF(Loan_Input!$A$3:$A$272,$A4,Loan_Input!$H$3:$H$272),""))</f>
        <v/>
      </c>
      <c r="AG4" s="31">
        <f>IF($A4="","",IFERROR(SUMPRODUCT((Loan_Input!$A$3:$A$272=$A4)*Loan_Input!$AX$3:$AX$272*Loan_Input!$H$3:$H$272)/SUMIF(Loan_Input!$A$3:$A$272,$A4,Loan_Input!$H$3:$H$272),""))</f>
        <v/>
      </c>
      <c r="AH4" s="31">
        <f>IF($A4="","",IFERROR(SUMPRODUCT((Loan_Input!$A$3:$A$272=$A4)*(Loan_Input!$AR$3:$AR$272+Loan_Input!$AS$3:$AS$272)*Loan_Input!$H$3:$H$272)/SUMIF(Loan_Input!$A$3:$A$272,$A4,Loan_Input!$H$3:$H$272),""))</f>
        <v/>
      </c>
    </row>
    <row r="5">
      <c r="B5">
        <f>IF($A5="","",COUNTIF(Loan_Input!$A$3:$A$272,$A5))</f>
        <v/>
      </c>
      <c r="C5" s="26">
        <f>IF($A5="","",SUMIF(Loan_Input!$A$3:$A$272,$A5,Loan_Input!$H$3:$H$272)/1000000)</f>
        <v/>
      </c>
      <c r="D5" s="27">
        <f>IF($A5="","",IFERROR(SUMPRODUCT((Loan_Input!$A$3:$A$272=$A5)*Loan_Input!$BV$3:$BV$272*Loan_Input!$H$3:$H$272)/SUMIF(Loan_Input!$A$3:$A$272,$A5,Loan_Input!$H$3:$H$272),""))</f>
        <v/>
      </c>
      <c r="E5" s="27">
        <f>IF($A5="","",IFERROR(SUMPRODUCT((Loan_Input!$A$3:$A$272=$A5)*Loan_Input!$BW$3:$BW$272*Loan_Input!$H$3:$H$272)/SUMIF(Loan_Input!$A$3:$A$272,$A5,Loan_Input!$H$3:$H$272),""))</f>
        <v/>
      </c>
      <c r="F5" s="28">
        <f>IF($A5="","",IFERROR(SUMPRODUCT((Loan_Input!$A$3:$A$272=$A5)*Loan_Input!$AA$3:$AA$272*Loan_Input!$H$3:$H$272)/SUMIF(Loan_Input!$A$3:$A$272,$A5,Loan_Input!$H$3:$H$272),""))</f>
        <v/>
      </c>
      <c r="G5" s="29">
        <f>IF($A5="","",IFERROR(SUMPRODUCT((Loan_Input!$A$3:$A$272=$A5)*Loan_Input!$G$3:$G$272*Loan_Input!$H$3:$H$272)/SUMIF(Loan_Input!$A$3:$A$272,$A5,Loan_Input!$H$3:$H$272),""))</f>
        <v/>
      </c>
      <c r="H5" s="30">
        <f>IF($A5="","",IFERROR(SUMPRODUCT((Loan_Input!$A$3:$A$272=$A5)*Loan_Input!$AM$3:$AM$272*Loan_Input!$H$3:$H$272)/SUMIF(Loan_Input!$A$3:$A$272,$A5,Loan_Input!$H$3:$H$272),""))</f>
        <v/>
      </c>
      <c r="I5" s="27">
        <f>IF($A5="","",IFERROR(SUMPRODUCT((Loan_Input!$A$3:$A$272=$A5)*Loan_Input!$AK$3:$AK$272*Loan_Input!$H$3:$H$272)/SUMIF(Loan_Input!$A$3:$A$272,$A5,Loan_Input!$H$3:$H$272),""))</f>
        <v/>
      </c>
      <c r="J5" s="30">
        <f>IF($A5="","",IFERROR(SUMPRODUCT((Loan_Input!$A$3:$A$272=$A5)*Loan_Input!$AI$3:$AI$272*Loan_Input!$H$3:$H$272)/SUMIF(Loan_Input!$A$3:$A$272,$A5,Loan_Input!$H$3:$H$272),""))</f>
        <v/>
      </c>
      <c r="K5" s="27">
        <f>IF($A5="","",IFERROR(SUMPRODUCT((Loan_Input!$A$3:$A$272=$A5)*Loan_Input!$AN$3:$AN$272*Loan_Input!$H$3:$H$272)/SUMIF(Loan_Input!$A$3:$A$272,$A5,Loan_Input!$H$3:$H$272),""))</f>
        <v/>
      </c>
      <c r="L5" s="31">
        <f>IF($A5="","",IFERROR(SUMPRODUCT((Loan_Input!$A$3:$A$272=$A5)*Loan_Input!$AD$3:$AD$272*Loan_Input!$H$3:$H$272)/SUMIF(Loan_Input!$A$3:$A$272,$A5,Loan_Input!$H$3:$H$272),""))</f>
        <v/>
      </c>
      <c r="M5" s="31">
        <f>IF($A5="","",IFERROR(SUMPRODUCT((Loan_Input!$A$3:$A$272=$A5)*Loan_Input!$AE$3:$AE$272*Loan_Input!$H$3:$H$272)/SUMIF(Loan_Input!$A$3:$A$272,$A5,Loan_Input!$H$3:$H$272),""))</f>
        <v/>
      </c>
      <c r="N5" s="31">
        <f>IF($A5="","",IFERROR(SUMPRODUCT((Loan_Input!$A$3:$A$272=$A5)*Loan_Input!$AF$3:$AF$272*Loan_Input!$H$3:$H$272)/SUMIF(Loan_Input!$A$3:$A$272,$A5,Loan_Input!$H$3:$H$272),""))</f>
        <v/>
      </c>
      <c r="O5" s="27">
        <f>IF($A5="","",IFERROR(SUMPRODUCT((Loan_Input!$A$3:$A$272=$A5)*Loan_Input!$BX$3:$BX$272*Loan_Input!$H$3:$H$272)/SUMIF(Loan_Input!$A$3:$A$272,$A5,Loan_Input!$H$3:$H$272),""))</f>
        <v/>
      </c>
      <c r="P5" s="27">
        <f>IF($A5="","",IFERROR(SUMPRODUCT((Loan_Input!$A$3:$A$272=$A5)*Loan_Input!$BY$3:$BY$272*Loan_Input!$H$3:$H$272)/SUMIF(Loan_Input!$A$3:$A$272,$A5,Loan_Input!$H$3:$H$272),""))</f>
        <v/>
      </c>
      <c r="Q5" s="27">
        <f>IF($A5="","",IFERROR(SUMPRODUCT((Loan_Input!$A$3:$A$272=$A5)*Loan_Input!$BZ$3:$BZ$272*Loan_Input!$H$3:$H$272)/SUMIF(Loan_Input!$A$3:$A$272,$A5,Loan_Input!$H$3:$H$272),""))</f>
        <v/>
      </c>
      <c r="R5" s="27">
        <f>IF($A5="","",IFERROR(SUMPRODUCT((Loan_Input!$A$3:$A$272=$A5)*Loan_Input!$CA$3:$CA$272*Loan_Input!$H$3:$H$272)/SUMIF(Loan_Input!$A$3:$A$272,$A5,Loan_Input!$H$3:$H$272),""))</f>
        <v/>
      </c>
      <c r="S5" s="27">
        <f>IF($A5="","",IFERROR(SUMPRODUCT((Loan_Input!$A$3:$A$272=$A5)*Loan_Input!$CB$3:$CB$272*Loan_Input!$H$3:$H$272)/SUMIF(Loan_Input!$A$3:$A$272,$A5,Loan_Input!$H$3:$H$272),""))</f>
        <v/>
      </c>
      <c r="T5" s="27">
        <f>IF($A5="","",IFERROR(SUMPRODUCT((Loan_Input!$A$3:$A$272=$A5)*Loan_Input!$CC$3:$CC$272*Loan_Input!$H$3:$H$272)/SUMIF(Loan_Input!$A$3:$A$272,$A5,Loan_Input!$H$3:$H$272),""))</f>
        <v/>
      </c>
      <c r="U5" s="27">
        <f>IF($A5="","",IFERROR(SUMPRODUCT((Loan_Input!$A$3:$A$272=$A5)*Loan_Input!$CD$3:$CD$272*Loan_Input!$H$3:$H$272)/SUMIF(Loan_Input!$A$3:$A$272,$A5,Loan_Input!$H$3:$H$272),""))</f>
        <v/>
      </c>
      <c r="V5" s="27">
        <f>IF($A5="","",IFERROR(SUMPRODUCT((Loan_Input!$A$3:$A$272=$A5)*Loan_Input!$CE$3:$CE$272*Loan_Input!$H$3:$H$272)/SUMIF(Loan_Input!$A$3:$A$272,$A5,Loan_Input!$H$3:$H$272),""))</f>
        <v/>
      </c>
      <c r="W5" s="27">
        <f>IF($A5="","",IFERROR(SUMPRODUCT((Loan_Input!$A$3:$A$272=$A5)*Loan_Input!$CF$3:$CF$272*Loan_Input!$H$3:$H$272)/SUMIF(Loan_Input!$A$3:$A$272,$A5,Loan_Input!$H$3:$H$272),""))</f>
        <v/>
      </c>
      <c r="X5" s="27">
        <f>IF($A5="","",IFERROR(SUMPRODUCT((Loan_Input!$A$3:$A$272=$A5)*Loan_Input!$CG$3:$CG$272*Loan_Input!$H$3:$H$272)/SUMIF(Loan_Input!$A$3:$A$272,$A5,Loan_Input!$H$3:$H$272),""))</f>
        <v/>
      </c>
      <c r="Y5" s="27">
        <f>IF($A5="","",IFERROR(SUMPRODUCT((Loan_Input!$A$3:$A$272=$A5)*Loan_Input!$CH$3:$CH$272*Loan_Input!$H$3:$H$272)/SUMIF(Loan_Input!$A$3:$A$272,$A5,Loan_Input!$H$3:$H$272),""))</f>
        <v/>
      </c>
      <c r="Z5" s="27">
        <f>IF($A5="","",IFERROR(SUMPRODUCT((Loan_Input!$A$3:$A$272=$A5)*Loan_Input!$CI$3:$CI$272*Loan_Input!$H$3:$H$272)/SUMIF(Loan_Input!$A$3:$A$272,$A5,Loan_Input!$H$3:$H$272),""))</f>
        <v/>
      </c>
      <c r="AA5" s="27">
        <f>IF($A5="","",IFERROR(SUMPRODUCT((Loan_Input!$A$3:$A$272=$A5)*Loan_Input!$CJ$3:$CJ$272*Loan_Input!$H$3:$H$272)/SUMIF(Loan_Input!$A$3:$A$272,$A5,Loan_Input!$H$3:$H$272),""))</f>
        <v/>
      </c>
      <c r="AB5" s="31">
        <f>IF($A5="","",IFERROR(SUMPRODUCT((Loan_Input!$A$3:$A$272=$A5)*Loan_Input!$AQ$3:$AQ$272*Loan_Input!$H$3:$H$272)/SUMIF(Loan_Input!$A$3:$A$272,$A5,Loan_Input!$H$3:$H$272),""))</f>
        <v/>
      </c>
      <c r="AC5" s="31">
        <f>IF($A5="","",IFERROR(SUMPRODUCT((Loan_Input!$A$3:$A$272=$A5)*Loan_Input!$AW$3:$AW$272*Loan_Input!$H$3:$H$272)/SUMIF(Loan_Input!$A$3:$A$272,$A5,Loan_Input!$H$3:$H$272),""))</f>
        <v/>
      </c>
      <c r="AD5" s="31">
        <f>IF($A5="","",IFERROR(SUMPRODUCT((Loan_Input!$A$3:$A$272=$A5)*Loan_Input!$AU$3:$AU$272*Loan_Input!$H$3:$H$272)/SUMIF(Loan_Input!$A$3:$A$272,$A5,Loan_Input!$H$3:$H$272),""))</f>
        <v/>
      </c>
      <c r="AE5" s="31">
        <f>IF($A5="","",IFERROR(SUMPRODUCT((Loan_Input!$A$3:$A$272=$A5)*(Loan_Input!$AO$3:$AO$272="223f")*Loan_Input!$H$3:$H$272)/SUMIF(Loan_Input!$A$3:$A$272,$A5,Loan_Input!$H$3:$H$272),""))</f>
        <v/>
      </c>
      <c r="AF5" s="31">
        <f>IF($A5="","",IFERROR(SUMPRODUCT((Loan_Input!$A$3:$A$272=$A5)*Loan_Input!$AV$3:$AV$272*Loan_Input!$H$3:$H$272)/SUMIF(Loan_Input!$A$3:$A$272,$A5,Loan_Input!$H$3:$H$272),""))</f>
        <v/>
      </c>
      <c r="AG5" s="31">
        <f>IF($A5="","",IFERROR(SUMPRODUCT((Loan_Input!$A$3:$A$272=$A5)*Loan_Input!$AX$3:$AX$272*Loan_Input!$H$3:$H$272)/SUMIF(Loan_Input!$A$3:$A$272,$A5,Loan_Input!$H$3:$H$272),""))</f>
        <v/>
      </c>
      <c r="AH5" s="31">
        <f>IF($A5="","",IFERROR(SUMPRODUCT((Loan_Input!$A$3:$A$272=$A5)*(Loan_Input!$AR$3:$AR$272+Loan_Input!$AS$3:$AS$272)*Loan_Input!$H$3:$H$272)/SUMIF(Loan_Input!$A$3:$A$272,$A5,Loan_Input!$H$3:$H$272),""))</f>
        <v/>
      </c>
    </row>
    <row r="6">
      <c r="B6">
        <f>IF($A6="","",COUNTIF(Loan_Input!$A$3:$A$272,$A6))</f>
        <v/>
      </c>
      <c r="C6" s="26">
        <f>IF($A6="","",SUMIF(Loan_Input!$A$3:$A$272,$A6,Loan_Input!$H$3:$H$272)/1000000)</f>
        <v/>
      </c>
      <c r="D6" s="27">
        <f>IF($A6="","",IFERROR(SUMPRODUCT((Loan_Input!$A$3:$A$272=$A6)*Loan_Input!$BV$3:$BV$272*Loan_Input!$H$3:$H$272)/SUMIF(Loan_Input!$A$3:$A$272,$A6,Loan_Input!$H$3:$H$272),""))</f>
        <v/>
      </c>
      <c r="E6" s="27">
        <f>IF($A6="","",IFERROR(SUMPRODUCT((Loan_Input!$A$3:$A$272=$A6)*Loan_Input!$BW$3:$BW$272*Loan_Input!$H$3:$H$272)/SUMIF(Loan_Input!$A$3:$A$272,$A6,Loan_Input!$H$3:$H$272),""))</f>
        <v/>
      </c>
      <c r="F6" s="28">
        <f>IF($A6="","",IFERROR(SUMPRODUCT((Loan_Input!$A$3:$A$272=$A6)*Loan_Input!$AA$3:$AA$272*Loan_Input!$H$3:$H$272)/SUMIF(Loan_Input!$A$3:$A$272,$A6,Loan_Input!$H$3:$H$272),""))</f>
        <v/>
      </c>
      <c r="G6" s="29">
        <f>IF($A6="","",IFERROR(SUMPRODUCT((Loan_Input!$A$3:$A$272=$A6)*Loan_Input!$G$3:$G$272*Loan_Input!$H$3:$H$272)/SUMIF(Loan_Input!$A$3:$A$272,$A6,Loan_Input!$H$3:$H$272),""))</f>
        <v/>
      </c>
      <c r="H6" s="30">
        <f>IF($A6="","",IFERROR(SUMPRODUCT((Loan_Input!$A$3:$A$272=$A6)*Loan_Input!$AM$3:$AM$272*Loan_Input!$H$3:$H$272)/SUMIF(Loan_Input!$A$3:$A$272,$A6,Loan_Input!$H$3:$H$272),""))</f>
        <v/>
      </c>
      <c r="I6" s="27">
        <f>IF($A6="","",IFERROR(SUMPRODUCT((Loan_Input!$A$3:$A$272=$A6)*Loan_Input!$AK$3:$AK$272*Loan_Input!$H$3:$H$272)/SUMIF(Loan_Input!$A$3:$A$272,$A6,Loan_Input!$H$3:$H$272),""))</f>
        <v/>
      </c>
      <c r="J6" s="30">
        <f>IF($A6="","",IFERROR(SUMPRODUCT((Loan_Input!$A$3:$A$272=$A6)*Loan_Input!$AI$3:$AI$272*Loan_Input!$H$3:$H$272)/SUMIF(Loan_Input!$A$3:$A$272,$A6,Loan_Input!$H$3:$H$272),""))</f>
        <v/>
      </c>
      <c r="K6" s="27">
        <f>IF($A6="","",IFERROR(SUMPRODUCT((Loan_Input!$A$3:$A$272=$A6)*Loan_Input!$AN$3:$AN$272*Loan_Input!$H$3:$H$272)/SUMIF(Loan_Input!$A$3:$A$272,$A6,Loan_Input!$H$3:$H$272),""))</f>
        <v/>
      </c>
      <c r="L6" s="31">
        <f>IF($A6="","",IFERROR(SUMPRODUCT((Loan_Input!$A$3:$A$272=$A6)*Loan_Input!$AD$3:$AD$272*Loan_Input!$H$3:$H$272)/SUMIF(Loan_Input!$A$3:$A$272,$A6,Loan_Input!$H$3:$H$272),""))</f>
        <v/>
      </c>
      <c r="M6" s="31">
        <f>IF($A6="","",IFERROR(SUMPRODUCT((Loan_Input!$A$3:$A$272=$A6)*Loan_Input!$AE$3:$AE$272*Loan_Input!$H$3:$H$272)/SUMIF(Loan_Input!$A$3:$A$272,$A6,Loan_Input!$H$3:$H$272),""))</f>
        <v/>
      </c>
      <c r="N6" s="31">
        <f>IF($A6="","",IFERROR(SUMPRODUCT((Loan_Input!$A$3:$A$272=$A6)*Loan_Input!$AF$3:$AF$272*Loan_Input!$H$3:$H$272)/SUMIF(Loan_Input!$A$3:$A$272,$A6,Loan_Input!$H$3:$H$272),""))</f>
        <v/>
      </c>
      <c r="O6" s="27">
        <f>IF($A6="","",IFERROR(SUMPRODUCT((Loan_Input!$A$3:$A$272=$A6)*Loan_Input!$BX$3:$BX$272*Loan_Input!$H$3:$H$272)/SUMIF(Loan_Input!$A$3:$A$272,$A6,Loan_Input!$H$3:$H$272),""))</f>
        <v/>
      </c>
      <c r="P6" s="27">
        <f>IF($A6="","",IFERROR(SUMPRODUCT((Loan_Input!$A$3:$A$272=$A6)*Loan_Input!$BY$3:$BY$272*Loan_Input!$H$3:$H$272)/SUMIF(Loan_Input!$A$3:$A$272,$A6,Loan_Input!$H$3:$H$272),""))</f>
        <v/>
      </c>
      <c r="Q6" s="27">
        <f>IF($A6="","",IFERROR(SUMPRODUCT((Loan_Input!$A$3:$A$272=$A6)*Loan_Input!$BZ$3:$BZ$272*Loan_Input!$H$3:$H$272)/SUMIF(Loan_Input!$A$3:$A$272,$A6,Loan_Input!$H$3:$H$272),""))</f>
        <v/>
      </c>
      <c r="R6" s="27">
        <f>IF($A6="","",IFERROR(SUMPRODUCT((Loan_Input!$A$3:$A$272=$A6)*Loan_Input!$CA$3:$CA$272*Loan_Input!$H$3:$H$272)/SUMIF(Loan_Input!$A$3:$A$272,$A6,Loan_Input!$H$3:$H$272),""))</f>
        <v/>
      </c>
      <c r="S6" s="27">
        <f>IF($A6="","",IFERROR(SUMPRODUCT((Loan_Input!$A$3:$A$272=$A6)*Loan_Input!$CB$3:$CB$272*Loan_Input!$H$3:$H$272)/SUMIF(Loan_Input!$A$3:$A$272,$A6,Loan_Input!$H$3:$H$272),""))</f>
        <v/>
      </c>
      <c r="T6" s="27">
        <f>IF($A6="","",IFERROR(SUMPRODUCT((Loan_Input!$A$3:$A$272=$A6)*Loan_Input!$CC$3:$CC$272*Loan_Input!$H$3:$H$272)/SUMIF(Loan_Input!$A$3:$A$272,$A6,Loan_Input!$H$3:$H$272),""))</f>
        <v/>
      </c>
      <c r="U6" s="27">
        <f>IF($A6="","",IFERROR(SUMPRODUCT((Loan_Input!$A$3:$A$272=$A6)*Loan_Input!$CD$3:$CD$272*Loan_Input!$H$3:$H$272)/SUMIF(Loan_Input!$A$3:$A$272,$A6,Loan_Input!$H$3:$H$272),""))</f>
        <v/>
      </c>
      <c r="V6" s="27">
        <f>IF($A6="","",IFERROR(SUMPRODUCT((Loan_Input!$A$3:$A$272=$A6)*Loan_Input!$CE$3:$CE$272*Loan_Input!$H$3:$H$272)/SUMIF(Loan_Input!$A$3:$A$272,$A6,Loan_Input!$H$3:$H$272),""))</f>
        <v/>
      </c>
      <c r="W6" s="27">
        <f>IF($A6="","",IFERROR(SUMPRODUCT((Loan_Input!$A$3:$A$272=$A6)*Loan_Input!$CF$3:$CF$272*Loan_Input!$H$3:$H$272)/SUMIF(Loan_Input!$A$3:$A$272,$A6,Loan_Input!$H$3:$H$272),""))</f>
        <v/>
      </c>
      <c r="X6" s="27">
        <f>IF($A6="","",IFERROR(SUMPRODUCT((Loan_Input!$A$3:$A$272=$A6)*Loan_Input!$CG$3:$CG$272*Loan_Input!$H$3:$H$272)/SUMIF(Loan_Input!$A$3:$A$272,$A6,Loan_Input!$H$3:$H$272),""))</f>
        <v/>
      </c>
      <c r="Y6" s="27">
        <f>IF($A6="","",IFERROR(SUMPRODUCT((Loan_Input!$A$3:$A$272=$A6)*Loan_Input!$CH$3:$CH$272*Loan_Input!$H$3:$H$272)/SUMIF(Loan_Input!$A$3:$A$272,$A6,Loan_Input!$H$3:$H$272),""))</f>
        <v/>
      </c>
      <c r="Z6" s="27">
        <f>IF($A6="","",IFERROR(SUMPRODUCT((Loan_Input!$A$3:$A$272=$A6)*Loan_Input!$CI$3:$CI$272*Loan_Input!$H$3:$H$272)/SUMIF(Loan_Input!$A$3:$A$272,$A6,Loan_Input!$H$3:$H$272),""))</f>
        <v/>
      </c>
      <c r="AA6" s="27">
        <f>IF($A6="","",IFERROR(SUMPRODUCT((Loan_Input!$A$3:$A$272=$A6)*Loan_Input!$CJ$3:$CJ$272*Loan_Input!$H$3:$H$272)/SUMIF(Loan_Input!$A$3:$A$272,$A6,Loan_Input!$H$3:$H$272),""))</f>
        <v/>
      </c>
      <c r="AB6" s="31">
        <f>IF($A6="","",IFERROR(SUMPRODUCT((Loan_Input!$A$3:$A$272=$A6)*Loan_Input!$AQ$3:$AQ$272*Loan_Input!$H$3:$H$272)/SUMIF(Loan_Input!$A$3:$A$272,$A6,Loan_Input!$H$3:$H$272),""))</f>
        <v/>
      </c>
      <c r="AC6" s="31">
        <f>IF($A6="","",IFERROR(SUMPRODUCT((Loan_Input!$A$3:$A$272=$A6)*Loan_Input!$AW$3:$AW$272*Loan_Input!$H$3:$H$272)/SUMIF(Loan_Input!$A$3:$A$272,$A6,Loan_Input!$H$3:$H$272),""))</f>
        <v/>
      </c>
      <c r="AD6" s="31">
        <f>IF($A6="","",IFERROR(SUMPRODUCT((Loan_Input!$A$3:$A$272=$A6)*Loan_Input!$AU$3:$AU$272*Loan_Input!$H$3:$H$272)/SUMIF(Loan_Input!$A$3:$A$272,$A6,Loan_Input!$H$3:$H$272),""))</f>
        <v/>
      </c>
      <c r="AE6" s="31">
        <f>IF($A6="","",IFERROR(SUMPRODUCT((Loan_Input!$A$3:$A$272=$A6)*(Loan_Input!$AO$3:$AO$272="223f")*Loan_Input!$H$3:$H$272)/SUMIF(Loan_Input!$A$3:$A$272,$A6,Loan_Input!$H$3:$H$272),""))</f>
        <v/>
      </c>
      <c r="AF6" s="31">
        <f>IF($A6="","",IFERROR(SUMPRODUCT((Loan_Input!$A$3:$A$272=$A6)*Loan_Input!$AV$3:$AV$272*Loan_Input!$H$3:$H$272)/SUMIF(Loan_Input!$A$3:$A$272,$A6,Loan_Input!$H$3:$H$272),""))</f>
        <v/>
      </c>
      <c r="AG6" s="31">
        <f>IF($A6="","",IFERROR(SUMPRODUCT((Loan_Input!$A$3:$A$272=$A6)*Loan_Input!$AX$3:$AX$272*Loan_Input!$H$3:$H$272)/SUMIF(Loan_Input!$A$3:$A$272,$A6,Loan_Input!$H$3:$H$272),""))</f>
        <v/>
      </c>
      <c r="AH6" s="31">
        <f>IF($A6="","",IFERROR(SUMPRODUCT((Loan_Input!$A$3:$A$272=$A6)*(Loan_Input!$AR$3:$AR$272+Loan_Input!$AS$3:$AS$272)*Loan_Input!$H$3:$H$272)/SUMIF(Loan_Input!$A$3:$A$272,$A6,Loan_Input!$H$3:$H$272),""))</f>
        <v/>
      </c>
    </row>
    <row r="7">
      <c r="B7">
        <f>IF($A7="","",COUNTIF(Loan_Input!$A$3:$A$272,$A7))</f>
        <v/>
      </c>
      <c r="C7" s="26">
        <f>IF($A7="","",SUMIF(Loan_Input!$A$3:$A$272,$A7,Loan_Input!$H$3:$H$272)/1000000)</f>
        <v/>
      </c>
      <c r="D7" s="27">
        <f>IF($A7="","",IFERROR(SUMPRODUCT((Loan_Input!$A$3:$A$272=$A7)*Loan_Input!$BV$3:$BV$272*Loan_Input!$H$3:$H$272)/SUMIF(Loan_Input!$A$3:$A$272,$A7,Loan_Input!$H$3:$H$272),""))</f>
        <v/>
      </c>
      <c r="E7" s="27">
        <f>IF($A7="","",IFERROR(SUMPRODUCT((Loan_Input!$A$3:$A$272=$A7)*Loan_Input!$BW$3:$BW$272*Loan_Input!$H$3:$H$272)/SUMIF(Loan_Input!$A$3:$A$272,$A7,Loan_Input!$H$3:$H$272),""))</f>
        <v/>
      </c>
      <c r="F7" s="28">
        <f>IF($A7="","",IFERROR(SUMPRODUCT((Loan_Input!$A$3:$A$272=$A7)*Loan_Input!$AA$3:$AA$272*Loan_Input!$H$3:$H$272)/SUMIF(Loan_Input!$A$3:$A$272,$A7,Loan_Input!$H$3:$H$272),""))</f>
        <v/>
      </c>
      <c r="G7" s="29">
        <f>IF($A7="","",IFERROR(SUMPRODUCT((Loan_Input!$A$3:$A$272=$A7)*Loan_Input!$G$3:$G$272*Loan_Input!$H$3:$H$272)/SUMIF(Loan_Input!$A$3:$A$272,$A7,Loan_Input!$H$3:$H$272),""))</f>
        <v/>
      </c>
      <c r="H7" s="30">
        <f>IF($A7="","",IFERROR(SUMPRODUCT((Loan_Input!$A$3:$A$272=$A7)*Loan_Input!$AM$3:$AM$272*Loan_Input!$H$3:$H$272)/SUMIF(Loan_Input!$A$3:$A$272,$A7,Loan_Input!$H$3:$H$272),""))</f>
        <v/>
      </c>
      <c r="I7" s="27">
        <f>IF($A7="","",IFERROR(SUMPRODUCT((Loan_Input!$A$3:$A$272=$A7)*Loan_Input!$AK$3:$AK$272*Loan_Input!$H$3:$H$272)/SUMIF(Loan_Input!$A$3:$A$272,$A7,Loan_Input!$H$3:$H$272),""))</f>
        <v/>
      </c>
      <c r="J7" s="30">
        <f>IF($A7="","",IFERROR(SUMPRODUCT((Loan_Input!$A$3:$A$272=$A7)*Loan_Input!$AI$3:$AI$272*Loan_Input!$H$3:$H$272)/SUMIF(Loan_Input!$A$3:$A$272,$A7,Loan_Input!$H$3:$H$272),""))</f>
        <v/>
      </c>
      <c r="K7" s="27">
        <f>IF($A7="","",IFERROR(SUMPRODUCT((Loan_Input!$A$3:$A$272=$A7)*Loan_Input!$AN$3:$AN$272*Loan_Input!$H$3:$H$272)/SUMIF(Loan_Input!$A$3:$A$272,$A7,Loan_Input!$H$3:$H$272),""))</f>
        <v/>
      </c>
      <c r="L7" s="31">
        <f>IF($A7="","",IFERROR(SUMPRODUCT((Loan_Input!$A$3:$A$272=$A7)*Loan_Input!$AD$3:$AD$272*Loan_Input!$H$3:$H$272)/SUMIF(Loan_Input!$A$3:$A$272,$A7,Loan_Input!$H$3:$H$272),""))</f>
        <v/>
      </c>
      <c r="M7" s="31">
        <f>IF($A7="","",IFERROR(SUMPRODUCT((Loan_Input!$A$3:$A$272=$A7)*Loan_Input!$AE$3:$AE$272*Loan_Input!$H$3:$H$272)/SUMIF(Loan_Input!$A$3:$A$272,$A7,Loan_Input!$H$3:$H$272),""))</f>
        <v/>
      </c>
      <c r="N7" s="31">
        <f>IF($A7="","",IFERROR(SUMPRODUCT((Loan_Input!$A$3:$A$272=$A7)*Loan_Input!$AF$3:$AF$272*Loan_Input!$H$3:$H$272)/SUMIF(Loan_Input!$A$3:$A$272,$A7,Loan_Input!$H$3:$H$272),""))</f>
        <v/>
      </c>
      <c r="O7" s="27">
        <f>IF($A7="","",IFERROR(SUMPRODUCT((Loan_Input!$A$3:$A$272=$A7)*Loan_Input!$BX$3:$BX$272*Loan_Input!$H$3:$H$272)/SUMIF(Loan_Input!$A$3:$A$272,$A7,Loan_Input!$H$3:$H$272),""))</f>
        <v/>
      </c>
      <c r="P7" s="27">
        <f>IF($A7="","",IFERROR(SUMPRODUCT((Loan_Input!$A$3:$A$272=$A7)*Loan_Input!$BY$3:$BY$272*Loan_Input!$H$3:$H$272)/SUMIF(Loan_Input!$A$3:$A$272,$A7,Loan_Input!$H$3:$H$272),""))</f>
        <v/>
      </c>
      <c r="Q7" s="27">
        <f>IF($A7="","",IFERROR(SUMPRODUCT((Loan_Input!$A$3:$A$272=$A7)*Loan_Input!$BZ$3:$BZ$272*Loan_Input!$H$3:$H$272)/SUMIF(Loan_Input!$A$3:$A$272,$A7,Loan_Input!$H$3:$H$272),""))</f>
        <v/>
      </c>
      <c r="R7" s="27">
        <f>IF($A7="","",IFERROR(SUMPRODUCT((Loan_Input!$A$3:$A$272=$A7)*Loan_Input!$CA$3:$CA$272*Loan_Input!$H$3:$H$272)/SUMIF(Loan_Input!$A$3:$A$272,$A7,Loan_Input!$H$3:$H$272),""))</f>
        <v/>
      </c>
      <c r="S7" s="27">
        <f>IF($A7="","",IFERROR(SUMPRODUCT((Loan_Input!$A$3:$A$272=$A7)*Loan_Input!$CB$3:$CB$272*Loan_Input!$H$3:$H$272)/SUMIF(Loan_Input!$A$3:$A$272,$A7,Loan_Input!$H$3:$H$272),""))</f>
        <v/>
      </c>
      <c r="T7" s="27">
        <f>IF($A7="","",IFERROR(SUMPRODUCT((Loan_Input!$A$3:$A$272=$A7)*Loan_Input!$CC$3:$CC$272*Loan_Input!$H$3:$H$272)/SUMIF(Loan_Input!$A$3:$A$272,$A7,Loan_Input!$H$3:$H$272),""))</f>
        <v/>
      </c>
      <c r="U7" s="27">
        <f>IF($A7="","",IFERROR(SUMPRODUCT((Loan_Input!$A$3:$A$272=$A7)*Loan_Input!$CD$3:$CD$272*Loan_Input!$H$3:$H$272)/SUMIF(Loan_Input!$A$3:$A$272,$A7,Loan_Input!$H$3:$H$272),""))</f>
        <v/>
      </c>
      <c r="V7" s="27">
        <f>IF($A7="","",IFERROR(SUMPRODUCT((Loan_Input!$A$3:$A$272=$A7)*Loan_Input!$CE$3:$CE$272*Loan_Input!$H$3:$H$272)/SUMIF(Loan_Input!$A$3:$A$272,$A7,Loan_Input!$H$3:$H$272),""))</f>
        <v/>
      </c>
      <c r="W7" s="27">
        <f>IF($A7="","",IFERROR(SUMPRODUCT((Loan_Input!$A$3:$A$272=$A7)*Loan_Input!$CF$3:$CF$272*Loan_Input!$H$3:$H$272)/SUMIF(Loan_Input!$A$3:$A$272,$A7,Loan_Input!$H$3:$H$272),""))</f>
        <v/>
      </c>
      <c r="X7" s="27">
        <f>IF($A7="","",IFERROR(SUMPRODUCT((Loan_Input!$A$3:$A$272=$A7)*Loan_Input!$CG$3:$CG$272*Loan_Input!$H$3:$H$272)/SUMIF(Loan_Input!$A$3:$A$272,$A7,Loan_Input!$H$3:$H$272),""))</f>
        <v/>
      </c>
      <c r="Y7" s="27">
        <f>IF($A7="","",IFERROR(SUMPRODUCT((Loan_Input!$A$3:$A$272=$A7)*Loan_Input!$CH$3:$CH$272*Loan_Input!$H$3:$H$272)/SUMIF(Loan_Input!$A$3:$A$272,$A7,Loan_Input!$H$3:$H$272),""))</f>
        <v/>
      </c>
      <c r="Z7" s="27">
        <f>IF($A7="","",IFERROR(SUMPRODUCT((Loan_Input!$A$3:$A$272=$A7)*Loan_Input!$CI$3:$CI$272*Loan_Input!$H$3:$H$272)/SUMIF(Loan_Input!$A$3:$A$272,$A7,Loan_Input!$H$3:$H$272),""))</f>
        <v/>
      </c>
      <c r="AA7" s="27">
        <f>IF($A7="","",IFERROR(SUMPRODUCT((Loan_Input!$A$3:$A$272=$A7)*Loan_Input!$CJ$3:$CJ$272*Loan_Input!$H$3:$H$272)/SUMIF(Loan_Input!$A$3:$A$272,$A7,Loan_Input!$H$3:$H$272),""))</f>
        <v/>
      </c>
      <c r="AB7" s="31">
        <f>IF($A7="","",IFERROR(SUMPRODUCT((Loan_Input!$A$3:$A$272=$A7)*Loan_Input!$AQ$3:$AQ$272*Loan_Input!$H$3:$H$272)/SUMIF(Loan_Input!$A$3:$A$272,$A7,Loan_Input!$H$3:$H$272),""))</f>
        <v/>
      </c>
      <c r="AC7" s="31">
        <f>IF($A7="","",IFERROR(SUMPRODUCT((Loan_Input!$A$3:$A$272=$A7)*Loan_Input!$AW$3:$AW$272*Loan_Input!$H$3:$H$272)/SUMIF(Loan_Input!$A$3:$A$272,$A7,Loan_Input!$H$3:$H$272),""))</f>
        <v/>
      </c>
      <c r="AD7" s="31">
        <f>IF($A7="","",IFERROR(SUMPRODUCT((Loan_Input!$A$3:$A$272=$A7)*Loan_Input!$AU$3:$AU$272*Loan_Input!$H$3:$H$272)/SUMIF(Loan_Input!$A$3:$A$272,$A7,Loan_Input!$H$3:$H$272),""))</f>
        <v/>
      </c>
      <c r="AE7" s="31">
        <f>IF($A7="","",IFERROR(SUMPRODUCT((Loan_Input!$A$3:$A$272=$A7)*(Loan_Input!$AO$3:$AO$272="223f")*Loan_Input!$H$3:$H$272)/SUMIF(Loan_Input!$A$3:$A$272,$A7,Loan_Input!$H$3:$H$272),""))</f>
        <v/>
      </c>
      <c r="AF7" s="31">
        <f>IF($A7="","",IFERROR(SUMPRODUCT((Loan_Input!$A$3:$A$272=$A7)*Loan_Input!$AV$3:$AV$272*Loan_Input!$H$3:$H$272)/SUMIF(Loan_Input!$A$3:$A$272,$A7,Loan_Input!$H$3:$H$272),""))</f>
        <v/>
      </c>
      <c r="AG7" s="31">
        <f>IF($A7="","",IFERROR(SUMPRODUCT((Loan_Input!$A$3:$A$272=$A7)*Loan_Input!$AX$3:$AX$272*Loan_Input!$H$3:$H$272)/SUMIF(Loan_Input!$A$3:$A$272,$A7,Loan_Input!$H$3:$H$272),""))</f>
        <v/>
      </c>
      <c r="AH7" s="31">
        <f>IF($A7="","",IFERROR(SUMPRODUCT((Loan_Input!$A$3:$A$272=$A7)*(Loan_Input!$AR$3:$AR$272+Loan_Input!$AS$3:$AS$272)*Loan_Input!$H$3:$H$272)/SUMIF(Loan_Input!$A$3:$A$272,$A7,Loan_Input!$H$3:$H$272),""))</f>
        <v/>
      </c>
    </row>
    <row r="8">
      <c r="B8">
        <f>IF($A8="","",COUNTIF(Loan_Input!$A$3:$A$272,$A8))</f>
        <v/>
      </c>
      <c r="C8" s="26">
        <f>IF($A8="","",SUMIF(Loan_Input!$A$3:$A$272,$A8,Loan_Input!$H$3:$H$272)/1000000)</f>
        <v/>
      </c>
      <c r="D8" s="27">
        <f>IF($A8="","",IFERROR(SUMPRODUCT((Loan_Input!$A$3:$A$272=$A8)*Loan_Input!$BV$3:$BV$272*Loan_Input!$H$3:$H$272)/SUMIF(Loan_Input!$A$3:$A$272,$A8,Loan_Input!$H$3:$H$272),""))</f>
        <v/>
      </c>
      <c r="E8" s="27">
        <f>IF($A8="","",IFERROR(SUMPRODUCT((Loan_Input!$A$3:$A$272=$A8)*Loan_Input!$BW$3:$BW$272*Loan_Input!$H$3:$H$272)/SUMIF(Loan_Input!$A$3:$A$272,$A8,Loan_Input!$H$3:$H$272),""))</f>
        <v/>
      </c>
      <c r="F8" s="28">
        <f>IF($A8="","",IFERROR(SUMPRODUCT((Loan_Input!$A$3:$A$272=$A8)*Loan_Input!$AA$3:$AA$272*Loan_Input!$H$3:$H$272)/SUMIF(Loan_Input!$A$3:$A$272,$A8,Loan_Input!$H$3:$H$272),""))</f>
        <v/>
      </c>
      <c r="G8" s="29">
        <f>IF($A8="","",IFERROR(SUMPRODUCT((Loan_Input!$A$3:$A$272=$A8)*Loan_Input!$G$3:$G$272*Loan_Input!$H$3:$H$272)/SUMIF(Loan_Input!$A$3:$A$272,$A8,Loan_Input!$H$3:$H$272),""))</f>
        <v/>
      </c>
      <c r="H8" s="30">
        <f>IF($A8="","",IFERROR(SUMPRODUCT((Loan_Input!$A$3:$A$272=$A8)*Loan_Input!$AM$3:$AM$272*Loan_Input!$H$3:$H$272)/SUMIF(Loan_Input!$A$3:$A$272,$A8,Loan_Input!$H$3:$H$272),""))</f>
        <v/>
      </c>
      <c r="I8" s="27">
        <f>IF($A8="","",IFERROR(SUMPRODUCT((Loan_Input!$A$3:$A$272=$A8)*Loan_Input!$AK$3:$AK$272*Loan_Input!$H$3:$H$272)/SUMIF(Loan_Input!$A$3:$A$272,$A8,Loan_Input!$H$3:$H$272),""))</f>
        <v/>
      </c>
      <c r="J8" s="30">
        <f>IF($A8="","",IFERROR(SUMPRODUCT((Loan_Input!$A$3:$A$272=$A8)*Loan_Input!$AI$3:$AI$272*Loan_Input!$H$3:$H$272)/SUMIF(Loan_Input!$A$3:$A$272,$A8,Loan_Input!$H$3:$H$272),""))</f>
        <v/>
      </c>
      <c r="K8" s="27">
        <f>IF($A8="","",IFERROR(SUMPRODUCT((Loan_Input!$A$3:$A$272=$A8)*Loan_Input!$AN$3:$AN$272*Loan_Input!$H$3:$H$272)/SUMIF(Loan_Input!$A$3:$A$272,$A8,Loan_Input!$H$3:$H$272),""))</f>
        <v/>
      </c>
      <c r="L8" s="31">
        <f>IF($A8="","",IFERROR(SUMPRODUCT((Loan_Input!$A$3:$A$272=$A8)*Loan_Input!$AD$3:$AD$272*Loan_Input!$H$3:$H$272)/SUMIF(Loan_Input!$A$3:$A$272,$A8,Loan_Input!$H$3:$H$272),""))</f>
        <v/>
      </c>
      <c r="M8" s="31">
        <f>IF($A8="","",IFERROR(SUMPRODUCT((Loan_Input!$A$3:$A$272=$A8)*Loan_Input!$AE$3:$AE$272*Loan_Input!$H$3:$H$272)/SUMIF(Loan_Input!$A$3:$A$272,$A8,Loan_Input!$H$3:$H$272),""))</f>
        <v/>
      </c>
      <c r="N8" s="31">
        <f>IF($A8="","",IFERROR(SUMPRODUCT((Loan_Input!$A$3:$A$272=$A8)*Loan_Input!$AF$3:$AF$272*Loan_Input!$H$3:$H$272)/SUMIF(Loan_Input!$A$3:$A$272,$A8,Loan_Input!$H$3:$H$272),""))</f>
        <v/>
      </c>
      <c r="O8" s="27">
        <f>IF($A8="","",IFERROR(SUMPRODUCT((Loan_Input!$A$3:$A$272=$A8)*Loan_Input!$BX$3:$BX$272*Loan_Input!$H$3:$H$272)/SUMIF(Loan_Input!$A$3:$A$272,$A8,Loan_Input!$H$3:$H$272),""))</f>
        <v/>
      </c>
      <c r="P8" s="27">
        <f>IF($A8="","",IFERROR(SUMPRODUCT((Loan_Input!$A$3:$A$272=$A8)*Loan_Input!$BY$3:$BY$272*Loan_Input!$H$3:$H$272)/SUMIF(Loan_Input!$A$3:$A$272,$A8,Loan_Input!$H$3:$H$272),""))</f>
        <v/>
      </c>
      <c r="Q8" s="27">
        <f>IF($A8="","",IFERROR(SUMPRODUCT((Loan_Input!$A$3:$A$272=$A8)*Loan_Input!$BZ$3:$BZ$272*Loan_Input!$H$3:$H$272)/SUMIF(Loan_Input!$A$3:$A$272,$A8,Loan_Input!$H$3:$H$272),""))</f>
        <v/>
      </c>
      <c r="R8" s="27">
        <f>IF($A8="","",IFERROR(SUMPRODUCT((Loan_Input!$A$3:$A$272=$A8)*Loan_Input!$CA$3:$CA$272*Loan_Input!$H$3:$H$272)/SUMIF(Loan_Input!$A$3:$A$272,$A8,Loan_Input!$H$3:$H$272),""))</f>
        <v/>
      </c>
      <c r="S8" s="27">
        <f>IF($A8="","",IFERROR(SUMPRODUCT((Loan_Input!$A$3:$A$272=$A8)*Loan_Input!$CB$3:$CB$272*Loan_Input!$H$3:$H$272)/SUMIF(Loan_Input!$A$3:$A$272,$A8,Loan_Input!$H$3:$H$272),""))</f>
        <v/>
      </c>
      <c r="T8" s="27">
        <f>IF($A8="","",IFERROR(SUMPRODUCT((Loan_Input!$A$3:$A$272=$A8)*Loan_Input!$CC$3:$CC$272*Loan_Input!$H$3:$H$272)/SUMIF(Loan_Input!$A$3:$A$272,$A8,Loan_Input!$H$3:$H$272),""))</f>
        <v/>
      </c>
      <c r="U8" s="27">
        <f>IF($A8="","",IFERROR(SUMPRODUCT((Loan_Input!$A$3:$A$272=$A8)*Loan_Input!$CD$3:$CD$272*Loan_Input!$H$3:$H$272)/SUMIF(Loan_Input!$A$3:$A$272,$A8,Loan_Input!$H$3:$H$272),""))</f>
        <v/>
      </c>
      <c r="V8" s="27">
        <f>IF($A8="","",IFERROR(SUMPRODUCT((Loan_Input!$A$3:$A$272=$A8)*Loan_Input!$CE$3:$CE$272*Loan_Input!$H$3:$H$272)/SUMIF(Loan_Input!$A$3:$A$272,$A8,Loan_Input!$H$3:$H$272),""))</f>
        <v/>
      </c>
      <c r="W8" s="27">
        <f>IF($A8="","",IFERROR(SUMPRODUCT((Loan_Input!$A$3:$A$272=$A8)*Loan_Input!$CF$3:$CF$272*Loan_Input!$H$3:$H$272)/SUMIF(Loan_Input!$A$3:$A$272,$A8,Loan_Input!$H$3:$H$272),""))</f>
        <v/>
      </c>
      <c r="X8" s="27">
        <f>IF($A8="","",IFERROR(SUMPRODUCT((Loan_Input!$A$3:$A$272=$A8)*Loan_Input!$CG$3:$CG$272*Loan_Input!$H$3:$H$272)/SUMIF(Loan_Input!$A$3:$A$272,$A8,Loan_Input!$H$3:$H$272),""))</f>
        <v/>
      </c>
      <c r="Y8" s="27">
        <f>IF($A8="","",IFERROR(SUMPRODUCT((Loan_Input!$A$3:$A$272=$A8)*Loan_Input!$CH$3:$CH$272*Loan_Input!$H$3:$H$272)/SUMIF(Loan_Input!$A$3:$A$272,$A8,Loan_Input!$H$3:$H$272),""))</f>
        <v/>
      </c>
      <c r="Z8" s="27">
        <f>IF($A8="","",IFERROR(SUMPRODUCT((Loan_Input!$A$3:$A$272=$A8)*Loan_Input!$CI$3:$CI$272*Loan_Input!$H$3:$H$272)/SUMIF(Loan_Input!$A$3:$A$272,$A8,Loan_Input!$H$3:$H$272),""))</f>
        <v/>
      </c>
      <c r="AA8" s="27">
        <f>IF($A8="","",IFERROR(SUMPRODUCT((Loan_Input!$A$3:$A$272=$A8)*Loan_Input!$CJ$3:$CJ$272*Loan_Input!$H$3:$H$272)/SUMIF(Loan_Input!$A$3:$A$272,$A8,Loan_Input!$H$3:$H$272),""))</f>
        <v/>
      </c>
      <c r="AB8" s="31">
        <f>IF($A8="","",IFERROR(SUMPRODUCT((Loan_Input!$A$3:$A$272=$A8)*Loan_Input!$AQ$3:$AQ$272*Loan_Input!$H$3:$H$272)/SUMIF(Loan_Input!$A$3:$A$272,$A8,Loan_Input!$H$3:$H$272),""))</f>
        <v/>
      </c>
      <c r="AC8" s="31">
        <f>IF($A8="","",IFERROR(SUMPRODUCT((Loan_Input!$A$3:$A$272=$A8)*Loan_Input!$AW$3:$AW$272*Loan_Input!$H$3:$H$272)/SUMIF(Loan_Input!$A$3:$A$272,$A8,Loan_Input!$H$3:$H$272),""))</f>
        <v/>
      </c>
      <c r="AD8" s="31">
        <f>IF($A8="","",IFERROR(SUMPRODUCT((Loan_Input!$A$3:$A$272=$A8)*Loan_Input!$AU$3:$AU$272*Loan_Input!$H$3:$H$272)/SUMIF(Loan_Input!$A$3:$A$272,$A8,Loan_Input!$H$3:$H$272),""))</f>
        <v/>
      </c>
      <c r="AE8" s="31">
        <f>IF($A8="","",IFERROR(SUMPRODUCT((Loan_Input!$A$3:$A$272=$A8)*(Loan_Input!$AO$3:$AO$272="223f")*Loan_Input!$H$3:$H$272)/SUMIF(Loan_Input!$A$3:$A$272,$A8,Loan_Input!$H$3:$H$272),""))</f>
        <v/>
      </c>
      <c r="AF8" s="31">
        <f>IF($A8="","",IFERROR(SUMPRODUCT((Loan_Input!$A$3:$A$272=$A8)*Loan_Input!$AV$3:$AV$272*Loan_Input!$H$3:$H$272)/SUMIF(Loan_Input!$A$3:$A$272,$A8,Loan_Input!$H$3:$H$272),""))</f>
        <v/>
      </c>
      <c r="AG8" s="31">
        <f>IF($A8="","",IFERROR(SUMPRODUCT((Loan_Input!$A$3:$A$272=$A8)*Loan_Input!$AX$3:$AX$272*Loan_Input!$H$3:$H$272)/SUMIF(Loan_Input!$A$3:$A$272,$A8,Loan_Input!$H$3:$H$272),""))</f>
        <v/>
      </c>
      <c r="AH8" s="31">
        <f>IF($A8="","",IFERROR(SUMPRODUCT((Loan_Input!$A$3:$A$272=$A8)*(Loan_Input!$AR$3:$AR$272+Loan_Input!$AS$3:$AS$272)*Loan_Input!$H$3:$H$272)/SUMIF(Loan_Input!$A$3:$A$272,$A8,Loan_Input!$H$3:$H$272),""))</f>
        <v/>
      </c>
    </row>
    <row r="9">
      <c r="B9">
        <f>IF($A9="","",COUNTIF(Loan_Input!$A$3:$A$272,$A9))</f>
        <v/>
      </c>
      <c r="C9" s="26">
        <f>IF($A9="","",SUMIF(Loan_Input!$A$3:$A$272,$A9,Loan_Input!$H$3:$H$272)/1000000)</f>
        <v/>
      </c>
      <c r="D9" s="27">
        <f>IF($A9="","",IFERROR(SUMPRODUCT((Loan_Input!$A$3:$A$272=$A9)*Loan_Input!$BV$3:$BV$272*Loan_Input!$H$3:$H$272)/SUMIF(Loan_Input!$A$3:$A$272,$A9,Loan_Input!$H$3:$H$272),""))</f>
        <v/>
      </c>
      <c r="E9" s="27">
        <f>IF($A9="","",IFERROR(SUMPRODUCT((Loan_Input!$A$3:$A$272=$A9)*Loan_Input!$BW$3:$BW$272*Loan_Input!$H$3:$H$272)/SUMIF(Loan_Input!$A$3:$A$272,$A9,Loan_Input!$H$3:$H$272),""))</f>
        <v/>
      </c>
      <c r="F9" s="28">
        <f>IF($A9="","",IFERROR(SUMPRODUCT((Loan_Input!$A$3:$A$272=$A9)*Loan_Input!$AA$3:$AA$272*Loan_Input!$H$3:$H$272)/SUMIF(Loan_Input!$A$3:$A$272,$A9,Loan_Input!$H$3:$H$272),""))</f>
        <v/>
      </c>
      <c r="G9" s="29">
        <f>IF($A9="","",IFERROR(SUMPRODUCT((Loan_Input!$A$3:$A$272=$A9)*Loan_Input!$G$3:$G$272*Loan_Input!$H$3:$H$272)/SUMIF(Loan_Input!$A$3:$A$272,$A9,Loan_Input!$H$3:$H$272),""))</f>
        <v/>
      </c>
      <c r="H9" s="30">
        <f>IF($A9="","",IFERROR(SUMPRODUCT((Loan_Input!$A$3:$A$272=$A9)*Loan_Input!$AM$3:$AM$272*Loan_Input!$H$3:$H$272)/SUMIF(Loan_Input!$A$3:$A$272,$A9,Loan_Input!$H$3:$H$272),""))</f>
        <v/>
      </c>
      <c r="I9" s="27">
        <f>IF($A9="","",IFERROR(SUMPRODUCT((Loan_Input!$A$3:$A$272=$A9)*Loan_Input!$AK$3:$AK$272*Loan_Input!$H$3:$H$272)/SUMIF(Loan_Input!$A$3:$A$272,$A9,Loan_Input!$H$3:$H$272),""))</f>
        <v/>
      </c>
      <c r="J9" s="30">
        <f>IF($A9="","",IFERROR(SUMPRODUCT((Loan_Input!$A$3:$A$272=$A9)*Loan_Input!$AI$3:$AI$272*Loan_Input!$H$3:$H$272)/SUMIF(Loan_Input!$A$3:$A$272,$A9,Loan_Input!$H$3:$H$272),""))</f>
        <v/>
      </c>
      <c r="K9" s="27">
        <f>IF($A9="","",IFERROR(SUMPRODUCT((Loan_Input!$A$3:$A$272=$A9)*Loan_Input!$AN$3:$AN$272*Loan_Input!$H$3:$H$272)/SUMIF(Loan_Input!$A$3:$A$272,$A9,Loan_Input!$H$3:$H$272),""))</f>
        <v/>
      </c>
      <c r="L9" s="31">
        <f>IF($A9="","",IFERROR(SUMPRODUCT((Loan_Input!$A$3:$A$272=$A9)*Loan_Input!$AD$3:$AD$272*Loan_Input!$H$3:$H$272)/SUMIF(Loan_Input!$A$3:$A$272,$A9,Loan_Input!$H$3:$H$272),""))</f>
        <v/>
      </c>
      <c r="M9" s="31">
        <f>IF($A9="","",IFERROR(SUMPRODUCT((Loan_Input!$A$3:$A$272=$A9)*Loan_Input!$AE$3:$AE$272*Loan_Input!$H$3:$H$272)/SUMIF(Loan_Input!$A$3:$A$272,$A9,Loan_Input!$H$3:$H$272),""))</f>
        <v/>
      </c>
      <c r="N9" s="31">
        <f>IF($A9="","",IFERROR(SUMPRODUCT((Loan_Input!$A$3:$A$272=$A9)*Loan_Input!$AF$3:$AF$272*Loan_Input!$H$3:$H$272)/SUMIF(Loan_Input!$A$3:$A$272,$A9,Loan_Input!$H$3:$H$272),""))</f>
        <v/>
      </c>
      <c r="O9" s="27">
        <f>IF($A9="","",IFERROR(SUMPRODUCT((Loan_Input!$A$3:$A$272=$A9)*Loan_Input!$BX$3:$BX$272*Loan_Input!$H$3:$H$272)/SUMIF(Loan_Input!$A$3:$A$272,$A9,Loan_Input!$H$3:$H$272),""))</f>
        <v/>
      </c>
      <c r="P9" s="27">
        <f>IF($A9="","",IFERROR(SUMPRODUCT((Loan_Input!$A$3:$A$272=$A9)*Loan_Input!$BY$3:$BY$272*Loan_Input!$H$3:$H$272)/SUMIF(Loan_Input!$A$3:$A$272,$A9,Loan_Input!$H$3:$H$272),""))</f>
        <v/>
      </c>
      <c r="Q9" s="27">
        <f>IF($A9="","",IFERROR(SUMPRODUCT((Loan_Input!$A$3:$A$272=$A9)*Loan_Input!$BZ$3:$BZ$272*Loan_Input!$H$3:$H$272)/SUMIF(Loan_Input!$A$3:$A$272,$A9,Loan_Input!$H$3:$H$272),""))</f>
        <v/>
      </c>
      <c r="R9" s="27">
        <f>IF($A9="","",IFERROR(SUMPRODUCT((Loan_Input!$A$3:$A$272=$A9)*Loan_Input!$CA$3:$CA$272*Loan_Input!$H$3:$H$272)/SUMIF(Loan_Input!$A$3:$A$272,$A9,Loan_Input!$H$3:$H$272),""))</f>
        <v/>
      </c>
      <c r="S9" s="27">
        <f>IF($A9="","",IFERROR(SUMPRODUCT((Loan_Input!$A$3:$A$272=$A9)*Loan_Input!$CB$3:$CB$272*Loan_Input!$H$3:$H$272)/SUMIF(Loan_Input!$A$3:$A$272,$A9,Loan_Input!$H$3:$H$272),""))</f>
        <v/>
      </c>
      <c r="T9" s="27">
        <f>IF($A9="","",IFERROR(SUMPRODUCT((Loan_Input!$A$3:$A$272=$A9)*Loan_Input!$CC$3:$CC$272*Loan_Input!$H$3:$H$272)/SUMIF(Loan_Input!$A$3:$A$272,$A9,Loan_Input!$H$3:$H$272),""))</f>
        <v/>
      </c>
      <c r="U9" s="27">
        <f>IF($A9="","",IFERROR(SUMPRODUCT((Loan_Input!$A$3:$A$272=$A9)*Loan_Input!$CD$3:$CD$272*Loan_Input!$H$3:$H$272)/SUMIF(Loan_Input!$A$3:$A$272,$A9,Loan_Input!$H$3:$H$272),""))</f>
        <v/>
      </c>
      <c r="V9" s="27">
        <f>IF($A9="","",IFERROR(SUMPRODUCT((Loan_Input!$A$3:$A$272=$A9)*Loan_Input!$CE$3:$CE$272*Loan_Input!$H$3:$H$272)/SUMIF(Loan_Input!$A$3:$A$272,$A9,Loan_Input!$H$3:$H$272),""))</f>
        <v/>
      </c>
      <c r="W9" s="27">
        <f>IF($A9="","",IFERROR(SUMPRODUCT((Loan_Input!$A$3:$A$272=$A9)*Loan_Input!$CF$3:$CF$272*Loan_Input!$H$3:$H$272)/SUMIF(Loan_Input!$A$3:$A$272,$A9,Loan_Input!$H$3:$H$272),""))</f>
        <v/>
      </c>
      <c r="X9" s="27">
        <f>IF($A9="","",IFERROR(SUMPRODUCT((Loan_Input!$A$3:$A$272=$A9)*Loan_Input!$CG$3:$CG$272*Loan_Input!$H$3:$H$272)/SUMIF(Loan_Input!$A$3:$A$272,$A9,Loan_Input!$H$3:$H$272),""))</f>
        <v/>
      </c>
      <c r="Y9" s="27">
        <f>IF($A9="","",IFERROR(SUMPRODUCT((Loan_Input!$A$3:$A$272=$A9)*Loan_Input!$CH$3:$CH$272*Loan_Input!$H$3:$H$272)/SUMIF(Loan_Input!$A$3:$A$272,$A9,Loan_Input!$H$3:$H$272),""))</f>
        <v/>
      </c>
      <c r="Z9" s="27">
        <f>IF($A9="","",IFERROR(SUMPRODUCT((Loan_Input!$A$3:$A$272=$A9)*Loan_Input!$CI$3:$CI$272*Loan_Input!$H$3:$H$272)/SUMIF(Loan_Input!$A$3:$A$272,$A9,Loan_Input!$H$3:$H$272),""))</f>
        <v/>
      </c>
      <c r="AA9" s="27">
        <f>IF($A9="","",IFERROR(SUMPRODUCT((Loan_Input!$A$3:$A$272=$A9)*Loan_Input!$CJ$3:$CJ$272*Loan_Input!$H$3:$H$272)/SUMIF(Loan_Input!$A$3:$A$272,$A9,Loan_Input!$H$3:$H$272),""))</f>
        <v/>
      </c>
      <c r="AB9" s="31">
        <f>IF($A9="","",IFERROR(SUMPRODUCT((Loan_Input!$A$3:$A$272=$A9)*Loan_Input!$AQ$3:$AQ$272*Loan_Input!$H$3:$H$272)/SUMIF(Loan_Input!$A$3:$A$272,$A9,Loan_Input!$H$3:$H$272),""))</f>
        <v/>
      </c>
      <c r="AC9" s="31">
        <f>IF($A9="","",IFERROR(SUMPRODUCT((Loan_Input!$A$3:$A$272=$A9)*Loan_Input!$AW$3:$AW$272*Loan_Input!$H$3:$H$272)/SUMIF(Loan_Input!$A$3:$A$272,$A9,Loan_Input!$H$3:$H$272),""))</f>
        <v/>
      </c>
      <c r="AD9" s="31">
        <f>IF($A9="","",IFERROR(SUMPRODUCT((Loan_Input!$A$3:$A$272=$A9)*Loan_Input!$AU$3:$AU$272*Loan_Input!$H$3:$H$272)/SUMIF(Loan_Input!$A$3:$A$272,$A9,Loan_Input!$H$3:$H$272),""))</f>
        <v/>
      </c>
      <c r="AE9" s="31">
        <f>IF($A9="","",IFERROR(SUMPRODUCT((Loan_Input!$A$3:$A$272=$A9)*(Loan_Input!$AO$3:$AO$272="223f")*Loan_Input!$H$3:$H$272)/SUMIF(Loan_Input!$A$3:$A$272,$A9,Loan_Input!$H$3:$H$272),""))</f>
        <v/>
      </c>
      <c r="AF9" s="31">
        <f>IF($A9="","",IFERROR(SUMPRODUCT((Loan_Input!$A$3:$A$272=$A9)*Loan_Input!$AV$3:$AV$272*Loan_Input!$H$3:$H$272)/SUMIF(Loan_Input!$A$3:$A$272,$A9,Loan_Input!$H$3:$H$272),""))</f>
        <v/>
      </c>
      <c r="AG9" s="31">
        <f>IF($A9="","",IFERROR(SUMPRODUCT((Loan_Input!$A$3:$A$272=$A9)*Loan_Input!$AX$3:$AX$272*Loan_Input!$H$3:$H$272)/SUMIF(Loan_Input!$A$3:$A$272,$A9,Loan_Input!$H$3:$H$272),""))</f>
        <v/>
      </c>
      <c r="AH9" s="31">
        <f>IF($A9="","",IFERROR(SUMPRODUCT((Loan_Input!$A$3:$A$272=$A9)*(Loan_Input!$AR$3:$AR$272+Loan_Input!$AS$3:$AS$272)*Loan_Input!$H$3:$H$272)/SUMIF(Loan_Input!$A$3:$A$272,$A9,Loan_Input!$H$3:$H$272),""))</f>
        <v/>
      </c>
    </row>
    <row r="10">
      <c r="B10">
        <f>IF($A10="","",COUNTIF(Loan_Input!$A$3:$A$272,$A10))</f>
        <v/>
      </c>
      <c r="C10" s="26">
        <f>IF($A10="","",SUMIF(Loan_Input!$A$3:$A$272,$A10,Loan_Input!$H$3:$H$272)/1000000)</f>
        <v/>
      </c>
      <c r="D10" s="27">
        <f>IF($A10="","",IFERROR(SUMPRODUCT((Loan_Input!$A$3:$A$272=$A10)*Loan_Input!$BV$3:$BV$272*Loan_Input!$H$3:$H$272)/SUMIF(Loan_Input!$A$3:$A$272,$A10,Loan_Input!$H$3:$H$272),""))</f>
        <v/>
      </c>
      <c r="E10" s="27">
        <f>IF($A10="","",IFERROR(SUMPRODUCT((Loan_Input!$A$3:$A$272=$A10)*Loan_Input!$BW$3:$BW$272*Loan_Input!$H$3:$H$272)/SUMIF(Loan_Input!$A$3:$A$272,$A10,Loan_Input!$H$3:$H$272),""))</f>
        <v/>
      </c>
      <c r="F10" s="28">
        <f>IF($A10="","",IFERROR(SUMPRODUCT((Loan_Input!$A$3:$A$272=$A10)*Loan_Input!$AA$3:$AA$272*Loan_Input!$H$3:$H$272)/SUMIF(Loan_Input!$A$3:$A$272,$A10,Loan_Input!$H$3:$H$272),""))</f>
        <v/>
      </c>
      <c r="G10" s="29">
        <f>IF($A10="","",IFERROR(SUMPRODUCT((Loan_Input!$A$3:$A$272=$A10)*Loan_Input!$G$3:$G$272*Loan_Input!$H$3:$H$272)/SUMIF(Loan_Input!$A$3:$A$272,$A10,Loan_Input!$H$3:$H$272),""))</f>
        <v/>
      </c>
      <c r="H10" s="30">
        <f>IF($A10="","",IFERROR(SUMPRODUCT((Loan_Input!$A$3:$A$272=$A10)*Loan_Input!$AM$3:$AM$272*Loan_Input!$H$3:$H$272)/SUMIF(Loan_Input!$A$3:$A$272,$A10,Loan_Input!$H$3:$H$272),""))</f>
        <v/>
      </c>
      <c r="I10" s="27">
        <f>IF($A10="","",IFERROR(SUMPRODUCT((Loan_Input!$A$3:$A$272=$A10)*Loan_Input!$AK$3:$AK$272*Loan_Input!$H$3:$H$272)/SUMIF(Loan_Input!$A$3:$A$272,$A10,Loan_Input!$H$3:$H$272),""))</f>
        <v/>
      </c>
      <c r="J10" s="30">
        <f>IF($A10="","",IFERROR(SUMPRODUCT((Loan_Input!$A$3:$A$272=$A10)*Loan_Input!$AI$3:$AI$272*Loan_Input!$H$3:$H$272)/SUMIF(Loan_Input!$A$3:$A$272,$A10,Loan_Input!$H$3:$H$272),""))</f>
        <v/>
      </c>
      <c r="K10" s="27">
        <f>IF($A10="","",IFERROR(SUMPRODUCT((Loan_Input!$A$3:$A$272=$A10)*Loan_Input!$AN$3:$AN$272*Loan_Input!$H$3:$H$272)/SUMIF(Loan_Input!$A$3:$A$272,$A10,Loan_Input!$H$3:$H$272),""))</f>
        <v/>
      </c>
      <c r="L10" s="31">
        <f>IF($A10="","",IFERROR(SUMPRODUCT((Loan_Input!$A$3:$A$272=$A10)*Loan_Input!$AD$3:$AD$272*Loan_Input!$H$3:$H$272)/SUMIF(Loan_Input!$A$3:$A$272,$A10,Loan_Input!$H$3:$H$272),""))</f>
        <v/>
      </c>
      <c r="M10" s="31">
        <f>IF($A10="","",IFERROR(SUMPRODUCT((Loan_Input!$A$3:$A$272=$A10)*Loan_Input!$AE$3:$AE$272*Loan_Input!$H$3:$H$272)/SUMIF(Loan_Input!$A$3:$A$272,$A10,Loan_Input!$H$3:$H$272),""))</f>
        <v/>
      </c>
      <c r="N10" s="31">
        <f>IF($A10="","",IFERROR(SUMPRODUCT((Loan_Input!$A$3:$A$272=$A10)*Loan_Input!$AF$3:$AF$272*Loan_Input!$H$3:$H$272)/SUMIF(Loan_Input!$A$3:$A$272,$A10,Loan_Input!$H$3:$H$272),""))</f>
        <v/>
      </c>
      <c r="O10" s="27">
        <f>IF($A10="","",IFERROR(SUMPRODUCT((Loan_Input!$A$3:$A$272=$A10)*Loan_Input!$BX$3:$BX$272*Loan_Input!$H$3:$H$272)/SUMIF(Loan_Input!$A$3:$A$272,$A10,Loan_Input!$H$3:$H$272),""))</f>
        <v/>
      </c>
      <c r="P10" s="27">
        <f>IF($A10="","",IFERROR(SUMPRODUCT((Loan_Input!$A$3:$A$272=$A10)*Loan_Input!$BY$3:$BY$272*Loan_Input!$H$3:$H$272)/SUMIF(Loan_Input!$A$3:$A$272,$A10,Loan_Input!$H$3:$H$272),""))</f>
        <v/>
      </c>
      <c r="Q10" s="27">
        <f>IF($A10="","",IFERROR(SUMPRODUCT((Loan_Input!$A$3:$A$272=$A10)*Loan_Input!$BZ$3:$BZ$272*Loan_Input!$H$3:$H$272)/SUMIF(Loan_Input!$A$3:$A$272,$A10,Loan_Input!$H$3:$H$272),""))</f>
        <v/>
      </c>
      <c r="R10" s="27">
        <f>IF($A10="","",IFERROR(SUMPRODUCT((Loan_Input!$A$3:$A$272=$A10)*Loan_Input!$CA$3:$CA$272*Loan_Input!$H$3:$H$272)/SUMIF(Loan_Input!$A$3:$A$272,$A10,Loan_Input!$H$3:$H$272),""))</f>
        <v/>
      </c>
      <c r="S10" s="27">
        <f>IF($A10="","",IFERROR(SUMPRODUCT((Loan_Input!$A$3:$A$272=$A10)*Loan_Input!$CB$3:$CB$272*Loan_Input!$H$3:$H$272)/SUMIF(Loan_Input!$A$3:$A$272,$A10,Loan_Input!$H$3:$H$272),""))</f>
        <v/>
      </c>
      <c r="T10" s="27">
        <f>IF($A10="","",IFERROR(SUMPRODUCT((Loan_Input!$A$3:$A$272=$A10)*Loan_Input!$CC$3:$CC$272*Loan_Input!$H$3:$H$272)/SUMIF(Loan_Input!$A$3:$A$272,$A10,Loan_Input!$H$3:$H$272),""))</f>
        <v/>
      </c>
      <c r="U10" s="27">
        <f>IF($A10="","",IFERROR(SUMPRODUCT((Loan_Input!$A$3:$A$272=$A10)*Loan_Input!$CD$3:$CD$272*Loan_Input!$H$3:$H$272)/SUMIF(Loan_Input!$A$3:$A$272,$A10,Loan_Input!$H$3:$H$272),""))</f>
        <v/>
      </c>
      <c r="V10" s="27">
        <f>IF($A10="","",IFERROR(SUMPRODUCT((Loan_Input!$A$3:$A$272=$A10)*Loan_Input!$CE$3:$CE$272*Loan_Input!$H$3:$H$272)/SUMIF(Loan_Input!$A$3:$A$272,$A10,Loan_Input!$H$3:$H$272),""))</f>
        <v/>
      </c>
      <c r="W10" s="27">
        <f>IF($A10="","",IFERROR(SUMPRODUCT((Loan_Input!$A$3:$A$272=$A10)*Loan_Input!$CF$3:$CF$272*Loan_Input!$H$3:$H$272)/SUMIF(Loan_Input!$A$3:$A$272,$A10,Loan_Input!$H$3:$H$272),""))</f>
        <v/>
      </c>
      <c r="X10" s="27">
        <f>IF($A10="","",IFERROR(SUMPRODUCT((Loan_Input!$A$3:$A$272=$A10)*Loan_Input!$CG$3:$CG$272*Loan_Input!$H$3:$H$272)/SUMIF(Loan_Input!$A$3:$A$272,$A10,Loan_Input!$H$3:$H$272),""))</f>
        <v/>
      </c>
      <c r="Y10" s="27">
        <f>IF($A10="","",IFERROR(SUMPRODUCT((Loan_Input!$A$3:$A$272=$A10)*Loan_Input!$CH$3:$CH$272*Loan_Input!$H$3:$H$272)/SUMIF(Loan_Input!$A$3:$A$272,$A10,Loan_Input!$H$3:$H$272),""))</f>
        <v/>
      </c>
      <c r="Z10" s="27">
        <f>IF($A10="","",IFERROR(SUMPRODUCT((Loan_Input!$A$3:$A$272=$A10)*Loan_Input!$CI$3:$CI$272*Loan_Input!$H$3:$H$272)/SUMIF(Loan_Input!$A$3:$A$272,$A10,Loan_Input!$H$3:$H$272),""))</f>
        <v/>
      </c>
      <c r="AA10" s="27">
        <f>IF($A10="","",IFERROR(SUMPRODUCT((Loan_Input!$A$3:$A$272=$A10)*Loan_Input!$CJ$3:$CJ$272*Loan_Input!$H$3:$H$272)/SUMIF(Loan_Input!$A$3:$A$272,$A10,Loan_Input!$H$3:$H$272),""))</f>
        <v/>
      </c>
      <c r="AB10" s="31">
        <f>IF($A10="","",IFERROR(SUMPRODUCT((Loan_Input!$A$3:$A$272=$A10)*Loan_Input!$AQ$3:$AQ$272*Loan_Input!$H$3:$H$272)/SUMIF(Loan_Input!$A$3:$A$272,$A10,Loan_Input!$H$3:$H$272),""))</f>
        <v/>
      </c>
      <c r="AC10" s="31">
        <f>IF($A10="","",IFERROR(SUMPRODUCT((Loan_Input!$A$3:$A$272=$A10)*Loan_Input!$AW$3:$AW$272*Loan_Input!$H$3:$H$272)/SUMIF(Loan_Input!$A$3:$A$272,$A10,Loan_Input!$H$3:$H$272),""))</f>
        <v/>
      </c>
      <c r="AD10" s="31">
        <f>IF($A10="","",IFERROR(SUMPRODUCT((Loan_Input!$A$3:$A$272=$A10)*Loan_Input!$AU$3:$AU$272*Loan_Input!$H$3:$H$272)/SUMIF(Loan_Input!$A$3:$A$272,$A10,Loan_Input!$H$3:$H$272),""))</f>
        <v/>
      </c>
      <c r="AE10" s="31">
        <f>IF($A10="","",IFERROR(SUMPRODUCT((Loan_Input!$A$3:$A$272=$A10)*(Loan_Input!$AO$3:$AO$272="223f")*Loan_Input!$H$3:$H$272)/SUMIF(Loan_Input!$A$3:$A$272,$A10,Loan_Input!$H$3:$H$272),""))</f>
        <v/>
      </c>
      <c r="AF10" s="31">
        <f>IF($A10="","",IFERROR(SUMPRODUCT((Loan_Input!$A$3:$A$272=$A10)*Loan_Input!$AV$3:$AV$272*Loan_Input!$H$3:$H$272)/SUMIF(Loan_Input!$A$3:$A$272,$A10,Loan_Input!$H$3:$H$272),""))</f>
        <v/>
      </c>
      <c r="AG10" s="31">
        <f>IF($A10="","",IFERROR(SUMPRODUCT((Loan_Input!$A$3:$A$272=$A10)*Loan_Input!$AX$3:$AX$272*Loan_Input!$H$3:$H$272)/SUMIF(Loan_Input!$A$3:$A$272,$A10,Loan_Input!$H$3:$H$272),""))</f>
        <v/>
      </c>
      <c r="AH10" s="31">
        <f>IF($A10="","",IFERROR(SUMPRODUCT((Loan_Input!$A$3:$A$272=$A10)*(Loan_Input!$AR$3:$AR$272+Loan_Input!$AS$3:$AS$272)*Loan_Input!$H$3:$H$272)/SUMIF(Loan_Input!$A$3:$A$272,$A10,Loan_Input!$H$3:$H$272),""))</f>
        <v/>
      </c>
    </row>
    <row r="11">
      <c r="B11">
        <f>IF($A11="","",COUNTIF(Loan_Input!$A$3:$A$272,$A11))</f>
        <v/>
      </c>
      <c r="C11" s="26">
        <f>IF($A11="","",SUMIF(Loan_Input!$A$3:$A$272,$A11,Loan_Input!$H$3:$H$272)/1000000)</f>
        <v/>
      </c>
      <c r="D11" s="27">
        <f>IF($A11="","",IFERROR(SUMPRODUCT((Loan_Input!$A$3:$A$272=$A11)*Loan_Input!$BV$3:$BV$272*Loan_Input!$H$3:$H$272)/SUMIF(Loan_Input!$A$3:$A$272,$A11,Loan_Input!$H$3:$H$272),""))</f>
        <v/>
      </c>
      <c r="E11" s="27">
        <f>IF($A11="","",IFERROR(SUMPRODUCT((Loan_Input!$A$3:$A$272=$A11)*Loan_Input!$BW$3:$BW$272*Loan_Input!$H$3:$H$272)/SUMIF(Loan_Input!$A$3:$A$272,$A11,Loan_Input!$H$3:$H$272),""))</f>
        <v/>
      </c>
      <c r="F11" s="28">
        <f>IF($A11="","",IFERROR(SUMPRODUCT((Loan_Input!$A$3:$A$272=$A11)*Loan_Input!$AA$3:$AA$272*Loan_Input!$H$3:$H$272)/SUMIF(Loan_Input!$A$3:$A$272,$A11,Loan_Input!$H$3:$H$272),""))</f>
        <v/>
      </c>
      <c r="G11" s="29">
        <f>IF($A11="","",IFERROR(SUMPRODUCT((Loan_Input!$A$3:$A$272=$A11)*Loan_Input!$G$3:$G$272*Loan_Input!$H$3:$H$272)/SUMIF(Loan_Input!$A$3:$A$272,$A11,Loan_Input!$H$3:$H$272),""))</f>
        <v/>
      </c>
      <c r="H11" s="30">
        <f>IF($A11="","",IFERROR(SUMPRODUCT((Loan_Input!$A$3:$A$272=$A11)*Loan_Input!$AM$3:$AM$272*Loan_Input!$H$3:$H$272)/SUMIF(Loan_Input!$A$3:$A$272,$A11,Loan_Input!$H$3:$H$272),""))</f>
        <v/>
      </c>
      <c r="I11" s="27">
        <f>IF($A11="","",IFERROR(SUMPRODUCT((Loan_Input!$A$3:$A$272=$A11)*Loan_Input!$AK$3:$AK$272*Loan_Input!$H$3:$H$272)/SUMIF(Loan_Input!$A$3:$A$272,$A11,Loan_Input!$H$3:$H$272),""))</f>
        <v/>
      </c>
      <c r="J11" s="30">
        <f>IF($A11="","",IFERROR(SUMPRODUCT((Loan_Input!$A$3:$A$272=$A11)*Loan_Input!$AI$3:$AI$272*Loan_Input!$H$3:$H$272)/SUMIF(Loan_Input!$A$3:$A$272,$A11,Loan_Input!$H$3:$H$272),""))</f>
        <v/>
      </c>
      <c r="K11" s="27">
        <f>IF($A11="","",IFERROR(SUMPRODUCT((Loan_Input!$A$3:$A$272=$A11)*Loan_Input!$AN$3:$AN$272*Loan_Input!$H$3:$H$272)/SUMIF(Loan_Input!$A$3:$A$272,$A11,Loan_Input!$H$3:$H$272),""))</f>
        <v/>
      </c>
      <c r="L11" s="31">
        <f>IF($A11="","",IFERROR(SUMPRODUCT((Loan_Input!$A$3:$A$272=$A11)*Loan_Input!$AD$3:$AD$272*Loan_Input!$H$3:$H$272)/SUMIF(Loan_Input!$A$3:$A$272,$A11,Loan_Input!$H$3:$H$272),""))</f>
        <v/>
      </c>
      <c r="M11" s="31">
        <f>IF($A11="","",IFERROR(SUMPRODUCT((Loan_Input!$A$3:$A$272=$A11)*Loan_Input!$AE$3:$AE$272*Loan_Input!$H$3:$H$272)/SUMIF(Loan_Input!$A$3:$A$272,$A11,Loan_Input!$H$3:$H$272),""))</f>
        <v/>
      </c>
      <c r="N11" s="31">
        <f>IF($A11="","",IFERROR(SUMPRODUCT((Loan_Input!$A$3:$A$272=$A11)*Loan_Input!$AF$3:$AF$272*Loan_Input!$H$3:$H$272)/SUMIF(Loan_Input!$A$3:$A$272,$A11,Loan_Input!$H$3:$H$272),""))</f>
        <v/>
      </c>
      <c r="O11" s="27">
        <f>IF($A11="","",IFERROR(SUMPRODUCT((Loan_Input!$A$3:$A$272=$A11)*Loan_Input!$BX$3:$BX$272*Loan_Input!$H$3:$H$272)/SUMIF(Loan_Input!$A$3:$A$272,$A11,Loan_Input!$H$3:$H$272),""))</f>
        <v/>
      </c>
      <c r="P11" s="27">
        <f>IF($A11="","",IFERROR(SUMPRODUCT((Loan_Input!$A$3:$A$272=$A11)*Loan_Input!$BY$3:$BY$272*Loan_Input!$H$3:$H$272)/SUMIF(Loan_Input!$A$3:$A$272,$A11,Loan_Input!$H$3:$H$272),""))</f>
        <v/>
      </c>
      <c r="Q11" s="27">
        <f>IF($A11="","",IFERROR(SUMPRODUCT((Loan_Input!$A$3:$A$272=$A11)*Loan_Input!$BZ$3:$BZ$272*Loan_Input!$H$3:$H$272)/SUMIF(Loan_Input!$A$3:$A$272,$A11,Loan_Input!$H$3:$H$272),""))</f>
        <v/>
      </c>
      <c r="R11" s="27">
        <f>IF($A11="","",IFERROR(SUMPRODUCT((Loan_Input!$A$3:$A$272=$A11)*Loan_Input!$CA$3:$CA$272*Loan_Input!$H$3:$H$272)/SUMIF(Loan_Input!$A$3:$A$272,$A11,Loan_Input!$H$3:$H$272),""))</f>
        <v/>
      </c>
      <c r="S11" s="27">
        <f>IF($A11="","",IFERROR(SUMPRODUCT((Loan_Input!$A$3:$A$272=$A11)*Loan_Input!$CB$3:$CB$272*Loan_Input!$H$3:$H$272)/SUMIF(Loan_Input!$A$3:$A$272,$A11,Loan_Input!$H$3:$H$272),""))</f>
        <v/>
      </c>
      <c r="T11" s="27">
        <f>IF($A11="","",IFERROR(SUMPRODUCT((Loan_Input!$A$3:$A$272=$A11)*Loan_Input!$CC$3:$CC$272*Loan_Input!$H$3:$H$272)/SUMIF(Loan_Input!$A$3:$A$272,$A11,Loan_Input!$H$3:$H$272),""))</f>
        <v/>
      </c>
      <c r="U11" s="27">
        <f>IF($A11="","",IFERROR(SUMPRODUCT((Loan_Input!$A$3:$A$272=$A11)*Loan_Input!$CD$3:$CD$272*Loan_Input!$H$3:$H$272)/SUMIF(Loan_Input!$A$3:$A$272,$A11,Loan_Input!$H$3:$H$272),""))</f>
        <v/>
      </c>
      <c r="V11" s="27">
        <f>IF($A11="","",IFERROR(SUMPRODUCT((Loan_Input!$A$3:$A$272=$A11)*Loan_Input!$CE$3:$CE$272*Loan_Input!$H$3:$H$272)/SUMIF(Loan_Input!$A$3:$A$272,$A11,Loan_Input!$H$3:$H$272),""))</f>
        <v/>
      </c>
      <c r="W11" s="27">
        <f>IF($A11="","",IFERROR(SUMPRODUCT((Loan_Input!$A$3:$A$272=$A11)*Loan_Input!$CF$3:$CF$272*Loan_Input!$H$3:$H$272)/SUMIF(Loan_Input!$A$3:$A$272,$A11,Loan_Input!$H$3:$H$272),""))</f>
        <v/>
      </c>
      <c r="X11" s="27">
        <f>IF($A11="","",IFERROR(SUMPRODUCT((Loan_Input!$A$3:$A$272=$A11)*Loan_Input!$CG$3:$CG$272*Loan_Input!$H$3:$H$272)/SUMIF(Loan_Input!$A$3:$A$272,$A11,Loan_Input!$H$3:$H$272),""))</f>
        <v/>
      </c>
      <c r="Y11" s="27">
        <f>IF($A11="","",IFERROR(SUMPRODUCT((Loan_Input!$A$3:$A$272=$A11)*Loan_Input!$CH$3:$CH$272*Loan_Input!$H$3:$H$272)/SUMIF(Loan_Input!$A$3:$A$272,$A11,Loan_Input!$H$3:$H$272),""))</f>
        <v/>
      </c>
      <c r="Z11" s="27">
        <f>IF($A11="","",IFERROR(SUMPRODUCT((Loan_Input!$A$3:$A$272=$A11)*Loan_Input!$CI$3:$CI$272*Loan_Input!$H$3:$H$272)/SUMIF(Loan_Input!$A$3:$A$272,$A11,Loan_Input!$H$3:$H$272),""))</f>
        <v/>
      </c>
      <c r="AA11" s="27">
        <f>IF($A11="","",IFERROR(SUMPRODUCT((Loan_Input!$A$3:$A$272=$A11)*Loan_Input!$CJ$3:$CJ$272*Loan_Input!$H$3:$H$272)/SUMIF(Loan_Input!$A$3:$A$272,$A11,Loan_Input!$H$3:$H$272),""))</f>
        <v/>
      </c>
      <c r="AB11" s="31">
        <f>IF($A11="","",IFERROR(SUMPRODUCT((Loan_Input!$A$3:$A$272=$A11)*Loan_Input!$AQ$3:$AQ$272*Loan_Input!$H$3:$H$272)/SUMIF(Loan_Input!$A$3:$A$272,$A11,Loan_Input!$H$3:$H$272),""))</f>
        <v/>
      </c>
      <c r="AC11" s="31">
        <f>IF($A11="","",IFERROR(SUMPRODUCT((Loan_Input!$A$3:$A$272=$A11)*Loan_Input!$AW$3:$AW$272*Loan_Input!$H$3:$H$272)/SUMIF(Loan_Input!$A$3:$A$272,$A11,Loan_Input!$H$3:$H$272),""))</f>
        <v/>
      </c>
      <c r="AD11" s="31">
        <f>IF($A11="","",IFERROR(SUMPRODUCT((Loan_Input!$A$3:$A$272=$A11)*Loan_Input!$AU$3:$AU$272*Loan_Input!$H$3:$H$272)/SUMIF(Loan_Input!$A$3:$A$272,$A11,Loan_Input!$H$3:$H$272),""))</f>
        <v/>
      </c>
      <c r="AE11" s="31">
        <f>IF($A11="","",IFERROR(SUMPRODUCT((Loan_Input!$A$3:$A$272=$A11)*(Loan_Input!$AO$3:$AO$272="223f")*Loan_Input!$H$3:$H$272)/SUMIF(Loan_Input!$A$3:$A$272,$A11,Loan_Input!$H$3:$H$272),""))</f>
        <v/>
      </c>
      <c r="AF11" s="31">
        <f>IF($A11="","",IFERROR(SUMPRODUCT((Loan_Input!$A$3:$A$272=$A11)*Loan_Input!$AV$3:$AV$272*Loan_Input!$H$3:$H$272)/SUMIF(Loan_Input!$A$3:$A$272,$A11,Loan_Input!$H$3:$H$272),""))</f>
        <v/>
      </c>
      <c r="AG11" s="31">
        <f>IF($A11="","",IFERROR(SUMPRODUCT((Loan_Input!$A$3:$A$272=$A11)*Loan_Input!$AX$3:$AX$272*Loan_Input!$H$3:$H$272)/SUMIF(Loan_Input!$A$3:$A$272,$A11,Loan_Input!$H$3:$H$272),""))</f>
        <v/>
      </c>
      <c r="AH11" s="31">
        <f>IF($A11="","",IFERROR(SUMPRODUCT((Loan_Input!$A$3:$A$272=$A11)*(Loan_Input!$AR$3:$AR$272+Loan_Input!$AS$3:$AS$272)*Loan_Input!$H$3:$H$272)/SUMIF(Loan_Input!$A$3:$A$272,$A11,Loan_Input!$H$3:$H$272),""))</f>
        <v/>
      </c>
    </row>
    <row r="12">
      <c r="B12">
        <f>IF($A12="","",COUNTIF(Loan_Input!$A$3:$A$272,$A12))</f>
        <v/>
      </c>
      <c r="C12" s="26">
        <f>IF($A12="","",SUMIF(Loan_Input!$A$3:$A$272,$A12,Loan_Input!$H$3:$H$272)/1000000)</f>
        <v/>
      </c>
      <c r="D12" s="27">
        <f>IF($A12="","",IFERROR(SUMPRODUCT((Loan_Input!$A$3:$A$272=$A12)*Loan_Input!$BV$3:$BV$272*Loan_Input!$H$3:$H$272)/SUMIF(Loan_Input!$A$3:$A$272,$A12,Loan_Input!$H$3:$H$272),""))</f>
        <v/>
      </c>
      <c r="E12" s="27">
        <f>IF($A12="","",IFERROR(SUMPRODUCT((Loan_Input!$A$3:$A$272=$A12)*Loan_Input!$BW$3:$BW$272*Loan_Input!$H$3:$H$272)/SUMIF(Loan_Input!$A$3:$A$272,$A12,Loan_Input!$H$3:$H$272),""))</f>
        <v/>
      </c>
      <c r="F12" s="28">
        <f>IF($A12="","",IFERROR(SUMPRODUCT((Loan_Input!$A$3:$A$272=$A12)*Loan_Input!$AA$3:$AA$272*Loan_Input!$H$3:$H$272)/SUMIF(Loan_Input!$A$3:$A$272,$A12,Loan_Input!$H$3:$H$272),""))</f>
        <v/>
      </c>
      <c r="G12" s="29">
        <f>IF($A12="","",IFERROR(SUMPRODUCT((Loan_Input!$A$3:$A$272=$A12)*Loan_Input!$G$3:$G$272*Loan_Input!$H$3:$H$272)/SUMIF(Loan_Input!$A$3:$A$272,$A12,Loan_Input!$H$3:$H$272),""))</f>
        <v/>
      </c>
      <c r="H12" s="30">
        <f>IF($A12="","",IFERROR(SUMPRODUCT((Loan_Input!$A$3:$A$272=$A12)*Loan_Input!$AM$3:$AM$272*Loan_Input!$H$3:$H$272)/SUMIF(Loan_Input!$A$3:$A$272,$A12,Loan_Input!$H$3:$H$272),""))</f>
        <v/>
      </c>
      <c r="I12" s="27">
        <f>IF($A12="","",IFERROR(SUMPRODUCT((Loan_Input!$A$3:$A$272=$A12)*Loan_Input!$AK$3:$AK$272*Loan_Input!$H$3:$H$272)/SUMIF(Loan_Input!$A$3:$A$272,$A12,Loan_Input!$H$3:$H$272),""))</f>
        <v/>
      </c>
      <c r="J12" s="30">
        <f>IF($A12="","",IFERROR(SUMPRODUCT((Loan_Input!$A$3:$A$272=$A12)*Loan_Input!$AI$3:$AI$272*Loan_Input!$H$3:$H$272)/SUMIF(Loan_Input!$A$3:$A$272,$A12,Loan_Input!$H$3:$H$272),""))</f>
        <v/>
      </c>
      <c r="K12" s="27">
        <f>IF($A12="","",IFERROR(SUMPRODUCT((Loan_Input!$A$3:$A$272=$A12)*Loan_Input!$AN$3:$AN$272*Loan_Input!$H$3:$H$272)/SUMIF(Loan_Input!$A$3:$A$272,$A12,Loan_Input!$H$3:$H$272),""))</f>
        <v/>
      </c>
      <c r="L12" s="31">
        <f>IF($A12="","",IFERROR(SUMPRODUCT((Loan_Input!$A$3:$A$272=$A12)*Loan_Input!$AD$3:$AD$272*Loan_Input!$H$3:$H$272)/SUMIF(Loan_Input!$A$3:$A$272,$A12,Loan_Input!$H$3:$H$272),""))</f>
        <v/>
      </c>
      <c r="M12" s="31">
        <f>IF($A12="","",IFERROR(SUMPRODUCT((Loan_Input!$A$3:$A$272=$A12)*Loan_Input!$AE$3:$AE$272*Loan_Input!$H$3:$H$272)/SUMIF(Loan_Input!$A$3:$A$272,$A12,Loan_Input!$H$3:$H$272),""))</f>
        <v/>
      </c>
      <c r="N12" s="31">
        <f>IF($A12="","",IFERROR(SUMPRODUCT((Loan_Input!$A$3:$A$272=$A12)*Loan_Input!$AF$3:$AF$272*Loan_Input!$H$3:$H$272)/SUMIF(Loan_Input!$A$3:$A$272,$A12,Loan_Input!$H$3:$H$272),""))</f>
        <v/>
      </c>
      <c r="O12" s="27">
        <f>IF($A12="","",IFERROR(SUMPRODUCT((Loan_Input!$A$3:$A$272=$A12)*Loan_Input!$BX$3:$BX$272*Loan_Input!$H$3:$H$272)/SUMIF(Loan_Input!$A$3:$A$272,$A12,Loan_Input!$H$3:$H$272),""))</f>
        <v/>
      </c>
      <c r="P12" s="27">
        <f>IF($A12="","",IFERROR(SUMPRODUCT((Loan_Input!$A$3:$A$272=$A12)*Loan_Input!$BY$3:$BY$272*Loan_Input!$H$3:$H$272)/SUMIF(Loan_Input!$A$3:$A$272,$A12,Loan_Input!$H$3:$H$272),""))</f>
        <v/>
      </c>
      <c r="Q12" s="27">
        <f>IF($A12="","",IFERROR(SUMPRODUCT((Loan_Input!$A$3:$A$272=$A12)*Loan_Input!$BZ$3:$BZ$272*Loan_Input!$H$3:$H$272)/SUMIF(Loan_Input!$A$3:$A$272,$A12,Loan_Input!$H$3:$H$272),""))</f>
        <v/>
      </c>
      <c r="R12" s="27">
        <f>IF($A12="","",IFERROR(SUMPRODUCT((Loan_Input!$A$3:$A$272=$A12)*Loan_Input!$CA$3:$CA$272*Loan_Input!$H$3:$H$272)/SUMIF(Loan_Input!$A$3:$A$272,$A12,Loan_Input!$H$3:$H$272),""))</f>
        <v/>
      </c>
      <c r="S12" s="27">
        <f>IF($A12="","",IFERROR(SUMPRODUCT((Loan_Input!$A$3:$A$272=$A12)*Loan_Input!$CB$3:$CB$272*Loan_Input!$H$3:$H$272)/SUMIF(Loan_Input!$A$3:$A$272,$A12,Loan_Input!$H$3:$H$272),""))</f>
        <v/>
      </c>
      <c r="T12" s="27">
        <f>IF($A12="","",IFERROR(SUMPRODUCT((Loan_Input!$A$3:$A$272=$A12)*Loan_Input!$CC$3:$CC$272*Loan_Input!$H$3:$H$272)/SUMIF(Loan_Input!$A$3:$A$272,$A12,Loan_Input!$H$3:$H$272),""))</f>
        <v/>
      </c>
      <c r="U12" s="27">
        <f>IF($A12="","",IFERROR(SUMPRODUCT((Loan_Input!$A$3:$A$272=$A12)*Loan_Input!$CD$3:$CD$272*Loan_Input!$H$3:$H$272)/SUMIF(Loan_Input!$A$3:$A$272,$A12,Loan_Input!$H$3:$H$272),""))</f>
        <v/>
      </c>
      <c r="V12" s="27">
        <f>IF($A12="","",IFERROR(SUMPRODUCT((Loan_Input!$A$3:$A$272=$A12)*Loan_Input!$CE$3:$CE$272*Loan_Input!$H$3:$H$272)/SUMIF(Loan_Input!$A$3:$A$272,$A12,Loan_Input!$H$3:$H$272),""))</f>
        <v/>
      </c>
      <c r="W12" s="27">
        <f>IF($A12="","",IFERROR(SUMPRODUCT((Loan_Input!$A$3:$A$272=$A12)*Loan_Input!$CF$3:$CF$272*Loan_Input!$H$3:$H$272)/SUMIF(Loan_Input!$A$3:$A$272,$A12,Loan_Input!$H$3:$H$272),""))</f>
        <v/>
      </c>
      <c r="X12" s="27">
        <f>IF($A12="","",IFERROR(SUMPRODUCT((Loan_Input!$A$3:$A$272=$A12)*Loan_Input!$CG$3:$CG$272*Loan_Input!$H$3:$H$272)/SUMIF(Loan_Input!$A$3:$A$272,$A12,Loan_Input!$H$3:$H$272),""))</f>
        <v/>
      </c>
      <c r="Y12" s="27">
        <f>IF($A12="","",IFERROR(SUMPRODUCT((Loan_Input!$A$3:$A$272=$A12)*Loan_Input!$CH$3:$CH$272*Loan_Input!$H$3:$H$272)/SUMIF(Loan_Input!$A$3:$A$272,$A12,Loan_Input!$H$3:$H$272),""))</f>
        <v/>
      </c>
      <c r="Z12" s="27">
        <f>IF($A12="","",IFERROR(SUMPRODUCT((Loan_Input!$A$3:$A$272=$A12)*Loan_Input!$CI$3:$CI$272*Loan_Input!$H$3:$H$272)/SUMIF(Loan_Input!$A$3:$A$272,$A12,Loan_Input!$H$3:$H$272),""))</f>
        <v/>
      </c>
      <c r="AA12" s="27">
        <f>IF($A12="","",IFERROR(SUMPRODUCT((Loan_Input!$A$3:$A$272=$A12)*Loan_Input!$CJ$3:$CJ$272*Loan_Input!$H$3:$H$272)/SUMIF(Loan_Input!$A$3:$A$272,$A12,Loan_Input!$H$3:$H$272),""))</f>
        <v/>
      </c>
      <c r="AB12" s="31">
        <f>IF($A12="","",IFERROR(SUMPRODUCT((Loan_Input!$A$3:$A$272=$A12)*Loan_Input!$AQ$3:$AQ$272*Loan_Input!$H$3:$H$272)/SUMIF(Loan_Input!$A$3:$A$272,$A12,Loan_Input!$H$3:$H$272),""))</f>
        <v/>
      </c>
      <c r="AC12" s="31">
        <f>IF($A12="","",IFERROR(SUMPRODUCT((Loan_Input!$A$3:$A$272=$A12)*Loan_Input!$AW$3:$AW$272*Loan_Input!$H$3:$H$272)/SUMIF(Loan_Input!$A$3:$A$272,$A12,Loan_Input!$H$3:$H$272),""))</f>
        <v/>
      </c>
      <c r="AD12" s="31">
        <f>IF($A12="","",IFERROR(SUMPRODUCT((Loan_Input!$A$3:$A$272=$A12)*Loan_Input!$AU$3:$AU$272*Loan_Input!$H$3:$H$272)/SUMIF(Loan_Input!$A$3:$A$272,$A12,Loan_Input!$H$3:$H$272),""))</f>
        <v/>
      </c>
      <c r="AE12" s="31">
        <f>IF($A12="","",IFERROR(SUMPRODUCT((Loan_Input!$A$3:$A$272=$A12)*(Loan_Input!$AO$3:$AO$272="223f")*Loan_Input!$H$3:$H$272)/SUMIF(Loan_Input!$A$3:$A$272,$A12,Loan_Input!$H$3:$H$272),""))</f>
        <v/>
      </c>
      <c r="AF12" s="31">
        <f>IF($A12="","",IFERROR(SUMPRODUCT((Loan_Input!$A$3:$A$272=$A12)*Loan_Input!$AV$3:$AV$272*Loan_Input!$H$3:$H$272)/SUMIF(Loan_Input!$A$3:$A$272,$A12,Loan_Input!$H$3:$H$272),""))</f>
        <v/>
      </c>
      <c r="AG12" s="31">
        <f>IF($A12="","",IFERROR(SUMPRODUCT((Loan_Input!$A$3:$A$272=$A12)*Loan_Input!$AX$3:$AX$272*Loan_Input!$H$3:$H$272)/SUMIF(Loan_Input!$A$3:$A$272,$A12,Loan_Input!$H$3:$H$272),""))</f>
        <v/>
      </c>
      <c r="AH12" s="31">
        <f>IF($A12="","",IFERROR(SUMPRODUCT((Loan_Input!$A$3:$A$272=$A12)*(Loan_Input!$AR$3:$AR$272+Loan_Input!$AS$3:$AS$272)*Loan_Input!$H$3:$H$272)/SUMIF(Loan_Input!$A$3:$A$272,$A12,Loan_Input!$H$3:$H$272),""))</f>
        <v/>
      </c>
    </row>
    <row r="13">
      <c r="B13">
        <f>IF($A13="","",COUNTIF(Loan_Input!$A$3:$A$272,$A13))</f>
        <v/>
      </c>
      <c r="C13" s="26">
        <f>IF($A13="","",SUMIF(Loan_Input!$A$3:$A$272,$A13,Loan_Input!$H$3:$H$272)/1000000)</f>
        <v/>
      </c>
      <c r="D13" s="27">
        <f>IF($A13="","",IFERROR(SUMPRODUCT((Loan_Input!$A$3:$A$272=$A13)*Loan_Input!$BV$3:$BV$272*Loan_Input!$H$3:$H$272)/SUMIF(Loan_Input!$A$3:$A$272,$A13,Loan_Input!$H$3:$H$272),""))</f>
        <v/>
      </c>
      <c r="E13" s="27">
        <f>IF($A13="","",IFERROR(SUMPRODUCT((Loan_Input!$A$3:$A$272=$A13)*Loan_Input!$BW$3:$BW$272*Loan_Input!$H$3:$H$272)/SUMIF(Loan_Input!$A$3:$A$272,$A13,Loan_Input!$H$3:$H$272),""))</f>
        <v/>
      </c>
      <c r="F13" s="28">
        <f>IF($A13="","",IFERROR(SUMPRODUCT((Loan_Input!$A$3:$A$272=$A13)*Loan_Input!$AA$3:$AA$272*Loan_Input!$H$3:$H$272)/SUMIF(Loan_Input!$A$3:$A$272,$A13,Loan_Input!$H$3:$H$272),""))</f>
        <v/>
      </c>
      <c r="G13" s="29">
        <f>IF($A13="","",IFERROR(SUMPRODUCT((Loan_Input!$A$3:$A$272=$A13)*Loan_Input!$G$3:$G$272*Loan_Input!$H$3:$H$272)/SUMIF(Loan_Input!$A$3:$A$272,$A13,Loan_Input!$H$3:$H$272),""))</f>
        <v/>
      </c>
      <c r="H13" s="30">
        <f>IF($A13="","",IFERROR(SUMPRODUCT((Loan_Input!$A$3:$A$272=$A13)*Loan_Input!$AM$3:$AM$272*Loan_Input!$H$3:$H$272)/SUMIF(Loan_Input!$A$3:$A$272,$A13,Loan_Input!$H$3:$H$272),""))</f>
        <v/>
      </c>
      <c r="I13" s="27">
        <f>IF($A13="","",IFERROR(SUMPRODUCT((Loan_Input!$A$3:$A$272=$A13)*Loan_Input!$AK$3:$AK$272*Loan_Input!$H$3:$H$272)/SUMIF(Loan_Input!$A$3:$A$272,$A13,Loan_Input!$H$3:$H$272),""))</f>
        <v/>
      </c>
      <c r="J13" s="30">
        <f>IF($A13="","",IFERROR(SUMPRODUCT((Loan_Input!$A$3:$A$272=$A13)*Loan_Input!$AI$3:$AI$272*Loan_Input!$H$3:$H$272)/SUMIF(Loan_Input!$A$3:$A$272,$A13,Loan_Input!$H$3:$H$272),""))</f>
        <v/>
      </c>
      <c r="K13" s="27">
        <f>IF($A13="","",IFERROR(SUMPRODUCT((Loan_Input!$A$3:$A$272=$A13)*Loan_Input!$AN$3:$AN$272*Loan_Input!$H$3:$H$272)/SUMIF(Loan_Input!$A$3:$A$272,$A13,Loan_Input!$H$3:$H$272),""))</f>
        <v/>
      </c>
      <c r="L13" s="31">
        <f>IF($A13="","",IFERROR(SUMPRODUCT((Loan_Input!$A$3:$A$272=$A13)*Loan_Input!$AD$3:$AD$272*Loan_Input!$H$3:$H$272)/SUMIF(Loan_Input!$A$3:$A$272,$A13,Loan_Input!$H$3:$H$272),""))</f>
        <v/>
      </c>
      <c r="M13" s="31">
        <f>IF($A13="","",IFERROR(SUMPRODUCT((Loan_Input!$A$3:$A$272=$A13)*Loan_Input!$AE$3:$AE$272*Loan_Input!$H$3:$H$272)/SUMIF(Loan_Input!$A$3:$A$272,$A13,Loan_Input!$H$3:$H$272),""))</f>
        <v/>
      </c>
      <c r="N13" s="31">
        <f>IF($A13="","",IFERROR(SUMPRODUCT((Loan_Input!$A$3:$A$272=$A13)*Loan_Input!$AF$3:$AF$272*Loan_Input!$H$3:$H$272)/SUMIF(Loan_Input!$A$3:$A$272,$A13,Loan_Input!$H$3:$H$272),""))</f>
        <v/>
      </c>
      <c r="O13" s="27">
        <f>IF($A13="","",IFERROR(SUMPRODUCT((Loan_Input!$A$3:$A$272=$A13)*Loan_Input!$BX$3:$BX$272*Loan_Input!$H$3:$H$272)/SUMIF(Loan_Input!$A$3:$A$272,$A13,Loan_Input!$H$3:$H$272),""))</f>
        <v/>
      </c>
      <c r="P13" s="27">
        <f>IF($A13="","",IFERROR(SUMPRODUCT((Loan_Input!$A$3:$A$272=$A13)*Loan_Input!$BY$3:$BY$272*Loan_Input!$H$3:$H$272)/SUMIF(Loan_Input!$A$3:$A$272,$A13,Loan_Input!$H$3:$H$272),""))</f>
        <v/>
      </c>
      <c r="Q13" s="27">
        <f>IF($A13="","",IFERROR(SUMPRODUCT((Loan_Input!$A$3:$A$272=$A13)*Loan_Input!$BZ$3:$BZ$272*Loan_Input!$H$3:$H$272)/SUMIF(Loan_Input!$A$3:$A$272,$A13,Loan_Input!$H$3:$H$272),""))</f>
        <v/>
      </c>
      <c r="R13" s="27">
        <f>IF($A13="","",IFERROR(SUMPRODUCT((Loan_Input!$A$3:$A$272=$A13)*Loan_Input!$CA$3:$CA$272*Loan_Input!$H$3:$H$272)/SUMIF(Loan_Input!$A$3:$A$272,$A13,Loan_Input!$H$3:$H$272),""))</f>
        <v/>
      </c>
      <c r="S13" s="27">
        <f>IF($A13="","",IFERROR(SUMPRODUCT((Loan_Input!$A$3:$A$272=$A13)*Loan_Input!$CB$3:$CB$272*Loan_Input!$H$3:$H$272)/SUMIF(Loan_Input!$A$3:$A$272,$A13,Loan_Input!$H$3:$H$272),""))</f>
        <v/>
      </c>
      <c r="T13" s="27">
        <f>IF($A13="","",IFERROR(SUMPRODUCT((Loan_Input!$A$3:$A$272=$A13)*Loan_Input!$CC$3:$CC$272*Loan_Input!$H$3:$H$272)/SUMIF(Loan_Input!$A$3:$A$272,$A13,Loan_Input!$H$3:$H$272),""))</f>
        <v/>
      </c>
      <c r="U13" s="27">
        <f>IF($A13="","",IFERROR(SUMPRODUCT((Loan_Input!$A$3:$A$272=$A13)*Loan_Input!$CD$3:$CD$272*Loan_Input!$H$3:$H$272)/SUMIF(Loan_Input!$A$3:$A$272,$A13,Loan_Input!$H$3:$H$272),""))</f>
        <v/>
      </c>
      <c r="V13" s="27">
        <f>IF($A13="","",IFERROR(SUMPRODUCT((Loan_Input!$A$3:$A$272=$A13)*Loan_Input!$CE$3:$CE$272*Loan_Input!$H$3:$H$272)/SUMIF(Loan_Input!$A$3:$A$272,$A13,Loan_Input!$H$3:$H$272),""))</f>
        <v/>
      </c>
      <c r="W13" s="27">
        <f>IF($A13="","",IFERROR(SUMPRODUCT((Loan_Input!$A$3:$A$272=$A13)*Loan_Input!$CF$3:$CF$272*Loan_Input!$H$3:$H$272)/SUMIF(Loan_Input!$A$3:$A$272,$A13,Loan_Input!$H$3:$H$272),""))</f>
        <v/>
      </c>
      <c r="X13" s="27">
        <f>IF($A13="","",IFERROR(SUMPRODUCT((Loan_Input!$A$3:$A$272=$A13)*Loan_Input!$CG$3:$CG$272*Loan_Input!$H$3:$H$272)/SUMIF(Loan_Input!$A$3:$A$272,$A13,Loan_Input!$H$3:$H$272),""))</f>
        <v/>
      </c>
      <c r="Y13" s="27">
        <f>IF($A13="","",IFERROR(SUMPRODUCT((Loan_Input!$A$3:$A$272=$A13)*Loan_Input!$CH$3:$CH$272*Loan_Input!$H$3:$H$272)/SUMIF(Loan_Input!$A$3:$A$272,$A13,Loan_Input!$H$3:$H$272),""))</f>
        <v/>
      </c>
      <c r="Z13" s="27">
        <f>IF($A13="","",IFERROR(SUMPRODUCT((Loan_Input!$A$3:$A$272=$A13)*Loan_Input!$CI$3:$CI$272*Loan_Input!$H$3:$H$272)/SUMIF(Loan_Input!$A$3:$A$272,$A13,Loan_Input!$H$3:$H$272),""))</f>
        <v/>
      </c>
      <c r="AA13" s="27">
        <f>IF($A13="","",IFERROR(SUMPRODUCT((Loan_Input!$A$3:$A$272=$A13)*Loan_Input!$CJ$3:$CJ$272*Loan_Input!$H$3:$H$272)/SUMIF(Loan_Input!$A$3:$A$272,$A13,Loan_Input!$H$3:$H$272),""))</f>
        <v/>
      </c>
      <c r="AB13" s="31">
        <f>IF($A13="","",IFERROR(SUMPRODUCT((Loan_Input!$A$3:$A$272=$A13)*Loan_Input!$AQ$3:$AQ$272*Loan_Input!$H$3:$H$272)/SUMIF(Loan_Input!$A$3:$A$272,$A13,Loan_Input!$H$3:$H$272),""))</f>
        <v/>
      </c>
      <c r="AC13" s="31">
        <f>IF($A13="","",IFERROR(SUMPRODUCT((Loan_Input!$A$3:$A$272=$A13)*Loan_Input!$AW$3:$AW$272*Loan_Input!$H$3:$H$272)/SUMIF(Loan_Input!$A$3:$A$272,$A13,Loan_Input!$H$3:$H$272),""))</f>
        <v/>
      </c>
      <c r="AD13" s="31">
        <f>IF($A13="","",IFERROR(SUMPRODUCT((Loan_Input!$A$3:$A$272=$A13)*Loan_Input!$AU$3:$AU$272*Loan_Input!$H$3:$H$272)/SUMIF(Loan_Input!$A$3:$A$272,$A13,Loan_Input!$H$3:$H$272),""))</f>
        <v/>
      </c>
      <c r="AE13" s="31">
        <f>IF($A13="","",IFERROR(SUMPRODUCT((Loan_Input!$A$3:$A$272=$A13)*(Loan_Input!$AO$3:$AO$272="223f")*Loan_Input!$H$3:$H$272)/SUMIF(Loan_Input!$A$3:$A$272,$A13,Loan_Input!$H$3:$H$272),""))</f>
        <v/>
      </c>
      <c r="AF13" s="31">
        <f>IF($A13="","",IFERROR(SUMPRODUCT((Loan_Input!$A$3:$A$272=$A13)*Loan_Input!$AV$3:$AV$272*Loan_Input!$H$3:$H$272)/SUMIF(Loan_Input!$A$3:$A$272,$A13,Loan_Input!$H$3:$H$272),""))</f>
        <v/>
      </c>
      <c r="AG13" s="31">
        <f>IF($A13="","",IFERROR(SUMPRODUCT((Loan_Input!$A$3:$A$272=$A13)*Loan_Input!$AX$3:$AX$272*Loan_Input!$H$3:$H$272)/SUMIF(Loan_Input!$A$3:$A$272,$A13,Loan_Input!$H$3:$H$272),""))</f>
        <v/>
      </c>
      <c r="AH13" s="31">
        <f>IF($A13="","",IFERROR(SUMPRODUCT((Loan_Input!$A$3:$A$272=$A13)*(Loan_Input!$AR$3:$AR$272+Loan_Input!$AS$3:$AS$272)*Loan_Input!$H$3:$H$272)/SUMIF(Loan_Input!$A$3:$A$272,$A13,Loan_Input!$H$3:$H$272),""))</f>
        <v/>
      </c>
    </row>
    <row r="14">
      <c r="B14">
        <f>IF($A14="","",COUNTIF(Loan_Input!$A$3:$A$272,$A14))</f>
        <v/>
      </c>
      <c r="C14" s="26">
        <f>IF($A14="","",SUMIF(Loan_Input!$A$3:$A$272,$A14,Loan_Input!$H$3:$H$272)/1000000)</f>
        <v/>
      </c>
      <c r="D14" s="27">
        <f>IF($A14="","",IFERROR(SUMPRODUCT((Loan_Input!$A$3:$A$272=$A14)*Loan_Input!$BV$3:$BV$272*Loan_Input!$H$3:$H$272)/SUMIF(Loan_Input!$A$3:$A$272,$A14,Loan_Input!$H$3:$H$272),""))</f>
        <v/>
      </c>
      <c r="E14" s="27">
        <f>IF($A14="","",IFERROR(SUMPRODUCT((Loan_Input!$A$3:$A$272=$A14)*Loan_Input!$BW$3:$BW$272*Loan_Input!$H$3:$H$272)/SUMIF(Loan_Input!$A$3:$A$272,$A14,Loan_Input!$H$3:$H$272),""))</f>
        <v/>
      </c>
      <c r="F14" s="28">
        <f>IF($A14="","",IFERROR(SUMPRODUCT((Loan_Input!$A$3:$A$272=$A14)*Loan_Input!$AA$3:$AA$272*Loan_Input!$H$3:$H$272)/SUMIF(Loan_Input!$A$3:$A$272,$A14,Loan_Input!$H$3:$H$272),""))</f>
        <v/>
      </c>
      <c r="G14" s="29">
        <f>IF($A14="","",IFERROR(SUMPRODUCT((Loan_Input!$A$3:$A$272=$A14)*Loan_Input!$G$3:$G$272*Loan_Input!$H$3:$H$272)/SUMIF(Loan_Input!$A$3:$A$272,$A14,Loan_Input!$H$3:$H$272),""))</f>
        <v/>
      </c>
      <c r="H14" s="30">
        <f>IF($A14="","",IFERROR(SUMPRODUCT((Loan_Input!$A$3:$A$272=$A14)*Loan_Input!$AM$3:$AM$272*Loan_Input!$H$3:$H$272)/SUMIF(Loan_Input!$A$3:$A$272,$A14,Loan_Input!$H$3:$H$272),""))</f>
        <v/>
      </c>
      <c r="I14" s="27">
        <f>IF($A14="","",IFERROR(SUMPRODUCT((Loan_Input!$A$3:$A$272=$A14)*Loan_Input!$AK$3:$AK$272*Loan_Input!$H$3:$H$272)/SUMIF(Loan_Input!$A$3:$A$272,$A14,Loan_Input!$H$3:$H$272),""))</f>
        <v/>
      </c>
      <c r="J14" s="30">
        <f>IF($A14="","",IFERROR(SUMPRODUCT((Loan_Input!$A$3:$A$272=$A14)*Loan_Input!$AI$3:$AI$272*Loan_Input!$H$3:$H$272)/SUMIF(Loan_Input!$A$3:$A$272,$A14,Loan_Input!$H$3:$H$272),""))</f>
        <v/>
      </c>
      <c r="K14" s="27">
        <f>IF($A14="","",IFERROR(SUMPRODUCT((Loan_Input!$A$3:$A$272=$A14)*Loan_Input!$AN$3:$AN$272*Loan_Input!$H$3:$H$272)/SUMIF(Loan_Input!$A$3:$A$272,$A14,Loan_Input!$H$3:$H$272),""))</f>
        <v/>
      </c>
      <c r="L14" s="31">
        <f>IF($A14="","",IFERROR(SUMPRODUCT((Loan_Input!$A$3:$A$272=$A14)*Loan_Input!$AD$3:$AD$272*Loan_Input!$H$3:$H$272)/SUMIF(Loan_Input!$A$3:$A$272,$A14,Loan_Input!$H$3:$H$272),""))</f>
        <v/>
      </c>
      <c r="M14" s="31">
        <f>IF($A14="","",IFERROR(SUMPRODUCT((Loan_Input!$A$3:$A$272=$A14)*Loan_Input!$AE$3:$AE$272*Loan_Input!$H$3:$H$272)/SUMIF(Loan_Input!$A$3:$A$272,$A14,Loan_Input!$H$3:$H$272),""))</f>
        <v/>
      </c>
      <c r="N14" s="31">
        <f>IF($A14="","",IFERROR(SUMPRODUCT((Loan_Input!$A$3:$A$272=$A14)*Loan_Input!$AF$3:$AF$272*Loan_Input!$H$3:$H$272)/SUMIF(Loan_Input!$A$3:$A$272,$A14,Loan_Input!$H$3:$H$272),""))</f>
        <v/>
      </c>
      <c r="O14" s="27">
        <f>IF($A14="","",IFERROR(SUMPRODUCT((Loan_Input!$A$3:$A$272=$A14)*Loan_Input!$BX$3:$BX$272*Loan_Input!$H$3:$H$272)/SUMIF(Loan_Input!$A$3:$A$272,$A14,Loan_Input!$H$3:$H$272),""))</f>
        <v/>
      </c>
      <c r="P14" s="27">
        <f>IF($A14="","",IFERROR(SUMPRODUCT((Loan_Input!$A$3:$A$272=$A14)*Loan_Input!$BY$3:$BY$272*Loan_Input!$H$3:$H$272)/SUMIF(Loan_Input!$A$3:$A$272,$A14,Loan_Input!$H$3:$H$272),""))</f>
        <v/>
      </c>
      <c r="Q14" s="27">
        <f>IF($A14="","",IFERROR(SUMPRODUCT((Loan_Input!$A$3:$A$272=$A14)*Loan_Input!$BZ$3:$BZ$272*Loan_Input!$H$3:$H$272)/SUMIF(Loan_Input!$A$3:$A$272,$A14,Loan_Input!$H$3:$H$272),""))</f>
        <v/>
      </c>
      <c r="R14" s="27">
        <f>IF($A14="","",IFERROR(SUMPRODUCT((Loan_Input!$A$3:$A$272=$A14)*Loan_Input!$CA$3:$CA$272*Loan_Input!$H$3:$H$272)/SUMIF(Loan_Input!$A$3:$A$272,$A14,Loan_Input!$H$3:$H$272),""))</f>
        <v/>
      </c>
      <c r="S14" s="27">
        <f>IF($A14="","",IFERROR(SUMPRODUCT((Loan_Input!$A$3:$A$272=$A14)*Loan_Input!$CB$3:$CB$272*Loan_Input!$H$3:$H$272)/SUMIF(Loan_Input!$A$3:$A$272,$A14,Loan_Input!$H$3:$H$272),""))</f>
        <v/>
      </c>
      <c r="T14" s="27">
        <f>IF($A14="","",IFERROR(SUMPRODUCT((Loan_Input!$A$3:$A$272=$A14)*Loan_Input!$CC$3:$CC$272*Loan_Input!$H$3:$H$272)/SUMIF(Loan_Input!$A$3:$A$272,$A14,Loan_Input!$H$3:$H$272),""))</f>
        <v/>
      </c>
      <c r="U14" s="27">
        <f>IF($A14="","",IFERROR(SUMPRODUCT((Loan_Input!$A$3:$A$272=$A14)*Loan_Input!$CD$3:$CD$272*Loan_Input!$H$3:$H$272)/SUMIF(Loan_Input!$A$3:$A$272,$A14,Loan_Input!$H$3:$H$272),""))</f>
        <v/>
      </c>
      <c r="V14" s="27">
        <f>IF($A14="","",IFERROR(SUMPRODUCT((Loan_Input!$A$3:$A$272=$A14)*Loan_Input!$CE$3:$CE$272*Loan_Input!$H$3:$H$272)/SUMIF(Loan_Input!$A$3:$A$272,$A14,Loan_Input!$H$3:$H$272),""))</f>
        <v/>
      </c>
      <c r="W14" s="27">
        <f>IF($A14="","",IFERROR(SUMPRODUCT((Loan_Input!$A$3:$A$272=$A14)*Loan_Input!$CF$3:$CF$272*Loan_Input!$H$3:$H$272)/SUMIF(Loan_Input!$A$3:$A$272,$A14,Loan_Input!$H$3:$H$272),""))</f>
        <v/>
      </c>
      <c r="X14" s="27">
        <f>IF($A14="","",IFERROR(SUMPRODUCT((Loan_Input!$A$3:$A$272=$A14)*Loan_Input!$CG$3:$CG$272*Loan_Input!$H$3:$H$272)/SUMIF(Loan_Input!$A$3:$A$272,$A14,Loan_Input!$H$3:$H$272),""))</f>
        <v/>
      </c>
      <c r="Y14" s="27">
        <f>IF($A14="","",IFERROR(SUMPRODUCT((Loan_Input!$A$3:$A$272=$A14)*Loan_Input!$CH$3:$CH$272*Loan_Input!$H$3:$H$272)/SUMIF(Loan_Input!$A$3:$A$272,$A14,Loan_Input!$H$3:$H$272),""))</f>
        <v/>
      </c>
      <c r="Z14" s="27">
        <f>IF($A14="","",IFERROR(SUMPRODUCT((Loan_Input!$A$3:$A$272=$A14)*Loan_Input!$CI$3:$CI$272*Loan_Input!$H$3:$H$272)/SUMIF(Loan_Input!$A$3:$A$272,$A14,Loan_Input!$H$3:$H$272),""))</f>
        <v/>
      </c>
      <c r="AA14" s="27">
        <f>IF($A14="","",IFERROR(SUMPRODUCT((Loan_Input!$A$3:$A$272=$A14)*Loan_Input!$CJ$3:$CJ$272*Loan_Input!$H$3:$H$272)/SUMIF(Loan_Input!$A$3:$A$272,$A14,Loan_Input!$H$3:$H$272),""))</f>
        <v/>
      </c>
      <c r="AB14" s="31">
        <f>IF($A14="","",IFERROR(SUMPRODUCT((Loan_Input!$A$3:$A$272=$A14)*Loan_Input!$AQ$3:$AQ$272*Loan_Input!$H$3:$H$272)/SUMIF(Loan_Input!$A$3:$A$272,$A14,Loan_Input!$H$3:$H$272),""))</f>
        <v/>
      </c>
      <c r="AC14" s="31">
        <f>IF($A14="","",IFERROR(SUMPRODUCT((Loan_Input!$A$3:$A$272=$A14)*Loan_Input!$AW$3:$AW$272*Loan_Input!$H$3:$H$272)/SUMIF(Loan_Input!$A$3:$A$272,$A14,Loan_Input!$H$3:$H$272),""))</f>
        <v/>
      </c>
      <c r="AD14" s="31">
        <f>IF($A14="","",IFERROR(SUMPRODUCT((Loan_Input!$A$3:$A$272=$A14)*Loan_Input!$AU$3:$AU$272*Loan_Input!$H$3:$H$272)/SUMIF(Loan_Input!$A$3:$A$272,$A14,Loan_Input!$H$3:$H$272),""))</f>
        <v/>
      </c>
      <c r="AE14" s="31">
        <f>IF($A14="","",IFERROR(SUMPRODUCT((Loan_Input!$A$3:$A$272=$A14)*(Loan_Input!$AO$3:$AO$272="223f")*Loan_Input!$H$3:$H$272)/SUMIF(Loan_Input!$A$3:$A$272,$A14,Loan_Input!$H$3:$H$272),""))</f>
        <v/>
      </c>
      <c r="AF14" s="31">
        <f>IF($A14="","",IFERROR(SUMPRODUCT((Loan_Input!$A$3:$A$272=$A14)*Loan_Input!$AV$3:$AV$272*Loan_Input!$H$3:$H$272)/SUMIF(Loan_Input!$A$3:$A$272,$A14,Loan_Input!$H$3:$H$272),""))</f>
        <v/>
      </c>
      <c r="AG14" s="31">
        <f>IF($A14="","",IFERROR(SUMPRODUCT((Loan_Input!$A$3:$A$272=$A14)*Loan_Input!$AX$3:$AX$272*Loan_Input!$H$3:$H$272)/SUMIF(Loan_Input!$A$3:$A$272,$A14,Loan_Input!$H$3:$H$272),""))</f>
        <v/>
      </c>
      <c r="AH14" s="31">
        <f>IF($A14="","",IFERROR(SUMPRODUCT((Loan_Input!$A$3:$A$272=$A14)*(Loan_Input!$AR$3:$AR$272+Loan_Input!$AS$3:$AS$272)*Loan_Input!$H$3:$H$272)/SUMIF(Loan_Input!$A$3:$A$272,$A14,Loan_Input!$H$3:$H$272),""))</f>
        <v/>
      </c>
    </row>
    <row r="15">
      <c r="B15">
        <f>IF($A15="","",COUNTIF(Loan_Input!$A$3:$A$272,$A15))</f>
        <v/>
      </c>
      <c r="C15" s="26">
        <f>IF($A15="","",SUMIF(Loan_Input!$A$3:$A$272,$A15,Loan_Input!$H$3:$H$272)/1000000)</f>
        <v/>
      </c>
      <c r="D15" s="27">
        <f>IF($A15="","",IFERROR(SUMPRODUCT((Loan_Input!$A$3:$A$272=$A15)*Loan_Input!$BV$3:$BV$272*Loan_Input!$H$3:$H$272)/SUMIF(Loan_Input!$A$3:$A$272,$A15,Loan_Input!$H$3:$H$272),""))</f>
        <v/>
      </c>
      <c r="E15" s="27">
        <f>IF($A15="","",IFERROR(SUMPRODUCT((Loan_Input!$A$3:$A$272=$A15)*Loan_Input!$BW$3:$BW$272*Loan_Input!$H$3:$H$272)/SUMIF(Loan_Input!$A$3:$A$272,$A15,Loan_Input!$H$3:$H$272),""))</f>
        <v/>
      </c>
      <c r="F15" s="28">
        <f>IF($A15="","",IFERROR(SUMPRODUCT((Loan_Input!$A$3:$A$272=$A15)*Loan_Input!$AA$3:$AA$272*Loan_Input!$H$3:$H$272)/SUMIF(Loan_Input!$A$3:$A$272,$A15,Loan_Input!$H$3:$H$272),""))</f>
        <v/>
      </c>
      <c r="G15" s="29">
        <f>IF($A15="","",IFERROR(SUMPRODUCT((Loan_Input!$A$3:$A$272=$A15)*Loan_Input!$G$3:$G$272*Loan_Input!$H$3:$H$272)/SUMIF(Loan_Input!$A$3:$A$272,$A15,Loan_Input!$H$3:$H$272),""))</f>
        <v/>
      </c>
      <c r="H15" s="30">
        <f>IF($A15="","",IFERROR(SUMPRODUCT((Loan_Input!$A$3:$A$272=$A15)*Loan_Input!$AM$3:$AM$272*Loan_Input!$H$3:$H$272)/SUMIF(Loan_Input!$A$3:$A$272,$A15,Loan_Input!$H$3:$H$272),""))</f>
        <v/>
      </c>
      <c r="I15" s="27">
        <f>IF($A15="","",IFERROR(SUMPRODUCT((Loan_Input!$A$3:$A$272=$A15)*Loan_Input!$AK$3:$AK$272*Loan_Input!$H$3:$H$272)/SUMIF(Loan_Input!$A$3:$A$272,$A15,Loan_Input!$H$3:$H$272),""))</f>
        <v/>
      </c>
      <c r="J15" s="30">
        <f>IF($A15="","",IFERROR(SUMPRODUCT((Loan_Input!$A$3:$A$272=$A15)*Loan_Input!$AI$3:$AI$272*Loan_Input!$H$3:$H$272)/SUMIF(Loan_Input!$A$3:$A$272,$A15,Loan_Input!$H$3:$H$272),""))</f>
        <v/>
      </c>
      <c r="K15" s="27">
        <f>IF($A15="","",IFERROR(SUMPRODUCT((Loan_Input!$A$3:$A$272=$A15)*Loan_Input!$AN$3:$AN$272*Loan_Input!$H$3:$H$272)/SUMIF(Loan_Input!$A$3:$A$272,$A15,Loan_Input!$H$3:$H$272),""))</f>
        <v/>
      </c>
      <c r="L15" s="31">
        <f>IF($A15="","",IFERROR(SUMPRODUCT((Loan_Input!$A$3:$A$272=$A15)*Loan_Input!$AD$3:$AD$272*Loan_Input!$H$3:$H$272)/SUMIF(Loan_Input!$A$3:$A$272,$A15,Loan_Input!$H$3:$H$272),""))</f>
        <v/>
      </c>
      <c r="M15" s="31">
        <f>IF($A15="","",IFERROR(SUMPRODUCT((Loan_Input!$A$3:$A$272=$A15)*Loan_Input!$AE$3:$AE$272*Loan_Input!$H$3:$H$272)/SUMIF(Loan_Input!$A$3:$A$272,$A15,Loan_Input!$H$3:$H$272),""))</f>
        <v/>
      </c>
      <c r="N15" s="31">
        <f>IF($A15="","",IFERROR(SUMPRODUCT((Loan_Input!$A$3:$A$272=$A15)*Loan_Input!$AF$3:$AF$272*Loan_Input!$H$3:$H$272)/SUMIF(Loan_Input!$A$3:$A$272,$A15,Loan_Input!$H$3:$H$272),""))</f>
        <v/>
      </c>
      <c r="O15" s="27">
        <f>IF($A15="","",IFERROR(SUMPRODUCT((Loan_Input!$A$3:$A$272=$A15)*Loan_Input!$BX$3:$BX$272*Loan_Input!$H$3:$H$272)/SUMIF(Loan_Input!$A$3:$A$272,$A15,Loan_Input!$H$3:$H$272),""))</f>
        <v/>
      </c>
      <c r="P15" s="27">
        <f>IF($A15="","",IFERROR(SUMPRODUCT((Loan_Input!$A$3:$A$272=$A15)*Loan_Input!$BY$3:$BY$272*Loan_Input!$H$3:$H$272)/SUMIF(Loan_Input!$A$3:$A$272,$A15,Loan_Input!$H$3:$H$272),""))</f>
        <v/>
      </c>
      <c r="Q15" s="27">
        <f>IF($A15="","",IFERROR(SUMPRODUCT((Loan_Input!$A$3:$A$272=$A15)*Loan_Input!$BZ$3:$BZ$272*Loan_Input!$H$3:$H$272)/SUMIF(Loan_Input!$A$3:$A$272,$A15,Loan_Input!$H$3:$H$272),""))</f>
        <v/>
      </c>
      <c r="R15" s="27">
        <f>IF($A15="","",IFERROR(SUMPRODUCT((Loan_Input!$A$3:$A$272=$A15)*Loan_Input!$CA$3:$CA$272*Loan_Input!$H$3:$H$272)/SUMIF(Loan_Input!$A$3:$A$272,$A15,Loan_Input!$H$3:$H$272),""))</f>
        <v/>
      </c>
      <c r="S15" s="27">
        <f>IF($A15="","",IFERROR(SUMPRODUCT((Loan_Input!$A$3:$A$272=$A15)*Loan_Input!$CB$3:$CB$272*Loan_Input!$H$3:$H$272)/SUMIF(Loan_Input!$A$3:$A$272,$A15,Loan_Input!$H$3:$H$272),""))</f>
        <v/>
      </c>
      <c r="T15" s="27">
        <f>IF($A15="","",IFERROR(SUMPRODUCT((Loan_Input!$A$3:$A$272=$A15)*Loan_Input!$CC$3:$CC$272*Loan_Input!$H$3:$H$272)/SUMIF(Loan_Input!$A$3:$A$272,$A15,Loan_Input!$H$3:$H$272),""))</f>
        <v/>
      </c>
      <c r="U15" s="27">
        <f>IF($A15="","",IFERROR(SUMPRODUCT((Loan_Input!$A$3:$A$272=$A15)*Loan_Input!$CD$3:$CD$272*Loan_Input!$H$3:$H$272)/SUMIF(Loan_Input!$A$3:$A$272,$A15,Loan_Input!$H$3:$H$272),""))</f>
        <v/>
      </c>
      <c r="V15" s="27">
        <f>IF($A15="","",IFERROR(SUMPRODUCT((Loan_Input!$A$3:$A$272=$A15)*Loan_Input!$CE$3:$CE$272*Loan_Input!$H$3:$H$272)/SUMIF(Loan_Input!$A$3:$A$272,$A15,Loan_Input!$H$3:$H$272),""))</f>
        <v/>
      </c>
      <c r="W15" s="27">
        <f>IF($A15="","",IFERROR(SUMPRODUCT((Loan_Input!$A$3:$A$272=$A15)*Loan_Input!$CF$3:$CF$272*Loan_Input!$H$3:$H$272)/SUMIF(Loan_Input!$A$3:$A$272,$A15,Loan_Input!$H$3:$H$272),""))</f>
        <v/>
      </c>
      <c r="X15" s="27">
        <f>IF($A15="","",IFERROR(SUMPRODUCT((Loan_Input!$A$3:$A$272=$A15)*Loan_Input!$CG$3:$CG$272*Loan_Input!$H$3:$H$272)/SUMIF(Loan_Input!$A$3:$A$272,$A15,Loan_Input!$H$3:$H$272),""))</f>
        <v/>
      </c>
      <c r="Y15" s="27">
        <f>IF($A15="","",IFERROR(SUMPRODUCT((Loan_Input!$A$3:$A$272=$A15)*Loan_Input!$CH$3:$CH$272*Loan_Input!$H$3:$H$272)/SUMIF(Loan_Input!$A$3:$A$272,$A15,Loan_Input!$H$3:$H$272),""))</f>
        <v/>
      </c>
      <c r="Z15" s="27">
        <f>IF($A15="","",IFERROR(SUMPRODUCT((Loan_Input!$A$3:$A$272=$A15)*Loan_Input!$CI$3:$CI$272*Loan_Input!$H$3:$H$272)/SUMIF(Loan_Input!$A$3:$A$272,$A15,Loan_Input!$H$3:$H$272),""))</f>
        <v/>
      </c>
      <c r="AA15" s="27">
        <f>IF($A15="","",IFERROR(SUMPRODUCT((Loan_Input!$A$3:$A$272=$A15)*Loan_Input!$CJ$3:$CJ$272*Loan_Input!$H$3:$H$272)/SUMIF(Loan_Input!$A$3:$A$272,$A15,Loan_Input!$H$3:$H$272),""))</f>
        <v/>
      </c>
      <c r="AB15" s="31">
        <f>IF($A15="","",IFERROR(SUMPRODUCT((Loan_Input!$A$3:$A$272=$A15)*Loan_Input!$AQ$3:$AQ$272*Loan_Input!$H$3:$H$272)/SUMIF(Loan_Input!$A$3:$A$272,$A15,Loan_Input!$H$3:$H$272),""))</f>
        <v/>
      </c>
      <c r="AC15" s="31">
        <f>IF($A15="","",IFERROR(SUMPRODUCT((Loan_Input!$A$3:$A$272=$A15)*Loan_Input!$AW$3:$AW$272*Loan_Input!$H$3:$H$272)/SUMIF(Loan_Input!$A$3:$A$272,$A15,Loan_Input!$H$3:$H$272),""))</f>
        <v/>
      </c>
      <c r="AD15" s="31">
        <f>IF($A15="","",IFERROR(SUMPRODUCT((Loan_Input!$A$3:$A$272=$A15)*Loan_Input!$AU$3:$AU$272*Loan_Input!$H$3:$H$272)/SUMIF(Loan_Input!$A$3:$A$272,$A15,Loan_Input!$H$3:$H$272),""))</f>
        <v/>
      </c>
      <c r="AE15" s="31">
        <f>IF($A15="","",IFERROR(SUMPRODUCT((Loan_Input!$A$3:$A$272=$A15)*(Loan_Input!$AO$3:$AO$272="223f")*Loan_Input!$H$3:$H$272)/SUMIF(Loan_Input!$A$3:$A$272,$A15,Loan_Input!$H$3:$H$272),""))</f>
        <v/>
      </c>
      <c r="AF15" s="31">
        <f>IF($A15="","",IFERROR(SUMPRODUCT((Loan_Input!$A$3:$A$272=$A15)*Loan_Input!$AV$3:$AV$272*Loan_Input!$H$3:$H$272)/SUMIF(Loan_Input!$A$3:$A$272,$A15,Loan_Input!$H$3:$H$272),""))</f>
        <v/>
      </c>
      <c r="AG15" s="31">
        <f>IF($A15="","",IFERROR(SUMPRODUCT((Loan_Input!$A$3:$A$272=$A15)*Loan_Input!$AX$3:$AX$272*Loan_Input!$H$3:$H$272)/SUMIF(Loan_Input!$A$3:$A$272,$A15,Loan_Input!$H$3:$H$272),""))</f>
        <v/>
      </c>
      <c r="AH15" s="31">
        <f>IF($A15="","",IFERROR(SUMPRODUCT((Loan_Input!$A$3:$A$272=$A15)*(Loan_Input!$AR$3:$AR$272+Loan_Input!$AS$3:$AS$272)*Loan_Input!$H$3:$H$272)/SUMIF(Loan_Input!$A$3:$A$272,$A15,Loan_Input!$H$3:$H$272),""))</f>
        <v/>
      </c>
    </row>
    <row r="16">
      <c r="B16">
        <f>IF($A16="","",COUNTIF(Loan_Input!$A$3:$A$272,$A16))</f>
        <v/>
      </c>
      <c r="C16" s="26">
        <f>IF($A16="","",SUMIF(Loan_Input!$A$3:$A$272,$A16,Loan_Input!$H$3:$H$272)/1000000)</f>
        <v/>
      </c>
      <c r="D16" s="27">
        <f>IF($A16="","",IFERROR(SUMPRODUCT((Loan_Input!$A$3:$A$272=$A16)*Loan_Input!$BV$3:$BV$272*Loan_Input!$H$3:$H$272)/SUMIF(Loan_Input!$A$3:$A$272,$A16,Loan_Input!$H$3:$H$272),""))</f>
        <v/>
      </c>
      <c r="E16" s="27">
        <f>IF($A16="","",IFERROR(SUMPRODUCT((Loan_Input!$A$3:$A$272=$A16)*Loan_Input!$BW$3:$BW$272*Loan_Input!$H$3:$H$272)/SUMIF(Loan_Input!$A$3:$A$272,$A16,Loan_Input!$H$3:$H$272),""))</f>
        <v/>
      </c>
      <c r="F16" s="28">
        <f>IF($A16="","",IFERROR(SUMPRODUCT((Loan_Input!$A$3:$A$272=$A16)*Loan_Input!$AA$3:$AA$272*Loan_Input!$H$3:$H$272)/SUMIF(Loan_Input!$A$3:$A$272,$A16,Loan_Input!$H$3:$H$272),""))</f>
        <v/>
      </c>
      <c r="G16" s="29">
        <f>IF($A16="","",IFERROR(SUMPRODUCT((Loan_Input!$A$3:$A$272=$A16)*Loan_Input!$G$3:$G$272*Loan_Input!$H$3:$H$272)/SUMIF(Loan_Input!$A$3:$A$272,$A16,Loan_Input!$H$3:$H$272),""))</f>
        <v/>
      </c>
      <c r="H16" s="30">
        <f>IF($A16="","",IFERROR(SUMPRODUCT((Loan_Input!$A$3:$A$272=$A16)*Loan_Input!$AM$3:$AM$272*Loan_Input!$H$3:$H$272)/SUMIF(Loan_Input!$A$3:$A$272,$A16,Loan_Input!$H$3:$H$272),""))</f>
        <v/>
      </c>
      <c r="I16" s="27">
        <f>IF($A16="","",IFERROR(SUMPRODUCT((Loan_Input!$A$3:$A$272=$A16)*Loan_Input!$AK$3:$AK$272*Loan_Input!$H$3:$H$272)/SUMIF(Loan_Input!$A$3:$A$272,$A16,Loan_Input!$H$3:$H$272),""))</f>
        <v/>
      </c>
      <c r="J16" s="30">
        <f>IF($A16="","",IFERROR(SUMPRODUCT((Loan_Input!$A$3:$A$272=$A16)*Loan_Input!$AI$3:$AI$272*Loan_Input!$H$3:$H$272)/SUMIF(Loan_Input!$A$3:$A$272,$A16,Loan_Input!$H$3:$H$272),""))</f>
        <v/>
      </c>
      <c r="K16" s="27">
        <f>IF($A16="","",IFERROR(SUMPRODUCT((Loan_Input!$A$3:$A$272=$A16)*Loan_Input!$AN$3:$AN$272*Loan_Input!$H$3:$H$272)/SUMIF(Loan_Input!$A$3:$A$272,$A16,Loan_Input!$H$3:$H$272),""))</f>
        <v/>
      </c>
      <c r="L16" s="31">
        <f>IF($A16="","",IFERROR(SUMPRODUCT((Loan_Input!$A$3:$A$272=$A16)*Loan_Input!$AD$3:$AD$272*Loan_Input!$H$3:$H$272)/SUMIF(Loan_Input!$A$3:$A$272,$A16,Loan_Input!$H$3:$H$272),""))</f>
        <v/>
      </c>
      <c r="M16" s="31">
        <f>IF($A16="","",IFERROR(SUMPRODUCT((Loan_Input!$A$3:$A$272=$A16)*Loan_Input!$AE$3:$AE$272*Loan_Input!$H$3:$H$272)/SUMIF(Loan_Input!$A$3:$A$272,$A16,Loan_Input!$H$3:$H$272),""))</f>
        <v/>
      </c>
      <c r="N16" s="31">
        <f>IF($A16="","",IFERROR(SUMPRODUCT((Loan_Input!$A$3:$A$272=$A16)*Loan_Input!$AF$3:$AF$272*Loan_Input!$H$3:$H$272)/SUMIF(Loan_Input!$A$3:$A$272,$A16,Loan_Input!$H$3:$H$272),""))</f>
        <v/>
      </c>
      <c r="O16" s="27">
        <f>IF($A16="","",IFERROR(SUMPRODUCT((Loan_Input!$A$3:$A$272=$A16)*Loan_Input!$BX$3:$BX$272*Loan_Input!$H$3:$H$272)/SUMIF(Loan_Input!$A$3:$A$272,$A16,Loan_Input!$H$3:$H$272),""))</f>
        <v/>
      </c>
      <c r="P16" s="27">
        <f>IF($A16="","",IFERROR(SUMPRODUCT((Loan_Input!$A$3:$A$272=$A16)*Loan_Input!$BY$3:$BY$272*Loan_Input!$H$3:$H$272)/SUMIF(Loan_Input!$A$3:$A$272,$A16,Loan_Input!$H$3:$H$272),""))</f>
        <v/>
      </c>
      <c r="Q16" s="27">
        <f>IF($A16="","",IFERROR(SUMPRODUCT((Loan_Input!$A$3:$A$272=$A16)*Loan_Input!$BZ$3:$BZ$272*Loan_Input!$H$3:$H$272)/SUMIF(Loan_Input!$A$3:$A$272,$A16,Loan_Input!$H$3:$H$272),""))</f>
        <v/>
      </c>
      <c r="R16" s="27">
        <f>IF($A16="","",IFERROR(SUMPRODUCT((Loan_Input!$A$3:$A$272=$A16)*Loan_Input!$CA$3:$CA$272*Loan_Input!$H$3:$H$272)/SUMIF(Loan_Input!$A$3:$A$272,$A16,Loan_Input!$H$3:$H$272),""))</f>
        <v/>
      </c>
      <c r="S16" s="27">
        <f>IF($A16="","",IFERROR(SUMPRODUCT((Loan_Input!$A$3:$A$272=$A16)*Loan_Input!$CB$3:$CB$272*Loan_Input!$H$3:$H$272)/SUMIF(Loan_Input!$A$3:$A$272,$A16,Loan_Input!$H$3:$H$272),""))</f>
        <v/>
      </c>
      <c r="T16" s="27">
        <f>IF($A16="","",IFERROR(SUMPRODUCT((Loan_Input!$A$3:$A$272=$A16)*Loan_Input!$CC$3:$CC$272*Loan_Input!$H$3:$H$272)/SUMIF(Loan_Input!$A$3:$A$272,$A16,Loan_Input!$H$3:$H$272),""))</f>
        <v/>
      </c>
      <c r="U16" s="27">
        <f>IF($A16="","",IFERROR(SUMPRODUCT((Loan_Input!$A$3:$A$272=$A16)*Loan_Input!$CD$3:$CD$272*Loan_Input!$H$3:$H$272)/SUMIF(Loan_Input!$A$3:$A$272,$A16,Loan_Input!$H$3:$H$272),""))</f>
        <v/>
      </c>
      <c r="V16" s="27">
        <f>IF($A16="","",IFERROR(SUMPRODUCT((Loan_Input!$A$3:$A$272=$A16)*Loan_Input!$CE$3:$CE$272*Loan_Input!$H$3:$H$272)/SUMIF(Loan_Input!$A$3:$A$272,$A16,Loan_Input!$H$3:$H$272),""))</f>
        <v/>
      </c>
      <c r="W16" s="27">
        <f>IF($A16="","",IFERROR(SUMPRODUCT((Loan_Input!$A$3:$A$272=$A16)*Loan_Input!$CF$3:$CF$272*Loan_Input!$H$3:$H$272)/SUMIF(Loan_Input!$A$3:$A$272,$A16,Loan_Input!$H$3:$H$272),""))</f>
        <v/>
      </c>
      <c r="X16" s="27">
        <f>IF($A16="","",IFERROR(SUMPRODUCT((Loan_Input!$A$3:$A$272=$A16)*Loan_Input!$CG$3:$CG$272*Loan_Input!$H$3:$H$272)/SUMIF(Loan_Input!$A$3:$A$272,$A16,Loan_Input!$H$3:$H$272),""))</f>
        <v/>
      </c>
      <c r="Y16" s="27">
        <f>IF($A16="","",IFERROR(SUMPRODUCT((Loan_Input!$A$3:$A$272=$A16)*Loan_Input!$CH$3:$CH$272*Loan_Input!$H$3:$H$272)/SUMIF(Loan_Input!$A$3:$A$272,$A16,Loan_Input!$H$3:$H$272),""))</f>
        <v/>
      </c>
      <c r="Z16" s="27">
        <f>IF($A16="","",IFERROR(SUMPRODUCT((Loan_Input!$A$3:$A$272=$A16)*Loan_Input!$CI$3:$CI$272*Loan_Input!$H$3:$H$272)/SUMIF(Loan_Input!$A$3:$A$272,$A16,Loan_Input!$H$3:$H$272),""))</f>
        <v/>
      </c>
      <c r="AA16" s="27">
        <f>IF($A16="","",IFERROR(SUMPRODUCT((Loan_Input!$A$3:$A$272=$A16)*Loan_Input!$CJ$3:$CJ$272*Loan_Input!$H$3:$H$272)/SUMIF(Loan_Input!$A$3:$A$272,$A16,Loan_Input!$H$3:$H$272),""))</f>
        <v/>
      </c>
      <c r="AB16" s="31">
        <f>IF($A16="","",IFERROR(SUMPRODUCT((Loan_Input!$A$3:$A$272=$A16)*Loan_Input!$AQ$3:$AQ$272*Loan_Input!$H$3:$H$272)/SUMIF(Loan_Input!$A$3:$A$272,$A16,Loan_Input!$H$3:$H$272),""))</f>
        <v/>
      </c>
      <c r="AC16" s="31">
        <f>IF($A16="","",IFERROR(SUMPRODUCT((Loan_Input!$A$3:$A$272=$A16)*Loan_Input!$AW$3:$AW$272*Loan_Input!$H$3:$H$272)/SUMIF(Loan_Input!$A$3:$A$272,$A16,Loan_Input!$H$3:$H$272),""))</f>
        <v/>
      </c>
      <c r="AD16" s="31">
        <f>IF($A16="","",IFERROR(SUMPRODUCT((Loan_Input!$A$3:$A$272=$A16)*Loan_Input!$AU$3:$AU$272*Loan_Input!$H$3:$H$272)/SUMIF(Loan_Input!$A$3:$A$272,$A16,Loan_Input!$H$3:$H$272),""))</f>
        <v/>
      </c>
      <c r="AE16" s="31">
        <f>IF($A16="","",IFERROR(SUMPRODUCT((Loan_Input!$A$3:$A$272=$A16)*(Loan_Input!$AO$3:$AO$272="223f")*Loan_Input!$H$3:$H$272)/SUMIF(Loan_Input!$A$3:$A$272,$A16,Loan_Input!$H$3:$H$272),""))</f>
        <v/>
      </c>
      <c r="AF16" s="31">
        <f>IF($A16="","",IFERROR(SUMPRODUCT((Loan_Input!$A$3:$A$272=$A16)*Loan_Input!$AV$3:$AV$272*Loan_Input!$H$3:$H$272)/SUMIF(Loan_Input!$A$3:$A$272,$A16,Loan_Input!$H$3:$H$272),""))</f>
        <v/>
      </c>
      <c r="AG16" s="31">
        <f>IF($A16="","",IFERROR(SUMPRODUCT((Loan_Input!$A$3:$A$272=$A16)*Loan_Input!$AX$3:$AX$272*Loan_Input!$H$3:$H$272)/SUMIF(Loan_Input!$A$3:$A$272,$A16,Loan_Input!$H$3:$H$272),""))</f>
        <v/>
      </c>
      <c r="AH16" s="31">
        <f>IF($A16="","",IFERROR(SUMPRODUCT((Loan_Input!$A$3:$A$272=$A16)*(Loan_Input!$AR$3:$AR$272+Loan_Input!$AS$3:$AS$272)*Loan_Input!$H$3:$H$272)/SUMIF(Loan_Input!$A$3:$A$272,$A16,Loan_Input!$H$3:$H$272),""))</f>
        <v/>
      </c>
    </row>
    <row r="17">
      <c r="B17">
        <f>IF($A17="","",COUNTIF(Loan_Input!$A$3:$A$272,$A17))</f>
        <v/>
      </c>
      <c r="C17" s="26">
        <f>IF($A17="","",SUMIF(Loan_Input!$A$3:$A$272,$A17,Loan_Input!$H$3:$H$272)/1000000)</f>
        <v/>
      </c>
      <c r="D17" s="27">
        <f>IF($A17="","",IFERROR(SUMPRODUCT((Loan_Input!$A$3:$A$272=$A17)*Loan_Input!$BV$3:$BV$272*Loan_Input!$H$3:$H$272)/SUMIF(Loan_Input!$A$3:$A$272,$A17,Loan_Input!$H$3:$H$272),""))</f>
        <v/>
      </c>
      <c r="E17" s="27">
        <f>IF($A17="","",IFERROR(SUMPRODUCT((Loan_Input!$A$3:$A$272=$A17)*Loan_Input!$BW$3:$BW$272*Loan_Input!$H$3:$H$272)/SUMIF(Loan_Input!$A$3:$A$272,$A17,Loan_Input!$H$3:$H$272),""))</f>
        <v/>
      </c>
      <c r="F17" s="28">
        <f>IF($A17="","",IFERROR(SUMPRODUCT((Loan_Input!$A$3:$A$272=$A17)*Loan_Input!$AA$3:$AA$272*Loan_Input!$H$3:$H$272)/SUMIF(Loan_Input!$A$3:$A$272,$A17,Loan_Input!$H$3:$H$272),""))</f>
        <v/>
      </c>
      <c r="G17" s="29">
        <f>IF($A17="","",IFERROR(SUMPRODUCT((Loan_Input!$A$3:$A$272=$A17)*Loan_Input!$G$3:$G$272*Loan_Input!$H$3:$H$272)/SUMIF(Loan_Input!$A$3:$A$272,$A17,Loan_Input!$H$3:$H$272),""))</f>
        <v/>
      </c>
      <c r="H17" s="30">
        <f>IF($A17="","",IFERROR(SUMPRODUCT((Loan_Input!$A$3:$A$272=$A17)*Loan_Input!$AM$3:$AM$272*Loan_Input!$H$3:$H$272)/SUMIF(Loan_Input!$A$3:$A$272,$A17,Loan_Input!$H$3:$H$272),""))</f>
        <v/>
      </c>
      <c r="I17" s="27">
        <f>IF($A17="","",IFERROR(SUMPRODUCT((Loan_Input!$A$3:$A$272=$A17)*Loan_Input!$AK$3:$AK$272*Loan_Input!$H$3:$H$272)/SUMIF(Loan_Input!$A$3:$A$272,$A17,Loan_Input!$H$3:$H$272),""))</f>
        <v/>
      </c>
      <c r="J17" s="30">
        <f>IF($A17="","",IFERROR(SUMPRODUCT((Loan_Input!$A$3:$A$272=$A17)*Loan_Input!$AI$3:$AI$272*Loan_Input!$H$3:$H$272)/SUMIF(Loan_Input!$A$3:$A$272,$A17,Loan_Input!$H$3:$H$272),""))</f>
        <v/>
      </c>
      <c r="K17" s="27">
        <f>IF($A17="","",IFERROR(SUMPRODUCT((Loan_Input!$A$3:$A$272=$A17)*Loan_Input!$AN$3:$AN$272*Loan_Input!$H$3:$H$272)/SUMIF(Loan_Input!$A$3:$A$272,$A17,Loan_Input!$H$3:$H$272),""))</f>
        <v/>
      </c>
      <c r="L17" s="31">
        <f>IF($A17="","",IFERROR(SUMPRODUCT((Loan_Input!$A$3:$A$272=$A17)*Loan_Input!$AD$3:$AD$272*Loan_Input!$H$3:$H$272)/SUMIF(Loan_Input!$A$3:$A$272,$A17,Loan_Input!$H$3:$H$272),""))</f>
        <v/>
      </c>
      <c r="M17" s="31">
        <f>IF($A17="","",IFERROR(SUMPRODUCT((Loan_Input!$A$3:$A$272=$A17)*Loan_Input!$AE$3:$AE$272*Loan_Input!$H$3:$H$272)/SUMIF(Loan_Input!$A$3:$A$272,$A17,Loan_Input!$H$3:$H$272),""))</f>
        <v/>
      </c>
      <c r="N17" s="31">
        <f>IF($A17="","",IFERROR(SUMPRODUCT((Loan_Input!$A$3:$A$272=$A17)*Loan_Input!$AF$3:$AF$272*Loan_Input!$H$3:$H$272)/SUMIF(Loan_Input!$A$3:$A$272,$A17,Loan_Input!$H$3:$H$272),""))</f>
        <v/>
      </c>
      <c r="O17" s="27">
        <f>IF($A17="","",IFERROR(SUMPRODUCT((Loan_Input!$A$3:$A$272=$A17)*Loan_Input!$BX$3:$BX$272*Loan_Input!$H$3:$H$272)/SUMIF(Loan_Input!$A$3:$A$272,$A17,Loan_Input!$H$3:$H$272),""))</f>
        <v/>
      </c>
      <c r="P17" s="27">
        <f>IF($A17="","",IFERROR(SUMPRODUCT((Loan_Input!$A$3:$A$272=$A17)*Loan_Input!$BY$3:$BY$272*Loan_Input!$H$3:$H$272)/SUMIF(Loan_Input!$A$3:$A$272,$A17,Loan_Input!$H$3:$H$272),""))</f>
        <v/>
      </c>
      <c r="Q17" s="27">
        <f>IF($A17="","",IFERROR(SUMPRODUCT((Loan_Input!$A$3:$A$272=$A17)*Loan_Input!$BZ$3:$BZ$272*Loan_Input!$H$3:$H$272)/SUMIF(Loan_Input!$A$3:$A$272,$A17,Loan_Input!$H$3:$H$272),""))</f>
        <v/>
      </c>
      <c r="R17" s="27">
        <f>IF($A17="","",IFERROR(SUMPRODUCT((Loan_Input!$A$3:$A$272=$A17)*Loan_Input!$CA$3:$CA$272*Loan_Input!$H$3:$H$272)/SUMIF(Loan_Input!$A$3:$A$272,$A17,Loan_Input!$H$3:$H$272),""))</f>
        <v/>
      </c>
      <c r="S17" s="27">
        <f>IF($A17="","",IFERROR(SUMPRODUCT((Loan_Input!$A$3:$A$272=$A17)*Loan_Input!$CB$3:$CB$272*Loan_Input!$H$3:$H$272)/SUMIF(Loan_Input!$A$3:$A$272,$A17,Loan_Input!$H$3:$H$272),""))</f>
        <v/>
      </c>
      <c r="T17" s="27">
        <f>IF($A17="","",IFERROR(SUMPRODUCT((Loan_Input!$A$3:$A$272=$A17)*Loan_Input!$CC$3:$CC$272*Loan_Input!$H$3:$H$272)/SUMIF(Loan_Input!$A$3:$A$272,$A17,Loan_Input!$H$3:$H$272),""))</f>
        <v/>
      </c>
      <c r="U17" s="27">
        <f>IF($A17="","",IFERROR(SUMPRODUCT((Loan_Input!$A$3:$A$272=$A17)*Loan_Input!$CD$3:$CD$272*Loan_Input!$H$3:$H$272)/SUMIF(Loan_Input!$A$3:$A$272,$A17,Loan_Input!$H$3:$H$272),""))</f>
        <v/>
      </c>
      <c r="V17" s="27">
        <f>IF($A17="","",IFERROR(SUMPRODUCT((Loan_Input!$A$3:$A$272=$A17)*Loan_Input!$CE$3:$CE$272*Loan_Input!$H$3:$H$272)/SUMIF(Loan_Input!$A$3:$A$272,$A17,Loan_Input!$H$3:$H$272),""))</f>
        <v/>
      </c>
      <c r="W17" s="27">
        <f>IF($A17="","",IFERROR(SUMPRODUCT((Loan_Input!$A$3:$A$272=$A17)*Loan_Input!$CF$3:$CF$272*Loan_Input!$H$3:$H$272)/SUMIF(Loan_Input!$A$3:$A$272,$A17,Loan_Input!$H$3:$H$272),""))</f>
        <v/>
      </c>
      <c r="X17" s="27">
        <f>IF($A17="","",IFERROR(SUMPRODUCT((Loan_Input!$A$3:$A$272=$A17)*Loan_Input!$CG$3:$CG$272*Loan_Input!$H$3:$H$272)/SUMIF(Loan_Input!$A$3:$A$272,$A17,Loan_Input!$H$3:$H$272),""))</f>
        <v/>
      </c>
      <c r="Y17" s="27">
        <f>IF($A17="","",IFERROR(SUMPRODUCT((Loan_Input!$A$3:$A$272=$A17)*Loan_Input!$CH$3:$CH$272*Loan_Input!$H$3:$H$272)/SUMIF(Loan_Input!$A$3:$A$272,$A17,Loan_Input!$H$3:$H$272),""))</f>
        <v/>
      </c>
      <c r="Z17" s="27">
        <f>IF($A17="","",IFERROR(SUMPRODUCT((Loan_Input!$A$3:$A$272=$A17)*Loan_Input!$CI$3:$CI$272*Loan_Input!$H$3:$H$272)/SUMIF(Loan_Input!$A$3:$A$272,$A17,Loan_Input!$H$3:$H$272),""))</f>
        <v/>
      </c>
      <c r="AA17" s="27">
        <f>IF($A17="","",IFERROR(SUMPRODUCT((Loan_Input!$A$3:$A$272=$A17)*Loan_Input!$CJ$3:$CJ$272*Loan_Input!$H$3:$H$272)/SUMIF(Loan_Input!$A$3:$A$272,$A17,Loan_Input!$H$3:$H$272),""))</f>
        <v/>
      </c>
      <c r="AB17" s="31">
        <f>IF($A17="","",IFERROR(SUMPRODUCT((Loan_Input!$A$3:$A$272=$A17)*Loan_Input!$AQ$3:$AQ$272*Loan_Input!$H$3:$H$272)/SUMIF(Loan_Input!$A$3:$A$272,$A17,Loan_Input!$H$3:$H$272),""))</f>
        <v/>
      </c>
      <c r="AC17" s="31">
        <f>IF($A17="","",IFERROR(SUMPRODUCT((Loan_Input!$A$3:$A$272=$A17)*Loan_Input!$AW$3:$AW$272*Loan_Input!$H$3:$H$272)/SUMIF(Loan_Input!$A$3:$A$272,$A17,Loan_Input!$H$3:$H$272),""))</f>
        <v/>
      </c>
      <c r="AD17" s="31">
        <f>IF($A17="","",IFERROR(SUMPRODUCT((Loan_Input!$A$3:$A$272=$A17)*Loan_Input!$AU$3:$AU$272*Loan_Input!$H$3:$H$272)/SUMIF(Loan_Input!$A$3:$A$272,$A17,Loan_Input!$H$3:$H$272),""))</f>
        <v/>
      </c>
      <c r="AE17" s="31">
        <f>IF($A17="","",IFERROR(SUMPRODUCT((Loan_Input!$A$3:$A$272=$A17)*(Loan_Input!$AO$3:$AO$272="223f")*Loan_Input!$H$3:$H$272)/SUMIF(Loan_Input!$A$3:$A$272,$A17,Loan_Input!$H$3:$H$272),""))</f>
        <v/>
      </c>
      <c r="AF17" s="31">
        <f>IF($A17="","",IFERROR(SUMPRODUCT((Loan_Input!$A$3:$A$272=$A17)*Loan_Input!$AV$3:$AV$272*Loan_Input!$H$3:$H$272)/SUMIF(Loan_Input!$A$3:$A$272,$A17,Loan_Input!$H$3:$H$272),""))</f>
        <v/>
      </c>
      <c r="AG17" s="31">
        <f>IF($A17="","",IFERROR(SUMPRODUCT((Loan_Input!$A$3:$A$272=$A17)*Loan_Input!$AX$3:$AX$272*Loan_Input!$H$3:$H$272)/SUMIF(Loan_Input!$A$3:$A$272,$A17,Loan_Input!$H$3:$H$272),""))</f>
        <v/>
      </c>
      <c r="AH17" s="31">
        <f>IF($A17="","",IFERROR(SUMPRODUCT((Loan_Input!$A$3:$A$272=$A17)*(Loan_Input!$AR$3:$AR$272+Loan_Input!$AS$3:$AS$272)*Loan_Input!$H$3:$H$272)/SUMIF(Loan_Input!$A$3:$A$272,$A17,Loan_Input!$H$3:$H$272),""))</f>
        <v/>
      </c>
    </row>
    <row r="18">
      <c r="B18">
        <f>IF($A18="","",COUNTIF(Loan_Input!$A$3:$A$272,$A18))</f>
        <v/>
      </c>
      <c r="C18" s="26">
        <f>IF($A18="","",SUMIF(Loan_Input!$A$3:$A$272,$A18,Loan_Input!$H$3:$H$272)/1000000)</f>
        <v/>
      </c>
      <c r="D18" s="27">
        <f>IF($A18="","",IFERROR(SUMPRODUCT((Loan_Input!$A$3:$A$272=$A18)*Loan_Input!$BV$3:$BV$272*Loan_Input!$H$3:$H$272)/SUMIF(Loan_Input!$A$3:$A$272,$A18,Loan_Input!$H$3:$H$272),""))</f>
        <v/>
      </c>
      <c r="E18" s="27">
        <f>IF($A18="","",IFERROR(SUMPRODUCT((Loan_Input!$A$3:$A$272=$A18)*Loan_Input!$BW$3:$BW$272*Loan_Input!$H$3:$H$272)/SUMIF(Loan_Input!$A$3:$A$272,$A18,Loan_Input!$H$3:$H$272),""))</f>
        <v/>
      </c>
      <c r="F18" s="28">
        <f>IF($A18="","",IFERROR(SUMPRODUCT((Loan_Input!$A$3:$A$272=$A18)*Loan_Input!$AA$3:$AA$272*Loan_Input!$H$3:$H$272)/SUMIF(Loan_Input!$A$3:$A$272,$A18,Loan_Input!$H$3:$H$272),""))</f>
        <v/>
      </c>
      <c r="G18" s="29">
        <f>IF($A18="","",IFERROR(SUMPRODUCT((Loan_Input!$A$3:$A$272=$A18)*Loan_Input!$G$3:$G$272*Loan_Input!$H$3:$H$272)/SUMIF(Loan_Input!$A$3:$A$272,$A18,Loan_Input!$H$3:$H$272),""))</f>
        <v/>
      </c>
      <c r="H18" s="30">
        <f>IF($A18="","",IFERROR(SUMPRODUCT((Loan_Input!$A$3:$A$272=$A18)*Loan_Input!$AM$3:$AM$272*Loan_Input!$H$3:$H$272)/SUMIF(Loan_Input!$A$3:$A$272,$A18,Loan_Input!$H$3:$H$272),""))</f>
        <v/>
      </c>
      <c r="I18" s="27">
        <f>IF($A18="","",IFERROR(SUMPRODUCT((Loan_Input!$A$3:$A$272=$A18)*Loan_Input!$AK$3:$AK$272*Loan_Input!$H$3:$H$272)/SUMIF(Loan_Input!$A$3:$A$272,$A18,Loan_Input!$H$3:$H$272),""))</f>
        <v/>
      </c>
      <c r="J18" s="30">
        <f>IF($A18="","",IFERROR(SUMPRODUCT((Loan_Input!$A$3:$A$272=$A18)*Loan_Input!$AI$3:$AI$272*Loan_Input!$H$3:$H$272)/SUMIF(Loan_Input!$A$3:$A$272,$A18,Loan_Input!$H$3:$H$272),""))</f>
        <v/>
      </c>
      <c r="K18" s="27">
        <f>IF($A18="","",IFERROR(SUMPRODUCT((Loan_Input!$A$3:$A$272=$A18)*Loan_Input!$AN$3:$AN$272*Loan_Input!$H$3:$H$272)/SUMIF(Loan_Input!$A$3:$A$272,$A18,Loan_Input!$H$3:$H$272),""))</f>
        <v/>
      </c>
      <c r="L18" s="31">
        <f>IF($A18="","",IFERROR(SUMPRODUCT((Loan_Input!$A$3:$A$272=$A18)*Loan_Input!$AD$3:$AD$272*Loan_Input!$H$3:$H$272)/SUMIF(Loan_Input!$A$3:$A$272,$A18,Loan_Input!$H$3:$H$272),""))</f>
        <v/>
      </c>
      <c r="M18" s="31">
        <f>IF($A18="","",IFERROR(SUMPRODUCT((Loan_Input!$A$3:$A$272=$A18)*Loan_Input!$AE$3:$AE$272*Loan_Input!$H$3:$H$272)/SUMIF(Loan_Input!$A$3:$A$272,$A18,Loan_Input!$H$3:$H$272),""))</f>
        <v/>
      </c>
      <c r="N18" s="31">
        <f>IF($A18="","",IFERROR(SUMPRODUCT((Loan_Input!$A$3:$A$272=$A18)*Loan_Input!$AF$3:$AF$272*Loan_Input!$H$3:$H$272)/SUMIF(Loan_Input!$A$3:$A$272,$A18,Loan_Input!$H$3:$H$272),""))</f>
        <v/>
      </c>
      <c r="O18" s="27">
        <f>IF($A18="","",IFERROR(SUMPRODUCT((Loan_Input!$A$3:$A$272=$A18)*Loan_Input!$BX$3:$BX$272*Loan_Input!$H$3:$H$272)/SUMIF(Loan_Input!$A$3:$A$272,$A18,Loan_Input!$H$3:$H$272),""))</f>
        <v/>
      </c>
      <c r="P18" s="27">
        <f>IF($A18="","",IFERROR(SUMPRODUCT((Loan_Input!$A$3:$A$272=$A18)*Loan_Input!$BY$3:$BY$272*Loan_Input!$H$3:$H$272)/SUMIF(Loan_Input!$A$3:$A$272,$A18,Loan_Input!$H$3:$H$272),""))</f>
        <v/>
      </c>
      <c r="Q18" s="27">
        <f>IF($A18="","",IFERROR(SUMPRODUCT((Loan_Input!$A$3:$A$272=$A18)*Loan_Input!$BZ$3:$BZ$272*Loan_Input!$H$3:$H$272)/SUMIF(Loan_Input!$A$3:$A$272,$A18,Loan_Input!$H$3:$H$272),""))</f>
        <v/>
      </c>
      <c r="R18" s="27">
        <f>IF($A18="","",IFERROR(SUMPRODUCT((Loan_Input!$A$3:$A$272=$A18)*Loan_Input!$CA$3:$CA$272*Loan_Input!$H$3:$H$272)/SUMIF(Loan_Input!$A$3:$A$272,$A18,Loan_Input!$H$3:$H$272),""))</f>
        <v/>
      </c>
      <c r="S18" s="27">
        <f>IF($A18="","",IFERROR(SUMPRODUCT((Loan_Input!$A$3:$A$272=$A18)*Loan_Input!$CB$3:$CB$272*Loan_Input!$H$3:$H$272)/SUMIF(Loan_Input!$A$3:$A$272,$A18,Loan_Input!$H$3:$H$272),""))</f>
        <v/>
      </c>
      <c r="T18" s="27">
        <f>IF($A18="","",IFERROR(SUMPRODUCT((Loan_Input!$A$3:$A$272=$A18)*Loan_Input!$CC$3:$CC$272*Loan_Input!$H$3:$H$272)/SUMIF(Loan_Input!$A$3:$A$272,$A18,Loan_Input!$H$3:$H$272),""))</f>
        <v/>
      </c>
      <c r="U18" s="27">
        <f>IF($A18="","",IFERROR(SUMPRODUCT((Loan_Input!$A$3:$A$272=$A18)*Loan_Input!$CD$3:$CD$272*Loan_Input!$H$3:$H$272)/SUMIF(Loan_Input!$A$3:$A$272,$A18,Loan_Input!$H$3:$H$272),""))</f>
        <v/>
      </c>
      <c r="V18" s="27">
        <f>IF($A18="","",IFERROR(SUMPRODUCT((Loan_Input!$A$3:$A$272=$A18)*Loan_Input!$CE$3:$CE$272*Loan_Input!$H$3:$H$272)/SUMIF(Loan_Input!$A$3:$A$272,$A18,Loan_Input!$H$3:$H$272),""))</f>
        <v/>
      </c>
      <c r="W18" s="27">
        <f>IF($A18="","",IFERROR(SUMPRODUCT((Loan_Input!$A$3:$A$272=$A18)*Loan_Input!$CF$3:$CF$272*Loan_Input!$H$3:$H$272)/SUMIF(Loan_Input!$A$3:$A$272,$A18,Loan_Input!$H$3:$H$272),""))</f>
        <v/>
      </c>
      <c r="X18" s="27">
        <f>IF($A18="","",IFERROR(SUMPRODUCT((Loan_Input!$A$3:$A$272=$A18)*Loan_Input!$CG$3:$CG$272*Loan_Input!$H$3:$H$272)/SUMIF(Loan_Input!$A$3:$A$272,$A18,Loan_Input!$H$3:$H$272),""))</f>
        <v/>
      </c>
      <c r="Y18" s="27">
        <f>IF($A18="","",IFERROR(SUMPRODUCT((Loan_Input!$A$3:$A$272=$A18)*Loan_Input!$CH$3:$CH$272*Loan_Input!$H$3:$H$272)/SUMIF(Loan_Input!$A$3:$A$272,$A18,Loan_Input!$H$3:$H$272),""))</f>
        <v/>
      </c>
      <c r="Z18" s="27">
        <f>IF($A18="","",IFERROR(SUMPRODUCT((Loan_Input!$A$3:$A$272=$A18)*Loan_Input!$CI$3:$CI$272*Loan_Input!$H$3:$H$272)/SUMIF(Loan_Input!$A$3:$A$272,$A18,Loan_Input!$H$3:$H$272),""))</f>
        <v/>
      </c>
      <c r="AA18" s="27">
        <f>IF($A18="","",IFERROR(SUMPRODUCT((Loan_Input!$A$3:$A$272=$A18)*Loan_Input!$CJ$3:$CJ$272*Loan_Input!$H$3:$H$272)/SUMIF(Loan_Input!$A$3:$A$272,$A18,Loan_Input!$H$3:$H$272),""))</f>
        <v/>
      </c>
      <c r="AB18" s="31">
        <f>IF($A18="","",IFERROR(SUMPRODUCT((Loan_Input!$A$3:$A$272=$A18)*Loan_Input!$AQ$3:$AQ$272*Loan_Input!$H$3:$H$272)/SUMIF(Loan_Input!$A$3:$A$272,$A18,Loan_Input!$H$3:$H$272),""))</f>
        <v/>
      </c>
      <c r="AC18" s="31">
        <f>IF($A18="","",IFERROR(SUMPRODUCT((Loan_Input!$A$3:$A$272=$A18)*Loan_Input!$AW$3:$AW$272*Loan_Input!$H$3:$H$272)/SUMIF(Loan_Input!$A$3:$A$272,$A18,Loan_Input!$H$3:$H$272),""))</f>
        <v/>
      </c>
      <c r="AD18" s="31">
        <f>IF($A18="","",IFERROR(SUMPRODUCT((Loan_Input!$A$3:$A$272=$A18)*Loan_Input!$AU$3:$AU$272*Loan_Input!$H$3:$H$272)/SUMIF(Loan_Input!$A$3:$A$272,$A18,Loan_Input!$H$3:$H$272),""))</f>
        <v/>
      </c>
      <c r="AE18" s="31">
        <f>IF($A18="","",IFERROR(SUMPRODUCT((Loan_Input!$A$3:$A$272=$A18)*(Loan_Input!$AO$3:$AO$272="223f")*Loan_Input!$H$3:$H$272)/SUMIF(Loan_Input!$A$3:$A$272,$A18,Loan_Input!$H$3:$H$272),""))</f>
        <v/>
      </c>
      <c r="AF18" s="31">
        <f>IF($A18="","",IFERROR(SUMPRODUCT((Loan_Input!$A$3:$A$272=$A18)*Loan_Input!$AV$3:$AV$272*Loan_Input!$H$3:$H$272)/SUMIF(Loan_Input!$A$3:$A$272,$A18,Loan_Input!$H$3:$H$272),""))</f>
        <v/>
      </c>
      <c r="AG18" s="31">
        <f>IF($A18="","",IFERROR(SUMPRODUCT((Loan_Input!$A$3:$A$272=$A18)*Loan_Input!$AX$3:$AX$272*Loan_Input!$H$3:$H$272)/SUMIF(Loan_Input!$A$3:$A$272,$A18,Loan_Input!$H$3:$H$272),""))</f>
        <v/>
      </c>
      <c r="AH18" s="31">
        <f>IF($A18="","",IFERROR(SUMPRODUCT((Loan_Input!$A$3:$A$272=$A18)*(Loan_Input!$AR$3:$AR$272+Loan_Input!$AS$3:$AS$272)*Loan_Input!$H$3:$H$272)/SUMIF(Loan_Input!$A$3:$A$272,$A18,Loan_Input!$H$3:$H$272),""))</f>
        <v/>
      </c>
    </row>
    <row r="19">
      <c r="B19">
        <f>IF($A19="","",COUNTIF(Loan_Input!$A$3:$A$272,$A19))</f>
        <v/>
      </c>
      <c r="C19" s="26">
        <f>IF($A19="","",SUMIF(Loan_Input!$A$3:$A$272,$A19,Loan_Input!$H$3:$H$272)/1000000)</f>
        <v/>
      </c>
      <c r="D19" s="27">
        <f>IF($A19="","",IFERROR(SUMPRODUCT((Loan_Input!$A$3:$A$272=$A19)*Loan_Input!$BV$3:$BV$272*Loan_Input!$H$3:$H$272)/SUMIF(Loan_Input!$A$3:$A$272,$A19,Loan_Input!$H$3:$H$272),""))</f>
        <v/>
      </c>
      <c r="E19" s="27">
        <f>IF($A19="","",IFERROR(SUMPRODUCT((Loan_Input!$A$3:$A$272=$A19)*Loan_Input!$BW$3:$BW$272*Loan_Input!$H$3:$H$272)/SUMIF(Loan_Input!$A$3:$A$272,$A19,Loan_Input!$H$3:$H$272),""))</f>
        <v/>
      </c>
      <c r="F19" s="28">
        <f>IF($A19="","",IFERROR(SUMPRODUCT((Loan_Input!$A$3:$A$272=$A19)*Loan_Input!$AA$3:$AA$272*Loan_Input!$H$3:$H$272)/SUMIF(Loan_Input!$A$3:$A$272,$A19,Loan_Input!$H$3:$H$272),""))</f>
        <v/>
      </c>
      <c r="G19" s="29">
        <f>IF($A19="","",IFERROR(SUMPRODUCT((Loan_Input!$A$3:$A$272=$A19)*Loan_Input!$G$3:$G$272*Loan_Input!$H$3:$H$272)/SUMIF(Loan_Input!$A$3:$A$272,$A19,Loan_Input!$H$3:$H$272),""))</f>
        <v/>
      </c>
      <c r="H19" s="30">
        <f>IF($A19="","",IFERROR(SUMPRODUCT((Loan_Input!$A$3:$A$272=$A19)*Loan_Input!$AM$3:$AM$272*Loan_Input!$H$3:$H$272)/SUMIF(Loan_Input!$A$3:$A$272,$A19,Loan_Input!$H$3:$H$272),""))</f>
        <v/>
      </c>
      <c r="I19" s="27">
        <f>IF($A19="","",IFERROR(SUMPRODUCT((Loan_Input!$A$3:$A$272=$A19)*Loan_Input!$AK$3:$AK$272*Loan_Input!$H$3:$H$272)/SUMIF(Loan_Input!$A$3:$A$272,$A19,Loan_Input!$H$3:$H$272),""))</f>
        <v/>
      </c>
      <c r="J19" s="30">
        <f>IF($A19="","",IFERROR(SUMPRODUCT((Loan_Input!$A$3:$A$272=$A19)*Loan_Input!$AI$3:$AI$272*Loan_Input!$H$3:$H$272)/SUMIF(Loan_Input!$A$3:$A$272,$A19,Loan_Input!$H$3:$H$272),""))</f>
        <v/>
      </c>
      <c r="K19" s="27">
        <f>IF($A19="","",IFERROR(SUMPRODUCT((Loan_Input!$A$3:$A$272=$A19)*Loan_Input!$AN$3:$AN$272*Loan_Input!$H$3:$H$272)/SUMIF(Loan_Input!$A$3:$A$272,$A19,Loan_Input!$H$3:$H$272),""))</f>
        <v/>
      </c>
      <c r="L19" s="31">
        <f>IF($A19="","",IFERROR(SUMPRODUCT((Loan_Input!$A$3:$A$272=$A19)*Loan_Input!$AD$3:$AD$272*Loan_Input!$H$3:$H$272)/SUMIF(Loan_Input!$A$3:$A$272,$A19,Loan_Input!$H$3:$H$272),""))</f>
        <v/>
      </c>
      <c r="M19" s="31">
        <f>IF($A19="","",IFERROR(SUMPRODUCT((Loan_Input!$A$3:$A$272=$A19)*Loan_Input!$AE$3:$AE$272*Loan_Input!$H$3:$H$272)/SUMIF(Loan_Input!$A$3:$A$272,$A19,Loan_Input!$H$3:$H$272),""))</f>
        <v/>
      </c>
      <c r="N19" s="31">
        <f>IF($A19="","",IFERROR(SUMPRODUCT((Loan_Input!$A$3:$A$272=$A19)*Loan_Input!$AF$3:$AF$272*Loan_Input!$H$3:$H$272)/SUMIF(Loan_Input!$A$3:$A$272,$A19,Loan_Input!$H$3:$H$272),""))</f>
        <v/>
      </c>
      <c r="O19" s="27">
        <f>IF($A19="","",IFERROR(SUMPRODUCT((Loan_Input!$A$3:$A$272=$A19)*Loan_Input!$BX$3:$BX$272*Loan_Input!$H$3:$H$272)/SUMIF(Loan_Input!$A$3:$A$272,$A19,Loan_Input!$H$3:$H$272),""))</f>
        <v/>
      </c>
      <c r="P19" s="27">
        <f>IF($A19="","",IFERROR(SUMPRODUCT((Loan_Input!$A$3:$A$272=$A19)*Loan_Input!$BY$3:$BY$272*Loan_Input!$H$3:$H$272)/SUMIF(Loan_Input!$A$3:$A$272,$A19,Loan_Input!$H$3:$H$272),""))</f>
        <v/>
      </c>
      <c r="Q19" s="27">
        <f>IF($A19="","",IFERROR(SUMPRODUCT((Loan_Input!$A$3:$A$272=$A19)*Loan_Input!$BZ$3:$BZ$272*Loan_Input!$H$3:$H$272)/SUMIF(Loan_Input!$A$3:$A$272,$A19,Loan_Input!$H$3:$H$272),""))</f>
        <v/>
      </c>
      <c r="R19" s="27">
        <f>IF($A19="","",IFERROR(SUMPRODUCT((Loan_Input!$A$3:$A$272=$A19)*Loan_Input!$CA$3:$CA$272*Loan_Input!$H$3:$H$272)/SUMIF(Loan_Input!$A$3:$A$272,$A19,Loan_Input!$H$3:$H$272),""))</f>
        <v/>
      </c>
      <c r="S19" s="27">
        <f>IF($A19="","",IFERROR(SUMPRODUCT((Loan_Input!$A$3:$A$272=$A19)*Loan_Input!$CB$3:$CB$272*Loan_Input!$H$3:$H$272)/SUMIF(Loan_Input!$A$3:$A$272,$A19,Loan_Input!$H$3:$H$272),""))</f>
        <v/>
      </c>
      <c r="T19" s="27">
        <f>IF($A19="","",IFERROR(SUMPRODUCT((Loan_Input!$A$3:$A$272=$A19)*Loan_Input!$CC$3:$CC$272*Loan_Input!$H$3:$H$272)/SUMIF(Loan_Input!$A$3:$A$272,$A19,Loan_Input!$H$3:$H$272),""))</f>
        <v/>
      </c>
      <c r="U19" s="27">
        <f>IF($A19="","",IFERROR(SUMPRODUCT((Loan_Input!$A$3:$A$272=$A19)*Loan_Input!$CD$3:$CD$272*Loan_Input!$H$3:$H$272)/SUMIF(Loan_Input!$A$3:$A$272,$A19,Loan_Input!$H$3:$H$272),""))</f>
        <v/>
      </c>
      <c r="V19" s="27">
        <f>IF($A19="","",IFERROR(SUMPRODUCT((Loan_Input!$A$3:$A$272=$A19)*Loan_Input!$CE$3:$CE$272*Loan_Input!$H$3:$H$272)/SUMIF(Loan_Input!$A$3:$A$272,$A19,Loan_Input!$H$3:$H$272),""))</f>
        <v/>
      </c>
      <c r="W19" s="27">
        <f>IF($A19="","",IFERROR(SUMPRODUCT((Loan_Input!$A$3:$A$272=$A19)*Loan_Input!$CF$3:$CF$272*Loan_Input!$H$3:$H$272)/SUMIF(Loan_Input!$A$3:$A$272,$A19,Loan_Input!$H$3:$H$272),""))</f>
        <v/>
      </c>
      <c r="X19" s="27">
        <f>IF($A19="","",IFERROR(SUMPRODUCT((Loan_Input!$A$3:$A$272=$A19)*Loan_Input!$CG$3:$CG$272*Loan_Input!$H$3:$H$272)/SUMIF(Loan_Input!$A$3:$A$272,$A19,Loan_Input!$H$3:$H$272),""))</f>
        <v/>
      </c>
      <c r="Y19" s="27">
        <f>IF($A19="","",IFERROR(SUMPRODUCT((Loan_Input!$A$3:$A$272=$A19)*Loan_Input!$CH$3:$CH$272*Loan_Input!$H$3:$H$272)/SUMIF(Loan_Input!$A$3:$A$272,$A19,Loan_Input!$H$3:$H$272),""))</f>
        <v/>
      </c>
      <c r="Z19" s="27">
        <f>IF($A19="","",IFERROR(SUMPRODUCT((Loan_Input!$A$3:$A$272=$A19)*Loan_Input!$CI$3:$CI$272*Loan_Input!$H$3:$H$272)/SUMIF(Loan_Input!$A$3:$A$272,$A19,Loan_Input!$H$3:$H$272),""))</f>
        <v/>
      </c>
      <c r="AA19" s="27">
        <f>IF($A19="","",IFERROR(SUMPRODUCT((Loan_Input!$A$3:$A$272=$A19)*Loan_Input!$CJ$3:$CJ$272*Loan_Input!$H$3:$H$272)/SUMIF(Loan_Input!$A$3:$A$272,$A19,Loan_Input!$H$3:$H$272),""))</f>
        <v/>
      </c>
      <c r="AB19" s="31">
        <f>IF($A19="","",IFERROR(SUMPRODUCT((Loan_Input!$A$3:$A$272=$A19)*Loan_Input!$AQ$3:$AQ$272*Loan_Input!$H$3:$H$272)/SUMIF(Loan_Input!$A$3:$A$272,$A19,Loan_Input!$H$3:$H$272),""))</f>
        <v/>
      </c>
      <c r="AC19" s="31">
        <f>IF($A19="","",IFERROR(SUMPRODUCT((Loan_Input!$A$3:$A$272=$A19)*Loan_Input!$AW$3:$AW$272*Loan_Input!$H$3:$H$272)/SUMIF(Loan_Input!$A$3:$A$272,$A19,Loan_Input!$H$3:$H$272),""))</f>
        <v/>
      </c>
      <c r="AD19" s="31">
        <f>IF($A19="","",IFERROR(SUMPRODUCT((Loan_Input!$A$3:$A$272=$A19)*Loan_Input!$AU$3:$AU$272*Loan_Input!$H$3:$H$272)/SUMIF(Loan_Input!$A$3:$A$272,$A19,Loan_Input!$H$3:$H$272),""))</f>
        <v/>
      </c>
      <c r="AE19" s="31">
        <f>IF($A19="","",IFERROR(SUMPRODUCT((Loan_Input!$A$3:$A$272=$A19)*(Loan_Input!$AO$3:$AO$272="223f")*Loan_Input!$H$3:$H$272)/SUMIF(Loan_Input!$A$3:$A$272,$A19,Loan_Input!$H$3:$H$272),""))</f>
        <v/>
      </c>
      <c r="AF19" s="31">
        <f>IF($A19="","",IFERROR(SUMPRODUCT((Loan_Input!$A$3:$A$272=$A19)*Loan_Input!$AV$3:$AV$272*Loan_Input!$H$3:$H$272)/SUMIF(Loan_Input!$A$3:$A$272,$A19,Loan_Input!$H$3:$H$272),""))</f>
        <v/>
      </c>
      <c r="AG19" s="31">
        <f>IF($A19="","",IFERROR(SUMPRODUCT((Loan_Input!$A$3:$A$272=$A19)*Loan_Input!$AX$3:$AX$272*Loan_Input!$H$3:$H$272)/SUMIF(Loan_Input!$A$3:$A$272,$A19,Loan_Input!$H$3:$H$272),""))</f>
        <v/>
      </c>
      <c r="AH19" s="31">
        <f>IF($A19="","",IFERROR(SUMPRODUCT((Loan_Input!$A$3:$A$272=$A19)*(Loan_Input!$AR$3:$AR$272+Loan_Input!$AS$3:$AS$272)*Loan_Input!$H$3:$H$272)/SUMIF(Loan_Input!$A$3:$A$272,$A19,Loan_Input!$H$3:$H$272),""))</f>
        <v/>
      </c>
    </row>
    <row r="20">
      <c r="B20">
        <f>IF($A20="","",COUNTIF(Loan_Input!$A$3:$A$272,$A20))</f>
        <v/>
      </c>
      <c r="C20" s="26">
        <f>IF($A20="","",SUMIF(Loan_Input!$A$3:$A$272,$A20,Loan_Input!$H$3:$H$272)/1000000)</f>
        <v/>
      </c>
      <c r="D20" s="27">
        <f>IF($A20="","",IFERROR(SUMPRODUCT((Loan_Input!$A$3:$A$272=$A20)*Loan_Input!$BV$3:$BV$272*Loan_Input!$H$3:$H$272)/SUMIF(Loan_Input!$A$3:$A$272,$A20,Loan_Input!$H$3:$H$272),""))</f>
        <v/>
      </c>
      <c r="E20" s="27">
        <f>IF($A20="","",IFERROR(SUMPRODUCT((Loan_Input!$A$3:$A$272=$A20)*Loan_Input!$BW$3:$BW$272*Loan_Input!$H$3:$H$272)/SUMIF(Loan_Input!$A$3:$A$272,$A20,Loan_Input!$H$3:$H$272),""))</f>
        <v/>
      </c>
      <c r="F20" s="28">
        <f>IF($A20="","",IFERROR(SUMPRODUCT((Loan_Input!$A$3:$A$272=$A20)*Loan_Input!$AA$3:$AA$272*Loan_Input!$H$3:$H$272)/SUMIF(Loan_Input!$A$3:$A$272,$A20,Loan_Input!$H$3:$H$272),""))</f>
        <v/>
      </c>
      <c r="G20" s="29">
        <f>IF($A20="","",IFERROR(SUMPRODUCT((Loan_Input!$A$3:$A$272=$A20)*Loan_Input!$G$3:$G$272*Loan_Input!$H$3:$H$272)/SUMIF(Loan_Input!$A$3:$A$272,$A20,Loan_Input!$H$3:$H$272),""))</f>
        <v/>
      </c>
      <c r="H20" s="30">
        <f>IF($A20="","",IFERROR(SUMPRODUCT((Loan_Input!$A$3:$A$272=$A20)*Loan_Input!$AM$3:$AM$272*Loan_Input!$H$3:$H$272)/SUMIF(Loan_Input!$A$3:$A$272,$A20,Loan_Input!$H$3:$H$272),""))</f>
        <v/>
      </c>
      <c r="I20" s="27">
        <f>IF($A20="","",IFERROR(SUMPRODUCT((Loan_Input!$A$3:$A$272=$A20)*Loan_Input!$AK$3:$AK$272*Loan_Input!$H$3:$H$272)/SUMIF(Loan_Input!$A$3:$A$272,$A20,Loan_Input!$H$3:$H$272),""))</f>
        <v/>
      </c>
      <c r="J20" s="30">
        <f>IF($A20="","",IFERROR(SUMPRODUCT((Loan_Input!$A$3:$A$272=$A20)*Loan_Input!$AI$3:$AI$272*Loan_Input!$H$3:$H$272)/SUMIF(Loan_Input!$A$3:$A$272,$A20,Loan_Input!$H$3:$H$272),""))</f>
        <v/>
      </c>
      <c r="K20" s="27">
        <f>IF($A20="","",IFERROR(SUMPRODUCT((Loan_Input!$A$3:$A$272=$A20)*Loan_Input!$AN$3:$AN$272*Loan_Input!$H$3:$H$272)/SUMIF(Loan_Input!$A$3:$A$272,$A20,Loan_Input!$H$3:$H$272),""))</f>
        <v/>
      </c>
      <c r="L20" s="31">
        <f>IF($A20="","",IFERROR(SUMPRODUCT((Loan_Input!$A$3:$A$272=$A20)*Loan_Input!$AD$3:$AD$272*Loan_Input!$H$3:$H$272)/SUMIF(Loan_Input!$A$3:$A$272,$A20,Loan_Input!$H$3:$H$272),""))</f>
        <v/>
      </c>
      <c r="M20" s="31">
        <f>IF($A20="","",IFERROR(SUMPRODUCT((Loan_Input!$A$3:$A$272=$A20)*Loan_Input!$AE$3:$AE$272*Loan_Input!$H$3:$H$272)/SUMIF(Loan_Input!$A$3:$A$272,$A20,Loan_Input!$H$3:$H$272),""))</f>
        <v/>
      </c>
      <c r="N20" s="31">
        <f>IF($A20="","",IFERROR(SUMPRODUCT((Loan_Input!$A$3:$A$272=$A20)*Loan_Input!$AF$3:$AF$272*Loan_Input!$H$3:$H$272)/SUMIF(Loan_Input!$A$3:$A$272,$A20,Loan_Input!$H$3:$H$272),""))</f>
        <v/>
      </c>
      <c r="O20" s="27">
        <f>IF($A20="","",IFERROR(SUMPRODUCT((Loan_Input!$A$3:$A$272=$A20)*Loan_Input!$BX$3:$BX$272*Loan_Input!$H$3:$H$272)/SUMIF(Loan_Input!$A$3:$A$272,$A20,Loan_Input!$H$3:$H$272),""))</f>
        <v/>
      </c>
      <c r="P20" s="27">
        <f>IF($A20="","",IFERROR(SUMPRODUCT((Loan_Input!$A$3:$A$272=$A20)*Loan_Input!$BY$3:$BY$272*Loan_Input!$H$3:$H$272)/SUMIF(Loan_Input!$A$3:$A$272,$A20,Loan_Input!$H$3:$H$272),""))</f>
        <v/>
      </c>
      <c r="Q20" s="27">
        <f>IF($A20="","",IFERROR(SUMPRODUCT((Loan_Input!$A$3:$A$272=$A20)*Loan_Input!$BZ$3:$BZ$272*Loan_Input!$H$3:$H$272)/SUMIF(Loan_Input!$A$3:$A$272,$A20,Loan_Input!$H$3:$H$272),""))</f>
        <v/>
      </c>
      <c r="R20" s="27">
        <f>IF($A20="","",IFERROR(SUMPRODUCT((Loan_Input!$A$3:$A$272=$A20)*Loan_Input!$CA$3:$CA$272*Loan_Input!$H$3:$H$272)/SUMIF(Loan_Input!$A$3:$A$272,$A20,Loan_Input!$H$3:$H$272),""))</f>
        <v/>
      </c>
      <c r="S20" s="27">
        <f>IF($A20="","",IFERROR(SUMPRODUCT((Loan_Input!$A$3:$A$272=$A20)*Loan_Input!$CB$3:$CB$272*Loan_Input!$H$3:$H$272)/SUMIF(Loan_Input!$A$3:$A$272,$A20,Loan_Input!$H$3:$H$272),""))</f>
        <v/>
      </c>
      <c r="T20" s="27">
        <f>IF($A20="","",IFERROR(SUMPRODUCT((Loan_Input!$A$3:$A$272=$A20)*Loan_Input!$CC$3:$CC$272*Loan_Input!$H$3:$H$272)/SUMIF(Loan_Input!$A$3:$A$272,$A20,Loan_Input!$H$3:$H$272),""))</f>
        <v/>
      </c>
      <c r="U20" s="27">
        <f>IF($A20="","",IFERROR(SUMPRODUCT((Loan_Input!$A$3:$A$272=$A20)*Loan_Input!$CD$3:$CD$272*Loan_Input!$H$3:$H$272)/SUMIF(Loan_Input!$A$3:$A$272,$A20,Loan_Input!$H$3:$H$272),""))</f>
        <v/>
      </c>
      <c r="V20" s="27">
        <f>IF($A20="","",IFERROR(SUMPRODUCT((Loan_Input!$A$3:$A$272=$A20)*Loan_Input!$CE$3:$CE$272*Loan_Input!$H$3:$H$272)/SUMIF(Loan_Input!$A$3:$A$272,$A20,Loan_Input!$H$3:$H$272),""))</f>
        <v/>
      </c>
      <c r="W20" s="27">
        <f>IF($A20="","",IFERROR(SUMPRODUCT((Loan_Input!$A$3:$A$272=$A20)*Loan_Input!$CF$3:$CF$272*Loan_Input!$H$3:$H$272)/SUMIF(Loan_Input!$A$3:$A$272,$A20,Loan_Input!$H$3:$H$272),""))</f>
        <v/>
      </c>
      <c r="X20" s="27">
        <f>IF($A20="","",IFERROR(SUMPRODUCT((Loan_Input!$A$3:$A$272=$A20)*Loan_Input!$CG$3:$CG$272*Loan_Input!$H$3:$H$272)/SUMIF(Loan_Input!$A$3:$A$272,$A20,Loan_Input!$H$3:$H$272),""))</f>
        <v/>
      </c>
      <c r="Y20" s="27">
        <f>IF($A20="","",IFERROR(SUMPRODUCT((Loan_Input!$A$3:$A$272=$A20)*Loan_Input!$CH$3:$CH$272*Loan_Input!$H$3:$H$272)/SUMIF(Loan_Input!$A$3:$A$272,$A20,Loan_Input!$H$3:$H$272),""))</f>
        <v/>
      </c>
      <c r="Z20" s="27">
        <f>IF($A20="","",IFERROR(SUMPRODUCT((Loan_Input!$A$3:$A$272=$A20)*Loan_Input!$CI$3:$CI$272*Loan_Input!$H$3:$H$272)/SUMIF(Loan_Input!$A$3:$A$272,$A20,Loan_Input!$H$3:$H$272),""))</f>
        <v/>
      </c>
      <c r="AA20" s="27">
        <f>IF($A20="","",IFERROR(SUMPRODUCT((Loan_Input!$A$3:$A$272=$A20)*Loan_Input!$CJ$3:$CJ$272*Loan_Input!$H$3:$H$272)/SUMIF(Loan_Input!$A$3:$A$272,$A20,Loan_Input!$H$3:$H$272),""))</f>
        <v/>
      </c>
      <c r="AB20" s="31">
        <f>IF($A20="","",IFERROR(SUMPRODUCT((Loan_Input!$A$3:$A$272=$A20)*Loan_Input!$AQ$3:$AQ$272*Loan_Input!$H$3:$H$272)/SUMIF(Loan_Input!$A$3:$A$272,$A20,Loan_Input!$H$3:$H$272),""))</f>
        <v/>
      </c>
      <c r="AC20" s="31">
        <f>IF($A20="","",IFERROR(SUMPRODUCT((Loan_Input!$A$3:$A$272=$A20)*Loan_Input!$AW$3:$AW$272*Loan_Input!$H$3:$H$272)/SUMIF(Loan_Input!$A$3:$A$272,$A20,Loan_Input!$H$3:$H$272),""))</f>
        <v/>
      </c>
      <c r="AD20" s="31">
        <f>IF($A20="","",IFERROR(SUMPRODUCT((Loan_Input!$A$3:$A$272=$A20)*Loan_Input!$AU$3:$AU$272*Loan_Input!$H$3:$H$272)/SUMIF(Loan_Input!$A$3:$A$272,$A20,Loan_Input!$H$3:$H$272),""))</f>
        <v/>
      </c>
      <c r="AE20" s="31">
        <f>IF($A20="","",IFERROR(SUMPRODUCT((Loan_Input!$A$3:$A$272=$A20)*(Loan_Input!$AO$3:$AO$272="223f")*Loan_Input!$H$3:$H$272)/SUMIF(Loan_Input!$A$3:$A$272,$A20,Loan_Input!$H$3:$H$272),""))</f>
        <v/>
      </c>
      <c r="AF20" s="31">
        <f>IF($A20="","",IFERROR(SUMPRODUCT((Loan_Input!$A$3:$A$272=$A20)*Loan_Input!$AV$3:$AV$272*Loan_Input!$H$3:$H$272)/SUMIF(Loan_Input!$A$3:$A$272,$A20,Loan_Input!$H$3:$H$272),""))</f>
        <v/>
      </c>
      <c r="AG20" s="31">
        <f>IF($A20="","",IFERROR(SUMPRODUCT((Loan_Input!$A$3:$A$272=$A20)*Loan_Input!$AX$3:$AX$272*Loan_Input!$H$3:$H$272)/SUMIF(Loan_Input!$A$3:$A$272,$A20,Loan_Input!$H$3:$H$272),""))</f>
        <v/>
      </c>
      <c r="AH20" s="31">
        <f>IF($A20="","",IFERROR(SUMPRODUCT((Loan_Input!$A$3:$A$272=$A20)*(Loan_Input!$AR$3:$AR$272+Loan_Input!$AS$3:$AS$272)*Loan_Input!$H$3:$H$272)/SUMIF(Loan_Input!$A$3:$A$272,$A20,Loan_Input!$H$3:$H$272),""))</f>
        <v/>
      </c>
    </row>
    <row r="21">
      <c r="B21">
        <f>IF($A21="","",COUNTIF(Loan_Input!$A$3:$A$272,$A21))</f>
        <v/>
      </c>
      <c r="C21" s="26">
        <f>IF($A21="","",SUMIF(Loan_Input!$A$3:$A$272,$A21,Loan_Input!$H$3:$H$272)/1000000)</f>
        <v/>
      </c>
      <c r="D21" s="27">
        <f>IF($A21="","",IFERROR(SUMPRODUCT((Loan_Input!$A$3:$A$272=$A21)*Loan_Input!$BV$3:$BV$272*Loan_Input!$H$3:$H$272)/SUMIF(Loan_Input!$A$3:$A$272,$A21,Loan_Input!$H$3:$H$272),""))</f>
        <v/>
      </c>
      <c r="E21" s="27">
        <f>IF($A21="","",IFERROR(SUMPRODUCT((Loan_Input!$A$3:$A$272=$A21)*Loan_Input!$BW$3:$BW$272*Loan_Input!$H$3:$H$272)/SUMIF(Loan_Input!$A$3:$A$272,$A21,Loan_Input!$H$3:$H$272),""))</f>
        <v/>
      </c>
      <c r="F21" s="28">
        <f>IF($A21="","",IFERROR(SUMPRODUCT((Loan_Input!$A$3:$A$272=$A21)*Loan_Input!$AA$3:$AA$272*Loan_Input!$H$3:$H$272)/SUMIF(Loan_Input!$A$3:$A$272,$A21,Loan_Input!$H$3:$H$272),""))</f>
        <v/>
      </c>
      <c r="G21" s="29">
        <f>IF($A21="","",IFERROR(SUMPRODUCT((Loan_Input!$A$3:$A$272=$A21)*Loan_Input!$G$3:$G$272*Loan_Input!$H$3:$H$272)/SUMIF(Loan_Input!$A$3:$A$272,$A21,Loan_Input!$H$3:$H$272),""))</f>
        <v/>
      </c>
      <c r="H21" s="30">
        <f>IF($A21="","",IFERROR(SUMPRODUCT((Loan_Input!$A$3:$A$272=$A21)*Loan_Input!$AM$3:$AM$272*Loan_Input!$H$3:$H$272)/SUMIF(Loan_Input!$A$3:$A$272,$A21,Loan_Input!$H$3:$H$272),""))</f>
        <v/>
      </c>
      <c r="I21" s="27">
        <f>IF($A21="","",IFERROR(SUMPRODUCT((Loan_Input!$A$3:$A$272=$A21)*Loan_Input!$AK$3:$AK$272*Loan_Input!$H$3:$H$272)/SUMIF(Loan_Input!$A$3:$A$272,$A21,Loan_Input!$H$3:$H$272),""))</f>
        <v/>
      </c>
      <c r="J21" s="30">
        <f>IF($A21="","",IFERROR(SUMPRODUCT((Loan_Input!$A$3:$A$272=$A21)*Loan_Input!$AI$3:$AI$272*Loan_Input!$H$3:$H$272)/SUMIF(Loan_Input!$A$3:$A$272,$A21,Loan_Input!$H$3:$H$272),""))</f>
        <v/>
      </c>
      <c r="K21" s="27">
        <f>IF($A21="","",IFERROR(SUMPRODUCT((Loan_Input!$A$3:$A$272=$A21)*Loan_Input!$AN$3:$AN$272*Loan_Input!$H$3:$H$272)/SUMIF(Loan_Input!$A$3:$A$272,$A21,Loan_Input!$H$3:$H$272),""))</f>
        <v/>
      </c>
      <c r="L21" s="31">
        <f>IF($A21="","",IFERROR(SUMPRODUCT((Loan_Input!$A$3:$A$272=$A21)*Loan_Input!$AD$3:$AD$272*Loan_Input!$H$3:$H$272)/SUMIF(Loan_Input!$A$3:$A$272,$A21,Loan_Input!$H$3:$H$272),""))</f>
        <v/>
      </c>
      <c r="M21" s="31">
        <f>IF($A21="","",IFERROR(SUMPRODUCT((Loan_Input!$A$3:$A$272=$A21)*Loan_Input!$AE$3:$AE$272*Loan_Input!$H$3:$H$272)/SUMIF(Loan_Input!$A$3:$A$272,$A21,Loan_Input!$H$3:$H$272),""))</f>
        <v/>
      </c>
      <c r="N21" s="31">
        <f>IF($A21="","",IFERROR(SUMPRODUCT((Loan_Input!$A$3:$A$272=$A21)*Loan_Input!$AF$3:$AF$272*Loan_Input!$H$3:$H$272)/SUMIF(Loan_Input!$A$3:$A$272,$A21,Loan_Input!$H$3:$H$272),""))</f>
        <v/>
      </c>
      <c r="O21" s="27">
        <f>IF($A21="","",IFERROR(SUMPRODUCT((Loan_Input!$A$3:$A$272=$A21)*Loan_Input!$BX$3:$BX$272*Loan_Input!$H$3:$H$272)/SUMIF(Loan_Input!$A$3:$A$272,$A21,Loan_Input!$H$3:$H$272),""))</f>
        <v/>
      </c>
      <c r="P21" s="27">
        <f>IF($A21="","",IFERROR(SUMPRODUCT((Loan_Input!$A$3:$A$272=$A21)*Loan_Input!$BY$3:$BY$272*Loan_Input!$H$3:$H$272)/SUMIF(Loan_Input!$A$3:$A$272,$A21,Loan_Input!$H$3:$H$272),""))</f>
        <v/>
      </c>
      <c r="Q21" s="27">
        <f>IF($A21="","",IFERROR(SUMPRODUCT((Loan_Input!$A$3:$A$272=$A21)*Loan_Input!$BZ$3:$BZ$272*Loan_Input!$H$3:$H$272)/SUMIF(Loan_Input!$A$3:$A$272,$A21,Loan_Input!$H$3:$H$272),""))</f>
        <v/>
      </c>
      <c r="R21" s="27">
        <f>IF($A21="","",IFERROR(SUMPRODUCT((Loan_Input!$A$3:$A$272=$A21)*Loan_Input!$CA$3:$CA$272*Loan_Input!$H$3:$H$272)/SUMIF(Loan_Input!$A$3:$A$272,$A21,Loan_Input!$H$3:$H$272),""))</f>
        <v/>
      </c>
      <c r="S21" s="27">
        <f>IF($A21="","",IFERROR(SUMPRODUCT((Loan_Input!$A$3:$A$272=$A21)*Loan_Input!$CB$3:$CB$272*Loan_Input!$H$3:$H$272)/SUMIF(Loan_Input!$A$3:$A$272,$A21,Loan_Input!$H$3:$H$272),""))</f>
        <v/>
      </c>
      <c r="T21" s="27">
        <f>IF($A21="","",IFERROR(SUMPRODUCT((Loan_Input!$A$3:$A$272=$A21)*Loan_Input!$CC$3:$CC$272*Loan_Input!$H$3:$H$272)/SUMIF(Loan_Input!$A$3:$A$272,$A21,Loan_Input!$H$3:$H$272),""))</f>
        <v/>
      </c>
      <c r="U21" s="27">
        <f>IF($A21="","",IFERROR(SUMPRODUCT((Loan_Input!$A$3:$A$272=$A21)*Loan_Input!$CD$3:$CD$272*Loan_Input!$H$3:$H$272)/SUMIF(Loan_Input!$A$3:$A$272,$A21,Loan_Input!$H$3:$H$272),""))</f>
        <v/>
      </c>
      <c r="V21" s="27">
        <f>IF($A21="","",IFERROR(SUMPRODUCT((Loan_Input!$A$3:$A$272=$A21)*Loan_Input!$CE$3:$CE$272*Loan_Input!$H$3:$H$272)/SUMIF(Loan_Input!$A$3:$A$272,$A21,Loan_Input!$H$3:$H$272),""))</f>
        <v/>
      </c>
      <c r="W21" s="27">
        <f>IF($A21="","",IFERROR(SUMPRODUCT((Loan_Input!$A$3:$A$272=$A21)*Loan_Input!$CF$3:$CF$272*Loan_Input!$H$3:$H$272)/SUMIF(Loan_Input!$A$3:$A$272,$A21,Loan_Input!$H$3:$H$272),""))</f>
        <v/>
      </c>
      <c r="X21" s="27">
        <f>IF($A21="","",IFERROR(SUMPRODUCT((Loan_Input!$A$3:$A$272=$A21)*Loan_Input!$CG$3:$CG$272*Loan_Input!$H$3:$H$272)/SUMIF(Loan_Input!$A$3:$A$272,$A21,Loan_Input!$H$3:$H$272),""))</f>
        <v/>
      </c>
      <c r="Y21" s="27">
        <f>IF($A21="","",IFERROR(SUMPRODUCT((Loan_Input!$A$3:$A$272=$A21)*Loan_Input!$CH$3:$CH$272*Loan_Input!$H$3:$H$272)/SUMIF(Loan_Input!$A$3:$A$272,$A21,Loan_Input!$H$3:$H$272),""))</f>
        <v/>
      </c>
      <c r="Z21" s="27">
        <f>IF($A21="","",IFERROR(SUMPRODUCT((Loan_Input!$A$3:$A$272=$A21)*Loan_Input!$CI$3:$CI$272*Loan_Input!$H$3:$H$272)/SUMIF(Loan_Input!$A$3:$A$272,$A21,Loan_Input!$H$3:$H$272),""))</f>
        <v/>
      </c>
      <c r="AA21" s="27">
        <f>IF($A21="","",IFERROR(SUMPRODUCT((Loan_Input!$A$3:$A$272=$A21)*Loan_Input!$CJ$3:$CJ$272*Loan_Input!$H$3:$H$272)/SUMIF(Loan_Input!$A$3:$A$272,$A21,Loan_Input!$H$3:$H$272),""))</f>
        <v/>
      </c>
      <c r="AB21" s="31">
        <f>IF($A21="","",IFERROR(SUMPRODUCT((Loan_Input!$A$3:$A$272=$A21)*Loan_Input!$AQ$3:$AQ$272*Loan_Input!$H$3:$H$272)/SUMIF(Loan_Input!$A$3:$A$272,$A21,Loan_Input!$H$3:$H$272),""))</f>
        <v/>
      </c>
      <c r="AC21" s="31">
        <f>IF($A21="","",IFERROR(SUMPRODUCT((Loan_Input!$A$3:$A$272=$A21)*Loan_Input!$AW$3:$AW$272*Loan_Input!$H$3:$H$272)/SUMIF(Loan_Input!$A$3:$A$272,$A21,Loan_Input!$H$3:$H$272),""))</f>
        <v/>
      </c>
      <c r="AD21" s="31">
        <f>IF($A21="","",IFERROR(SUMPRODUCT((Loan_Input!$A$3:$A$272=$A21)*Loan_Input!$AU$3:$AU$272*Loan_Input!$H$3:$H$272)/SUMIF(Loan_Input!$A$3:$A$272,$A21,Loan_Input!$H$3:$H$272),""))</f>
        <v/>
      </c>
      <c r="AE21" s="31">
        <f>IF($A21="","",IFERROR(SUMPRODUCT((Loan_Input!$A$3:$A$272=$A21)*(Loan_Input!$AO$3:$AO$272="223f")*Loan_Input!$H$3:$H$272)/SUMIF(Loan_Input!$A$3:$A$272,$A21,Loan_Input!$H$3:$H$272),""))</f>
        <v/>
      </c>
      <c r="AF21" s="31">
        <f>IF($A21="","",IFERROR(SUMPRODUCT((Loan_Input!$A$3:$A$272=$A21)*Loan_Input!$AV$3:$AV$272*Loan_Input!$H$3:$H$272)/SUMIF(Loan_Input!$A$3:$A$272,$A21,Loan_Input!$H$3:$H$272),""))</f>
        <v/>
      </c>
      <c r="AG21" s="31">
        <f>IF($A21="","",IFERROR(SUMPRODUCT((Loan_Input!$A$3:$A$272=$A21)*Loan_Input!$AX$3:$AX$272*Loan_Input!$H$3:$H$272)/SUMIF(Loan_Input!$A$3:$A$272,$A21,Loan_Input!$H$3:$H$272),""))</f>
        <v/>
      </c>
      <c r="AH21" s="31">
        <f>IF($A21="","",IFERROR(SUMPRODUCT((Loan_Input!$A$3:$A$272=$A21)*(Loan_Input!$AR$3:$AR$272+Loan_Input!$AS$3:$AS$272)*Loan_Input!$H$3:$H$272)/SUMIF(Loan_Input!$A$3:$A$272,$A21,Loan_Input!$H$3:$H$272),""))</f>
        <v/>
      </c>
    </row>
    <row r="22">
      <c r="B22">
        <f>IF($A22="","",COUNTIF(Loan_Input!$A$3:$A$272,$A22))</f>
        <v/>
      </c>
      <c r="C22" s="26">
        <f>IF($A22="","",SUMIF(Loan_Input!$A$3:$A$272,$A22,Loan_Input!$H$3:$H$272)/1000000)</f>
        <v/>
      </c>
      <c r="D22" s="27">
        <f>IF($A22="","",IFERROR(SUMPRODUCT((Loan_Input!$A$3:$A$272=$A22)*Loan_Input!$BV$3:$BV$272*Loan_Input!$H$3:$H$272)/SUMIF(Loan_Input!$A$3:$A$272,$A22,Loan_Input!$H$3:$H$272),""))</f>
        <v/>
      </c>
      <c r="E22" s="27">
        <f>IF($A22="","",IFERROR(SUMPRODUCT((Loan_Input!$A$3:$A$272=$A22)*Loan_Input!$BW$3:$BW$272*Loan_Input!$H$3:$H$272)/SUMIF(Loan_Input!$A$3:$A$272,$A22,Loan_Input!$H$3:$H$272),""))</f>
        <v/>
      </c>
      <c r="F22" s="28">
        <f>IF($A22="","",IFERROR(SUMPRODUCT((Loan_Input!$A$3:$A$272=$A22)*Loan_Input!$AA$3:$AA$272*Loan_Input!$H$3:$H$272)/SUMIF(Loan_Input!$A$3:$A$272,$A22,Loan_Input!$H$3:$H$272),""))</f>
        <v/>
      </c>
      <c r="G22" s="29">
        <f>IF($A22="","",IFERROR(SUMPRODUCT((Loan_Input!$A$3:$A$272=$A22)*Loan_Input!$G$3:$G$272*Loan_Input!$H$3:$H$272)/SUMIF(Loan_Input!$A$3:$A$272,$A22,Loan_Input!$H$3:$H$272),""))</f>
        <v/>
      </c>
      <c r="H22" s="30">
        <f>IF($A22="","",IFERROR(SUMPRODUCT((Loan_Input!$A$3:$A$272=$A22)*Loan_Input!$AM$3:$AM$272*Loan_Input!$H$3:$H$272)/SUMIF(Loan_Input!$A$3:$A$272,$A22,Loan_Input!$H$3:$H$272),""))</f>
        <v/>
      </c>
      <c r="I22" s="27">
        <f>IF($A22="","",IFERROR(SUMPRODUCT((Loan_Input!$A$3:$A$272=$A22)*Loan_Input!$AK$3:$AK$272*Loan_Input!$H$3:$H$272)/SUMIF(Loan_Input!$A$3:$A$272,$A22,Loan_Input!$H$3:$H$272),""))</f>
        <v/>
      </c>
      <c r="J22" s="30">
        <f>IF($A22="","",IFERROR(SUMPRODUCT((Loan_Input!$A$3:$A$272=$A22)*Loan_Input!$AI$3:$AI$272*Loan_Input!$H$3:$H$272)/SUMIF(Loan_Input!$A$3:$A$272,$A22,Loan_Input!$H$3:$H$272),""))</f>
        <v/>
      </c>
      <c r="K22" s="27">
        <f>IF($A22="","",IFERROR(SUMPRODUCT((Loan_Input!$A$3:$A$272=$A22)*Loan_Input!$AN$3:$AN$272*Loan_Input!$H$3:$H$272)/SUMIF(Loan_Input!$A$3:$A$272,$A22,Loan_Input!$H$3:$H$272),""))</f>
        <v/>
      </c>
      <c r="L22" s="31">
        <f>IF($A22="","",IFERROR(SUMPRODUCT((Loan_Input!$A$3:$A$272=$A22)*Loan_Input!$AD$3:$AD$272*Loan_Input!$H$3:$H$272)/SUMIF(Loan_Input!$A$3:$A$272,$A22,Loan_Input!$H$3:$H$272),""))</f>
        <v/>
      </c>
      <c r="M22" s="31">
        <f>IF($A22="","",IFERROR(SUMPRODUCT((Loan_Input!$A$3:$A$272=$A22)*Loan_Input!$AE$3:$AE$272*Loan_Input!$H$3:$H$272)/SUMIF(Loan_Input!$A$3:$A$272,$A22,Loan_Input!$H$3:$H$272),""))</f>
        <v/>
      </c>
      <c r="N22" s="31">
        <f>IF($A22="","",IFERROR(SUMPRODUCT((Loan_Input!$A$3:$A$272=$A22)*Loan_Input!$AF$3:$AF$272*Loan_Input!$H$3:$H$272)/SUMIF(Loan_Input!$A$3:$A$272,$A22,Loan_Input!$H$3:$H$272),""))</f>
        <v/>
      </c>
      <c r="O22" s="27">
        <f>IF($A22="","",IFERROR(SUMPRODUCT((Loan_Input!$A$3:$A$272=$A22)*Loan_Input!$BX$3:$BX$272*Loan_Input!$H$3:$H$272)/SUMIF(Loan_Input!$A$3:$A$272,$A22,Loan_Input!$H$3:$H$272),""))</f>
        <v/>
      </c>
      <c r="P22" s="27">
        <f>IF($A22="","",IFERROR(SUMPRODUCT((Loan_Input!$A$3:$A$272=$A22)*Loan_Input!$BY$3:$BY$272*Loan_Input!$H$3:$H$272)/SUMIF(Loan_Input!$A$3:$A$272,$A22,Loan_Input!$H$3:$H$272),""))</f>
        <v/>
      </c>
      <c r="Q22" s="27">
        <f>IF($A22="","",IFERROR(SUMPRODUCT((Loan_Input!$A$3:$A$272=$A22)*Loan_Input!$BZ$3:$BZ$272*Loan_Input!$H$3:$H$272)/SUMIF(Loan_Input!$A$3:$A$272,$A22,Loan_Input!$H$3:$H$272),""))</f>
        <v/>
      </c>
      <c r="R22" s="27">
        <f>IF($A22="","",IFERROR(SUMPRODUCT((Loan_Input!$A$3:$A$272=$A22)*Loan_Input!$CA$3:$CA$272*Loan_Input!$H$3:$H$272)/SUMIF(Loan_Input!$A$3:$A$272,$A22,Loan_Input!$H$3:$H$272),""))</f>
        <v/>
      </c>
      <c r="S22" s="27">
        <f>IF($A22="","",IFERROR(SUMPRODUCT((Loan_Input!$A$3:$A$272=$A22)*Loan_Input!$CB$3:$CB$272*Loan_Input!$H$3:$H$272)/SUMIF(Loan_Input!$A$3:$A$272,$A22,Loan_Input!$H$3:$H$272),""))</f>
        <v/>
      </c>
      <c r="T22" s="27">
        <f>IF($A22="","",IFERROR(SUMPRODUCT((Loan_Input!$A$3:$A$272=$A22)*Loan_Input!$CC$3:$CC$272*Loan_Input!$H$3:$H$272)/SUMIF(Loan_Input!$A$3:$A$272,$A22,Loan_Input!$H$3:$H$272),""))</f>
        <v/>
      </c>
      <c r="U22" s="27">
        <f>IF($A22="","",IFERROR(SUMPRODUCT((Loan_Input!$A$3:$A$272=$A22)*Loan_Input!$CD$3:$CD$272*Loan_Input!$H$3:$H$272)/SUMIF(Loan_Input!$A$3:$A$272,$A22,Loan_Input!$H$3:$H$272),""))</f>
        <v/>
      </c>
      <c r="V22" s="27">
        <f>IF($A22="","",IFERROR(SUMPRODUCT((Loan_Input!$A$3:$A$272=$A22)*Loan_Input!$CE$3:$CE$272*Loan_Input!$H$3:$H$272)/SUMIF(Loan_Input!$A$3:$A$272,$A22,Loan_Input!$H$3:$H$272),""))</f>
        <v/>
      </c>
      <c r="W22" s="27">
        <f>IF($A22="","",IFERROR(SUMPRODUCT((Loan_Input!$A$3:$A$272=$A22)*Loan_Input!$CF$3:$CF$272*Loan_Input!$H$3:$H$272)/SUMIF(Loan_Input!$A$3:$A$272,$A22,Loan_Input!$H$3:$H$272),""))</f>
        <v/>
      </c>
      <c r="X22" s="27">
        <f>IF($A22="","",IFERROR(SUMPRODUCT((Loan_Input!$A$3:$A$272=$A22)*Loan_Input!$CG$3:$CG$272*Loan_Input!$H$3:$H$272)/SUMIF(Loan_Input!$A$3:$A$272,$A22,Loan_Input!$H$3:$H$272),""))</f>
        <v/>
      </c>
      <c r="Y22" s="27">
        <f>IF($A22="","",IFERROR(SUMPRODUCT((Loan_Input!$A$3:$A$272=$A22)*Loan_Input!$CH$3:$CH$272*Loan_Input!$H$3:$H$272)/SUMIF(Loan_Input!$A$3:$A$272,$A22,Loan_Input!$H$3:$H$272),""))</f>
        <v/>
      </c>
      <c r="Z22" s="27">
        <f>IF($A22="","",IFERROR(SUMPRODUCT((Loan_Input!$A$3:$A$272=$A22)*Loan_Input!$CI$3:$CI$272*Loan_Input!$H$3:$H$272)/SUMIF(Loan_Input!$A$3:$A$272,$A22,Loan_Input!$H$3:$H$272),""))</f>
        <v/>
      </c>
      <c r="AA22" s="27">
        <f>IF($A22="","",IFERROR(SUMPRODUCT((Loan_Input!$A$3:$A$272=$A22)*Loan_Input!$CJ$3:$CJ$272*Loan_Input!$H$3:$H$272)/SUMIF(Loan_Input!$A$3:$A$272,$A22,Loan_Input!$H$3:$H$272),""))</f>
        <v/>
      </c>
      <c r="AB22" s="31">
        <f>IF($A22="","",IFERROR(SUMPRODUCT((Loan_Input!$A$3:$A$272=$A22)*Loan_Input!$AQ$3:$AQ$272*Loan_Input!$H$3:$H$272)/SUMIF(Loan_Input!$A$3:$A$272,$A22,Loan_Input!$H$3:$H$272),""))</f>
        <v/>
      </c>
      <c r="AC22" s="31">
        <f>IF($A22="","",IFERROR(SUMPRODUCT((Loan_Input!$A$3:$A$272=$A22)*Loan_Input!$AW$3:$AW$272*Loan_Input!$H$3:$H$272)/SUMIF(Loan_Input!$A$3:$A$272,$A22,Loan_Input!$H$3:$H$272),""))</f>
        <v/>
      </c>
      <c r="AD22" s="31">
        <f>IF($A22="","",IFERROR(SUMPRODUCT((Loan_Input!$A$3:$A$272=$A22)*Loan_Input!$AU$3:$AU$272*Loan_Input!$H$3:$H$272)/SUMIF(Loan_Input!$A$3:$A$272,$A22,Loan_Input!$H$3:$H$272),""))</f>
        <v/>
      </c>
      <c r="AE22" s="31">
        <f>IF($A22="","",IFERROR(SUMPRODUCT((Loan_Input!$A$3:$A$272=$A22)*(Loan_Input!$AO$3:$AO$272="223f")*Loan_Input!$H$3:$H$272)/SUMIF(Loan_Input!$A$3:$A$272,$A22,Loan_Input!$H$3:$H$272),""))</f>
        <v/>
      </c>
      <c r="AF22" s="31">
        <f>IF($A22="","",IFERROR(SUMPRODUCT((Loan_Input!$A$3:$A$272=$A22)*Loan_Input!$AV$3:$AV$272*Loan_Input!$H$3:$H$272)/SUMIF(Loan_Input!$A$3:$A$272,$A22,Loan_Input!$H$3:$H$272),""))</f>
        <v/>
      </c>
      <c r="AG22" s="31">
        <f>IF($A22="","",IFERROR(SUMPRODUCT((Loan_Input!$A$3:$A$272=$A22)*Loan_Input!$AX$3:$AX$272*Loan_Input!$H$3:$H$272)/SUMIF(Loan_Input!$A$3:$A$272,$A22,Loan_Input!$H$3:$H$272),""))</f>
        <v/>
      </c>
      <c r="AH22" s="31">
        <f>IF($A22="","",IFERROR(SUMPRODUCT((Loan_Input!$A$3:$A$272=$A22)*(Loan_Input!$AR$3:$AR$272+Loan_Input!$AS$3:$AS$272)*Loan_Input!$H$3:$H$272)/SUMIF(Loan_Input!$A$3:$A$272,$A22,Loan_Input!$H$3:$H$272),""))</f>
        <v/>
      </c>
    </row>
    <row r="23">
      <c r="B23">
        <f>IF($A23="","",COUNTIF(Loan_Input!$A$3:$A$272,$A23))</f>
        <v/>
      </c>
      <c r="C23" s="26">
        <f>IF($A23="","",SUMIF(Loan_Input!$A$3:$A$272,$A23,Loan_Input!$H$3:$H$272)/1000000)</f>
        <v/>
      </c>
      <c r="D23" s="27">
        <f>IF($A23="","",IFERROR(SUMPRODUCT((Loan_Input!$A$3:$A$272=$A23)*Loan_Input!$BV$3:$BV$272*Loan_Input!$H$3:$H$272)/SUMIF(Loan_Input!$A$3:$A$272,$A23,Loan_Input!$H$3:$H$272),""))</f>
        <v/>
      </c>
      <c r="E23" s="27">
        <f>IF($A23="","",IFERROR(SUMPRODUCT((Loan_Input!$A$3:$A$272=$A23)*Loan_Input!$BW$3:$BW$272*Loan_Input!$H$3:$H$272)/SUMIF(Loan_Input!$A$3:$A$272,$A23,Loan_Input!$H$3:$H$272),""))</f>
        <v/>
      </c>
      <c r="F23" s="28">
        <f>IF($A23="","",IFERROR(SUMPRODUCT((Loan_Input!$A$3:$A$272=$A23)*Loan_Input!$AA$3:$AA$272*Loan_Input!$H$3:$H$272)/SUMIF(Loan_Input!$A$3:$A$272,$A23,Loan_Input!$H$3:$H$272),""))</f>
        <v/>
      </c>
      <c r="G23" s="29">
        <f>IF($A23="","",IFERROR(SUMPRODUCT((Loan_Input!$A$3:$A$272=$A23)*Loan_Input!$G$3:$G$272*Loan_Input!$H$3:$H$272)/SUMIF(Loan_Input!$A$3:$A$272,$A23,Loan_Input!$H$3:$H$272),""))</f>
        <v/>
      </c>
      <c r="H23" s="30">
        <f>IF($A23="","",IFERROR(SUMPRODUCT((Loan_Input!$A$3:$A$272=$A23)*Loan_Input!$AM$3:$AM$272*Loan_Input!$H$3:$H$272)/SUMIF(Loan_Input!$A$3:$A$272,$A23,Loan_Input!$H$3:$H$272),""))</f>
        <v/>
      </c>
      <c r="I23" s="27">
        <f>IF($A23="","",IFERROR(SUMPRODUCT((Loan_Input!$A$3:$A$272=$A23)*Loan_Input!$AK$3:$AK$272*Loan_Input!$H$3:$H$272)/SUMIF(Loan_Input!$A$3:$A$272,$A23,Loan_Input!$H$3:$H$272),""))</f>
        <v/>
      </c>
      <c r="J23" s="30">
        <f>IF($A23="","",IFERROR(SUMPRODUCT((Loan_Input!$A$3:$A$272=$A23)*Loan_Input!$AI$3:$AI$272*Loan_Input!$H$3:$H$272)/SUMIF(Loan_Input!$A$3:$A$272,$A23,Loan_Input!$H$3:$H$272),""))</f>
        <v/>
      </c>
      <c r="K23" s="27">
        <f>IF($A23="","",IFERROR(SUMPRODUCT((Loan_Input!$A$3:$A$272=$A23)*Loan_Input!$AN$3:$AN$272*Loan_Input!$H$3:$H$272)/SUMIF(Loan_Input!$A$3:$A$272,$A23,Loan_Input!$H$3:$H$272),""))</f>
        <v/>
      </c>
      <c r="L23" s="31">
        <f>IF($A23="","",IFERROR(SUMPRODUCT((Loan_Input!$A$3:$A$272=$A23)*Loan_Input!$AD$3:$AD$272*Loan_Input!$H$3:$H$272)/SUMIF(Loan_Input!$A$3:$A$272,$A23,Loan_Input!$H$3:$H$272),""))</f>
        <v/>
      </c>
      <c r="M23" s="31">
        <f>IF($A23="","",IFERROR(SUMPRODUCT((Loan_Input!$A$3:$A$272=$A23)*Loan_Input!$AE$3:$AE$272*Loan_Input!$H$3:$H$272)/SUMIF(Loan_Input!$A$3:$A$272,$A23,Loan_Input!$H$3:$H$272),""))</f>
        <v/>
      </c>
      <c r="N23" s="31">
        <f>IF($A23="","",IFERROR(SUMPRODUCT((Loan_Input!$A$3:$A$272=$A23)*Loan_Input!$AF$3:$AF$272*Loan_Input!$H$3:$H$272)/SUMIF(Loan_Input!$A$3:$A$272,$A23,Loan_Input!$H$3:$H$272),""))</f>
        <v/>
      </c>
      <c r="O23" s="27">
        <f>IF($A23="","",IFERROR(SUMPRODUCT((Loan_Input!$A$3:$A$272=$A23)*Loan_Input!$BX$3:$BX$272*Loan_Input!$H$3:$H$272)/SUMIF(Loan_Input!$A$3:$A$272,$A23,Loan_Input!$H$3:$H$272),""))</f>
        <v/>
      </c>
      <c r="P23" s="27">
        <f>IF($A23="","",IFERROR(SUMPRODUCT((Loan_Input!$A$3:$A$272=$A23)*Loan_Input!$BY$3:$BY$272*Loan_Input!$H$3:$H$272)/SUMIF(Loan_Input!$A$3:$A$272,$A23,Loan_Input!$H$3:$H$272),""))</f>
        <v/>
      </c>
      <c r="Q23" s="27">
        <f>IF($A23="","",IFERROR(SUMPRODUCT((Loan_Input!$A$3:$A$272=$A23)*Loan_Input!$BZ$3:$BZ$272*Loan_Input!$H$3:$H$272)/SUMIF(Loan_Input!$A$3:$A$272,$A23,Loan_Input!$H$3:$H$272),""))</f>
        <v/>
      </c>
      <c r="R23" s="27">
        <f>IF($A23="","",IFERROR(SUMPRODUCT((Loan_Input!$A$3:$A$272=$A23)*Loan_Input!$CA$3:$CA$272*Loan_Input!$H$3:$H$272)/SUMIF(Loan_Input!$A$3:$A$272,$A23,Loan_Input!$H$3:$H$272),""))</f>
        <v/>
      </c>
      <c r="S23" s="27">
        <f>IF($A23="","",IFERROR(SUMPRODUCT((Loan_Input!$A$3:$A$272=$A23)*Loan_Input!$CB$3:$CB$272*Loan_Input!$H$3:$H$272)/SUMIF(Loan_Input!$A$3:$A$272,$A23,Loan_Input!$H$3:$H$272),""))</f>
        <v/>
      </c>
      <c r="T23" s="27">
        <f>IF($A23="","",IFERROR(SUMPRODUCT((Loan_Input!$A$3:$A$272=$A23)*Loan_Input!$CC$3:$CC$272*Loan_Input!$H$3:$H$272)/SUMIF(Loan_Input!$A$3:$A$272,$A23,Loan_Input!$H$3:$H$272),""))</f>
        <v/>
      </c>
      <c r="U23" s="27">
        <f>IF($A23="","",IFERROR(SUMPRODUCT((Loan_Input!$A$3:$A$272=$A23)*Loan_Input!$CD$3:$CD$272*Loan_Input!$H$3:$H$272)/SUMIF(Loan_Input!$A$3:$A$272,$A23,Loan_Input!$H$3:$H$272),""))</f>
        <v/>
      </c>
      <c r="V23" s="27">
        <f>IF($A23="","",IFERROR(SUMPRODUCT((Loan_Input!$A$3:$A$272=$A23)*Loan_Input!$CE$3:$CE$272*Loan_Input!$H$3:$H$272)/SUMIF(Loan_Input!$A$3:$A$272,$A23,Loan_Input!$H$3:$H$272),""))</f>
        <v/>
      </c>
      <c r="W23" s="27">
        <f>IF($A23="","",IFERROR(SUMPRODUCT((Loan_Input!$A$3:$A$272=$A23)*Loan_Input!$CF$3:$CF$272*Loan_Input!$H$3:$H$272)/SUMIF(Loan_Input!$A$3:$A$272,$A23,Loan_Input!$H$3:$H$272),""))</f>
        <v/>
      </c>
      <c r="X23" s="27">
        <f>IF($A23="","",IFERROR(SUMPRODUCT((Loan_Input!$A$3:$A$272=$A23)*Loan_Input!$CG$3:$CG$272*Loan_Input!$H$3:$H$272)/SUMIF(Loan_Input!$A$3:$A$272,$A23,Loan_Input!$H$3:$H$272),""))</f>
        <v/>
      </c>
      <c r="Y23" s="27">
        <f>IF($A23="","",IFERROR(SUMPRODUCT((Loan_Input!$A$3:$A$272=$A23)*Loan_Input!$CH$3:$CH$272*Loan_Input!$H$3:$H$272)/SUMIF(Loan_Input!$A$3:$A$272,$A23,Loan_Input!$H$3:$H$272),""))</f>
        <v/>
      </c>
      <c r="Z23" s="27">
        <f>IF($A23="","",IFERROR(SUMPRODUCT((Loan_Input!$A$3:$A$272=$A23)*Loan_Input!$CI$3:$CI$272*Loan_Input!$H$3:$H$272)/SUMIF(Loan_Input!$A$3:$A$272,$A23,Loan_Input!$H$3:$H$272),""))</f>
        <v/>
      </c>
      <c r="AA23" s="27">
        <f>IF($A23="","",IFERROR(SUMPRODUCT((Loan_Input!$A$3:$A$272=$A23)*Loan_Input!$CJ$3:$CJ$272*Loan_Input!$H$3:$H$272)/SUMIF(Loan_Input!$A$3:$A$272,$A23,Loan_Input!$H$3:$H$272),""))</f>
        <v/>
      </c>
      <c r="AB23" s="31">
        <f>IF($A23="","",IFERROR(SUMPRODUCT((Loan_Input!$A$3:$A$272=$A23)*Loan_Input!$AQ$3:$AQ$272*Loan_Input!$H$3:$H$272)/SUMIF(Loan_Input!$A$3:$A$272,$A23,Loan_Input!$H$3:$H$272),""))</f>
        <v/>
      </c>
      <c r="AC23" s="31">
        <f>IF($A23="","",IFERROR(SUMPRODUCT((Loan_Input!$A$3:$A$272=$A23)*Loan_Input!$AW$3:$AW$272*Loan_Input!$H$3:$H$272)/SUMIF(Loan_Input!$A$3:$A$272,$A23,Loan_Input!$H$3:$H$272),""))</f>
        <v/>
      </c>
      <c r="AD23" s="31">
        <f>IF($A23="","",IFERROR(SUMPRODUCT((Loan_Input!$A$3:$A$272=$A23)*Loan_Input!$AU$3:$AU$272*Loan_Input!$H$3:$H$272)/SUMIF(Loan_Input!$A$3:$A$272,$A23,Loan_Input!$H$3:$H$272),""))</f>
        <v/>
      </c>
      <c r="AE23" s="31">
        <f>IF($A23="","",IFERROR(SUMPRODUCT((Loan_Input!$A$3:$A$272=$A23)*(Loan_Input!$AO$3:$AO$272="223f")*Loan_Input!$H$3:$H$272)/SUMIF(Loan_Input!$A$3:$A$272,$A23,Loan_Input!$H$3:$H$272),""))</f>
        <v/>
      </c>
      <c r="AF23" s="31">
        <f>IF($A23="","",IFERROR(SUMPRODUCT((Loan_Input!$A$3:$A$272=$A23)*Loan_Input!$AV$3:$AV$272*Loan_Input!$H$3:$H$272)/SUMIF(Loan_Input!$A$3:$A$272,$A23,Loan_Input!$H$3:$H$272),""))</f>
        <v/>
      </c>
      <c r="AG23" s="31">
        <f>IF($A23="","",IFERROR(SUMPRODUCT((Loan_Input!$A$3:$A$272=$A23)*Loan_Input!$AX$3:$AX$272*Loan_Input!$H$3:$H$272)/SUMIF(Loan_Input!$A$3:$A$272,$A23,Loan_Input!$H$3:$H$272),""))</f>
        <v/>
      </c>
      <c r="AH23" s="31">
        <f>IF($A23="","",IFERROR(SUMPRODUCT((Loan_Input!$A$3:$A$272=$A23)*(Loan_Input!$AR$3:$AR$272+Loan_Input!$AS$3:$AS$272)*Loan_Input!$H$3:$H$272)/SUMIF(Loan_Input!$A$3:$A$272,$A23,Loan_Input!$H$3:$H$272),""))</f>
        <v/>
      </c>
    </row>
    <row r="24">
      <c r="B24">
        <f>IF($A24="","",COUNTIF(Loan_Input!$A$3:$A$272,$A24))</f>
        <v/>
      </c>
      <c r="C24" s="26">
        <f>IF($A24="","",SUMIF(Loan_Input!$A$3:$A$272,$A24,Loan_Input!$H$3:$H$272)/1000000)</f>
        <v/>
      </c>
      <c r="D24" s="27">
        <f>IF($A24="","",IFERROR(SUMPRODUCT((Loan_Input!$A$3:$A$272=$A24)*Loan_Input!$BV$3:$BV$272*Loan_Input!$H$3:$H$272)/SUMIF(Loan_Input!$A$3:$A$272,$A24,Loan_Input!$H$3:$H$272),""))</f>
        <v/>
      </c>
      <c r="E24" s="27">
        <f>IF($A24="","",IFERROR(SUMPRODUCT((Loan_Input!$A$3:$A$272=$A24)*Loan_Input!$BW$3:$BW$272*Loan_Input!$H$3:$H$272)/SUMIF(Loan_Input!$A$3:$A$272,$A24,Loan_Input!$H$3:$H$272),""))</f>
        <v/>
      </c>
      <c r="F24" s="28">
        <f>IF($A24="","",IFERROR(SUMPRODUCT((Loan_Input!$A$3:$A$272=$A24)*Loan_Input!$AA$3:$AA$272*Loan_Input!$H$3:$H$272)/SUMIF(Loan_Input!$A$3:$A$272,$A24,Loan_Input!$H$3:$H$272),""))</f>
        <v/>
      </c>
      <c r="G24" s="29">
        <f>IF($A24="","",IFERROR(SUMPRODUCT((Loan_Input!$A$3:$A$272=$A24)*Loan_Input!$G$3:$G$272*Loan_Input!$H$3:$H$272)/SUMIF(Loan_Input!$A$3:$A$272,$A24,Loan_Input!$H$3:$H$272),""))</f>
        <v/>
      </c>
      <c r="H24" s="30">
        <f>IF($A24="","",IFERROR(SUMPRODUCT((Loan_Input!$A$3:$A$272=$A24)*Loan_Input!$AM$3:$AM$272*Loan_Input!$H$3:$H$272)/SUMIF(Loan_Input!$A$3:$A$272,$A24,Loan_Input!$H$3:$H$272),""))</f>
        <v/>
      </c>
      <c r="I24" s="27">
        <f>IF($A24="","",IFERROR(SUMPRODUCT((Loan_Input!$A$3:$A$272=$A24)*Loan_Input!$AK$3:$AK$272*Loan_Input!$H$3:$H$272)/SUMIF(Loan_Input!$A$3:$A$272,$A24,Loan_Input!$H$3:$H$272),""))</f>
        <v/>
      </c>
      <c r="J24" s="30">
        <f>IF($A24="","",IFERROR(SUMPRODUCT((Loan_Input!$A$3:$A$272=$A24)*Loan_Input!$AI$3:$AI$272*Loan_Input!$H$3:$H$272)/SUMIF(Loan_Input!$A$3:$A$272,$A24,Loan_Input!$H$3:$H$272),""))</f>
        <v/>
      </c>
      <c r="K24" s="27">
        <f>IF($A24="","",IFERROR(SUMPRODUCT((Loan_Input!$A$3:$A$272=$A24)*Loan_Input!$AN$3:$AN$272*Loan_Input!$H$3:$H$272)/SUMIF(Loan_Input!$A$3:$A$272,$A24,Loan_Input!$H$3:$H$272),""))</f>
        <v/>
      </c>
      <c r="L24" s="31">
        <f>IF($A24="","",IFERROR(SUMPRODUCT((Loan_Input!$A$3:$A$272=$A24)*Loan_Input!$AD$3:$AD$272*Loan_Input!$H$3:$H$272)/SUMIF(Loan_Input!$A$3:$A$272,$A24,Loan_Input!$H$3:$H$272),""))</f>
        <v/>
      </c>
      <c r="M24" s="31">
        <f>IF($A24="","",IFERROR(SUMPRODUCT((Loan_Input!$A$3:$A$272=$A24)*Loan_Input!$AE$3:$AE$272*Loan_Input!$H$3:$H$272)/SUMIF(Loan_Input!$A$3:$A$272,$A24,Loan_Input!$H$3:$H$272),""))</f>
        <v/>
      </c>
      <c r="N24" s="31">
        <f>IF($A24="","",IFERROR(SUMPRODUCT((Loan_Input!$A$3:$A$272=$A24)*Loan_Input!$AF$3:$AF$272*Loan_Input!$H$3:$H$272)/SUMIF(Loan_Input!$A$3:$A$272,$A24,Loan_Input!$H$3:$H$272),""))</f>
        <v/>
      </c>
      <c r="O24" s="27">
        <f>IF($A24="","",IFERROR(SUMPRODUCT((Loan_Input!$A$3:$A$272=$A24)*Loan_Input!$BX$3:$BX$272*Loan_Input!$H$3:$H$272)/SUMIF(Loan_Input!$A$3:$A$272,$A24,Loan_Input!$H$3:$H$272),""))</f>
        <v/>
      </c>
      <c r="P24" s="27">
        <f>IF($A24="","",IFERROR(SUMPRODUCT((Loan_Input!$A$3:$A$272=$A24)*Loan_Input!$BY$3:$BY$272*Loan_Input!$H$3:$H$272)/SUMIF(Loan_Input!$A$3:$A$272,$A24,Loan_Input!$H$3:$H$272),""))</f>
        <v/>
      </c>
      <c r="Q24" s="27">
        <f>IF($A24="","",IFERROR(SUMPRODUCT((Loan_Input!$A$3:$A$272=$A24)*Loan_Input!$BZ$3:$BZ$272*Loan_Input!$H$3:$H$272)/SUMIF(Loan_Input!$A$3:$A$272,$A24,Loan_Input!$H$3:$H$272),""))</f>
        <v/>
      </c>
      <c r="R24" s="27">
        <f>IF($A24="","",IFERROR(SUMPRODUCT((Loan_Input!$A$3:$A$272=$A24)*Loan_Input!$CA$3:$CA$272*Loan_Input!$H$3:$H$272)/SUMIF(Loan_Input!$A$3:$A$272,$A24,Loan_Input!$H$3:$H$272),""))</f>
        <v/>
      </c>
      <c r="S24" s="27">
        <f>IF($A24="","",IFERROR(SUMPRODUCT((Loan_Input!$A$3:$A$272=$A24)*Loan_Input!$CB$3:$CB$272*Loan_Input!$H$3:$H$272)/SUMIF(Loan_Input!$A$3:$A$272,$A24,Loan_Input!$H$3:$H$272),""))</f>
        <v/>
      </c>
      <c r="T24" s="27">
        <f>IF($A24="","",IFERROR(SUMPRODUCT((Loan_Input!$A$3:$A$272=$A24)*Loan_Input!$CC$3:$CC$272*Loan_Input!$H$3:$H$272)/SUMIF(Loan_Input!$A$3:$A$272,$A24,Loan_Input!$H$3:$H$272),""))</f>
        <v/>
      </c>
      <c r="U24" s="27">
        <f>IF($A24="","",IFERROR(SUMPRODUCT((Loan_Input!$A$3:$A$272=$A24)*Loan_Input!$CD$3:$CD$272*Loan_Input!$H$3:$H$272)/SUMIF(Loan_Input!$A$3:$A$272,$A24,Loan_Input!$H$3:$H$272),""))</f>
        <v/>
      </c>
      <c r="V24" s="27">
        <f>IF($A24="","",IFERROR(SUMPRODUCT((Loan_Input!$A$3:$A$272=$A24)*Loan_Input!$CE$3:$CE$272*Loan_Input!$H$3:$H$272)/SUMIF(Loan_Input!$A$3:$A$272,$A24,Loan_Input!$H$3:$H$272),""))</f>
        <v/>
      </c>
      <c r="W24" s="27">
        <f>IF($A24="","",IFERROR(SUMPRODUCT((Loan_Input!$A$3:$A$272=$A24)*Loan_Input!$CF$3:$CF$272*Loan_Input!$H$3:$H$272)/SUMIF(Loan_Input!$A$3:$A$272,$A24,Loan_Input!$H$3:$H$272),""))</f>
        <v/>
      </c>
      <c r="X24" s="27">
        <f>IF($A24="","",IFERROR(SUMPRODUCT((Loan_Input!$A$3:$A$272=$A24)*Loan_Input!$CG$3:$CG$272*Loan_Input!$H$3:$H$272)/SUMIF(Loan_Input!$A$3:$A$272,$A24,Loan_Input!$H$3:$H$272),""))</f>
        <v/>
      </c>
      <c r="Y24" s="27">
        <f>IF($A24="","",IFERROR(SUMPRODUCT((Loan_Input!$A$3:$A$272=$A24)*Loan_Input!$CH$3:$CH$272*Loan_Input!$H$3:$H$272)/SUMIF(Loan_Input!$A$3:$A$272,$A24,Loan_Input!$H$3:$H$272),""))</f>
        <v/>
      </c>
      <c r="Z24" s="27">
        <f>IF($A24="","",IFERROR(SUMPRODUCT((Loan_Input!$A$3:$A$272=$A24)*Loan_Input!$CI$3:$CI$272*Loan_Input!$H$3:$H$272)/SUMIF(Loan_Input!$A$3:$A$272,$A24,Loan_Input!$H$3:$H$272),""))</f>
        <v/>
      </c>
      <c r="AA24" s="27">
        <f>IF($A24="","",IFERROR(SUMPRODUCT((Loan_Input!$A$3:$A$272=$A24)*Loan_Input!$CJ$3:$CJ$272*Loan_Input!$H$3:$H$272)/SUMIF(Loan_Input!$A$3:$A$272,$A24,Loan_Input!$H$3:$H$272),""))</f>
        <v/>
      </c>
      <c r="AB24" s="31">
        <f>IF($A24="","",IFERROR(SUMPRODUCT((Loan_Input!$A$3:$A$272=$A24)*Loan_Input!$AQ$3:$AQ$272*Loan_Input!$H$3:$H$272)/SUMIF(Loan_Input!$A$3:$A$272,$A24,Loan_Input!$H$3:$H$272),""))</f>
        <v/>
      </c>
      <c r="AC24" s="31">
        <f>IF($A24="","",IFERROR(SUMPRODUCT((Loan_Input!$A$3:$A$272=$A24)*Loan_Input!$AW$3:$AW$272*Loan_Input!$H$3:$H$272)/SUMIF(Loan_Input!$A$3:$A$272,$A24,Loan_Input!$H$3:$H$272),""))</f>
        <v/>
      </c>
      <c r="AD24" s="31">
        <f>IF($A24="","",IFERROR(SUMPRODUCT((Loan_Input!$A$3:$A$272=$A24)*Loan_Input!$AU$3:$AU$272*Loan_Input!$H$3:$H$272)/SUMIF(Loan_Input!$A$3:$A$272,$A24,Loan_Input!$H$3:$H$272),""))</f>
        <v/>
      </c>
      <c r="AE24" s="31">
        <f>IF($A24="","",IFERROR(SUMPRODUCT((Loan_Input!$A$3:$A$272=$A24)*(Loan_Input!$AO$3:$AO$272="223f")*Loan_Input!$H$3:$H$272)/SUMIF(Loan_Input!$A$3:$A$272,$A24,Loan_Input!$H$3:$H$272),""))</f>
        <v/>
      </c>
      <c r="AF24" s="31">
        <f>IF($A24="","",IFERROR(SUMPRODUCT((Loan_Input!$A$3:$A$272=$A24)*Loan_Input!$AV$3:$AV$272*Loan_Input!$H$3:$H$272)/SUMIF(Loan_Input!$A$3:$A$272,$A24,Loan_Input!$H$3:$H$272),""))</f>
        <v/>
      </c>
      <c r="AG24" s="31">
        <f>IF($A24="","",IFERROR(SUMPRODUCT((Loan_Input!$A$3:$A$272=$A24)*Loan_Input!$AX$3:$AX$272*Loan_Input!$H$3:$H$272)/SUMIF(Loan_Input!$A$3:$A$272,$A24,Loan_Input!$H$3:$H$272),""))</f>
        <v/>
      </c>
      <c r="AH24" s="31">
        <f>IF($A24="","",IFERROR(SUMPRODUCT((Loan_Input!$A$3:$A$272=$A24)*(Loan_Input!$AR$3:$AR$272+Loan_Input!$AS$3:$AS$272)*Loan_Input!$H$3:$H$272)/SUMIF(Loan_Input!$A$3:$A$272,$A24,Loan_Input!$H$3:$H$272),""))</f>
        <v/>
      </c>
    </row>
    <row r="25">
      <c r="B25">
        <f>IF($A25="","",COUNTIF(Loan_Input!$A$3:$A$272,$A25))</f>
        <v/>
      </c>
      <c r="C25" s="26">
        <f>IF($A25="","",SUMIF(Loan_Input!$A$3:$A$272,$A25,Loan_Input!$H$3:$H$272)/1000000)</f>
        <v/>
      </c>
      <c r="D25" s="27">
        <f>IF($A25="","",IFERROR(SUMPRODUCT((Loan_Input!$A$3:$A$272=$A25)*Loan_Input!$BV$3:$BV$272*Loan_Input!$H$3:$H$272)/SUMIF(Loan_Input!$A$3:$A$272,$A25,Loan_Input!$H$3:$H$272),""))</f>
        <v/>
      </c>
      <c r="E25" s="27">
        <f>IF($A25="","",IFERROR(SUMPRODUCT((Loan_Input!$A$3:$A$272=$A25)*Loan_Input!$BW$3:$BW$272*Loan_Input!$H$3:$H$272)/SUMIF(Loan_Input!$A$3:$A$272,$A25,Loan_Input!$H$3:$H$272),""))</f>
        <v/>
      </c>
      <c r="F25" s="28">
        <f>IF($A25="","",IFERROR(SUMPRODUCT((Loan_Input!$A$3:$A$272=$A25)*Loan_Input!$AA$3:$AA$272*Loan_Input!$H$3:$H$272)/SUMIF(Loan_Input!$A$3:$A$272,$A25,Loan_Input!$H$3:$H$272),""))</f>
        <v/>
      </c>
      <c r="G25" s="29">
        <f>IF($A25="","",IFERROR(SUMPRODUCT((Loan_Input!$A$3:$A$272=$A25)*Loan_Input!$G$3:$G$272*Loan_Input!$H$3:$H$272)/SUMIF(Loan_Input!$A$3:$A$272,$A25,Loan_Input!$H$3:$H$272),""))</f>
        <v/>
      </c>
      <c r="H25" s="30">
        <f>IF($A25="","",IFERROR(SUMPRODUCT((Loan_Input!$A$3:$A$272=$A25)*Loan_Input!$AM$3:$AM$272*Loan_Input!$H$3:$H$272)/SUMIF(Loan_Input!$A$3:$A$272,$A25,Loan_Input!$H$3:$H$272),""))</f>
        <v/>
      </c>
      <c r="I25" s="27">
        <f>IF($A25="","",IFERROR(SUMPRODUCT((Loan_Input!$A$3:$A$272=$A25)*Loan_Input!$AK$3:$AK$272*Loan_Input!$H$3:$H$272)/SUMIF(Loan_Input!$A$3:$A$272,$A25,Loan_Input!$H$3:$H$272),""))</f>
        <v/>
      </c>
      <c r="J25" s="30">
        <f>IF($A25="","",IFERROR(SUMPRODUCT((Loan_Input!$A$3:$A$272=$A25)*Loan_Input!$AI$3:$AI$272*Loan_Input!$H$3:$H$272)/SUMIF(Loan_Input!$A$3:$A$272,$A25,Loan_Input!$H$3:$H$272),""))</f>
        <v/>
      </c>
      <c r="K25" s="27">
        <f>IF($A25="","",IFERROR(SUMPRODUCT((Loan_Input!$A$3:$A$272=$A25)*Loan_Input!$AN$3:$AN$272*Loan_Input!$H$3:$H$272)/SUMIF(Loan_Input!$A$3:$A$272,$A25,Loan_Input!$H$3:$H$272),""))</f>
        <v/>
      </c>
      <c r="L25" s="31">
        <f>IF($A25="","",IFERROR(SUMPRODUCT((Loan_Input!$A$3:$A$272=$A25)*Loan_Input!$AD$3:$AD$272*Loan_Input!$H$3:$H$272)/SUMIF(Loan_Input!$A$3:$A$272,$A25,Loan_Input!$H$3:$H$272),""))</f>
        <v/>
      </c>
      <c r="M25" s="31">
        <f>IF($A25="","",IFERROR(SUMPRODUCT((Loan_Input!$A$3:$A$272=$A25)*Loan_Input!$AE$3:$AE$272*Loan_Input!$H$3:$H$272)/SUMIF(Loan_Input!$A$3:$A$272,$A25,Loan_Input!$H$3:$H$272),""))</f>
        <v/>
      </c>
      <c r="N25" s="31">
        <f>IF($A25="","",IFERROR(SUMPRODUCT((Loan_Input!$A$3:$A$272=$A25)*Loan_Input!$AF$3:$AF$272*Loan_Input!$H$3:$H$272)/SUMIF(Loan_Input!$A$3:$A$272,$A25,Loan_Input!$H$3:$H$272),""))</f>
        <v/>
      </c>
      <c r="O25" s="27">
        <f>IF($A25="","",IFERROR(SUMPRODUCT((Loan_Input!$A$3:$A$272=$A25)*Loan_Input!$BX$3:$BX$272*Loan_Input!$H$3:$H$272)/SUMIF(Loan_Input!$A$3:$A$272,$A25,Loan_Input!$H$3:$H$272),""))</f>
        <v/>
      </c>
      <c r="P25" s="27">
        <f>IF($A25="","",IFERROR(SUMPRODUCT((Loan_Input!$A$3:$A$272=$A25)*Loan_Input!$BY$3:$BY$272*Loan_Input!$H$3:$H$272)/SUMIF(Loan_Input!$A$3:$A$272,$A25,Loan_Input!$H$3:$H$272),""))</f>
        <v/>
      </c>
      <c r="Q25" s="27">
        <f>IF($A25="","",IFERROR(SUMPRODUCT((Loan_Input!$A$3:$A$272=$A25)*Loan_Input!$BZ$3:$BZ$272*Loan_Input!$H$3:$H$272)/SUMIF(Loan_Input!$A$3:$A$272,$A25,Loan_Input!$H$3:$H$272),""))</f>
        <v/>
      </c>
      <c r="R25" s="27">
        <f>IF($A25="","",IFERROR(SUMPRODUCT((Loan_Input!$A$3:$A$272=$A25)*Loan_Input!$CA$3:$CA$272*Loan_Input!$H$3:$H$272)/SUMIF(Loan_Input!$A$3:$A$272,$A25,Loan_Input!$H$3:$H$272),""))</f>
        <v/>
      </c>
      <c r="S25" s="27">
        <f>IF($A25="","",IFERROR(SUMPRODUCT((Loan_Input!$A$3:$A$272=$A25)*Loan_Input!$CB$3:$CB$272*Loan_Input!$H$3:$H$272)/SUMIF(Loan_Input!$A$3:$A$272,$A25,Loan_Input!$H$3:$H$272),""))</f>
        <v/>
      </c>
      <c r="T25" s="27">
        <f>IF($A25="","",IFERROR(SUMPRODUCT((Loan_Input!$A$3:$A$272=$A25)*Loan_Input!$CC$3:$CC$272*Loan_Input!$H$3:$H$272)/SUMIF(Loan_Input!$A$3:$A$272,$A25,Loan_Input!$H$3:$H$272),""))</f>
        <v/>
      </c>
      <c r="U25" s="27">
        <f>IF($A25="","",IFERROR(SUMPRODUCT((Loan_Input!$A$3:$A$272=$A25)*Loan_Input!$CD$3:$CD$272*Loan_Input!$H$3:$H$272)/SUMIF(Loan_Input!$A$3:$A$272,$A25,Loan_Input!$H$3:$H$272),""))</f>
        <v/>
      </c>
      <c r="V25" s="27">
        <f>IF($A25="","",IFERROR(SUMPRODUCT((Loan_Input!$A$3:$A$272=$A25)*Loan_Input!$CE$3:$CE$272*Loan_Input!$H$3:$H$272)/SUMIF(Loan_Input!$A$3:$A$272,$A25,Loan_Input!$H$3:$H$272),""))</f>
        <v/>
      </c>
      <c r="W25" s="27">
        <f>IF($A25="","",IFERROR(SUMPRODUCT((Loan_Input!$A$3:$A$272=$A25)*Loan_Input!$CF$3:$CF$272*Loan_Input!$H$3:$H$272)/SUMIF(Loan_Input!$A$3:$A$272,$A25,Loan_Input!$H$3:$H$272),""))</f>
        <v/>
      </c>
      <c r="X25" s="27">
        <f>IF($A25="","",IFERROR(SUMPRODUCT((Loan_Input!$A$3:$A$272=$A25)*Loan_Input!$CG$3:$CG$272*Loan_Input!$H$3:$H$272)/SUMIF(Loan_Input!$A$3:$A$272,$A25,Loan_Input!$H$3:$H$272),""))</f>
        <v/>
      </c>
      <c r="Y25" s="27">
        <f>IF($A25="","",IFERROR(SUMPRODUCT((Loan_Input!$A$3:$A$272=$A25)*Loan_Input!$CH$3:$CH$272*Loan_Input!$H$3:$H$272)/SUMIF(Loan_Input!$A$3:$A$272,$A25,Loan_Input!$H$3:$H$272),""))</f>
        <v/>
      </c>
      <c r="Z25" s="27">
        <f>IF($A25="","",IFERROR(SUMPRODUCT((Loan_Input!$A$3:$A$272=$A25)*Loan_Input!$CI$3:$CI$272*Loan_Input!$H$3:$H$272)/SUMIF(Loan_Input!$A$3:$A$272,$A25,Loan_Input!$H$3:$H$272),""))</f>
        <v/>
      </c>
      <c r="AA25" s="27">
        <f>IF($A25="","",IFERROR(SUMPRODUCT((Loan_Input!$A$3:$A$272=$A25)*Loan_Input!$CJ$3:$CJ$272*Loan_Input!$H$3:$H$272)/SUMIF(Loan_Input!$A$3:$A$272,$A25,Loan_Input!$H$3:$H$272),""))</f>
        <v/>
      </c>
      <c r="AB25" s="31">
        <f>IF($A25="","",IFERROR(SUMPRODUCT((Loan_Input!$A$3:$A$272=$A25)*Loan_Input!$AQ$3:$AQ$272*Loan_Input!$H$3:$H$272)/SUMIF(Loan_Input!$A$3:$A$272,$A25,Loan_Input!$H$3:$H$272),""))</f>
        <v/>
      </c>
      <c r="AC25" s="31">
        <f>IF($A25="","",IFERROR(SUMPRODUCT((Loan_Input!$A$3:$A$272=$A25)*Loan_Input!$AW$3:$AW$272*Loan_Input!$H$3:$H$272)/SUMIF(Loan_Input!$A$3:$A$272,$A25,Loan_Input!$H$3:$H$272),""))</f>
        <v/>
      </c>
      <c r="AD25" s="31">
        <f>IF($A25="","",IFERROR(SUMPRODUCT((Loan_Input!$A$3:$A$272=$A25)*Loan_Input!$AU$3:$AU$272*Loan_Input!$H$3:$H$272)/SUMIF(Loan_Input!$A$3:$A$272,$A25,Loan_Input!$H$3:$H$272),""))</f>
        <v/>
      </c>
      <c r="AE25" s="31">
        <f>IF($A25="","",IFERROR(SUMPRODUCT((Loan_Input!$A$3:$A$272=$A25)*(Loan_Input!$AO$3:$AO$272="223f")*Loan_Input!$H$3:$H$272)/SUMIF(Loan_Input!$A$3:$A$272,$A25,Loan_Input!$H$3:$H$272),""))</f>
        <v/>
      </c>
      <c r="AF25" s="31">
        <f>IF($A25="","",IFERROR(SUMPRODUCT((Loan_Input!$A$3:$A$272=$A25)*Loan_Input!$AV$3:$AV$272*Loan_Input!$H$3:$H$272)/SUMIF(Loan_Input!$A$3:$A$272,$A25,Loan_Input!$H$3:$H$272),""))</f>
        <v/>
      </c>
      <c r="AG25" s="31">
        <f>IF($A25="","",IFERROR(SUMPRODUCT((Loan_Input!$A$3:$A$272=$A25)*Loan_Input!$AX$3:$AX$272*Loan_Input!$H$3:$H$272)/SUMIF(Loan_Input!$A$3:$A$272,$A25,Loan_Input!$H$3:$H$272),""))</f>
        <v/>
      </c>
      <c r="AH25" s="31">
        <f>IF($A25="","",IFERROR(SUMPRODUCT((Loan_Input!$A$3:$A$272=$A25)*(Loan_Input!$AR$3:$AR$272+Loan_Input!$AS$3:$AS$272)*Loan_Input!$H$3:$H$272)/SUMIF(Loan_Input!$A$3:$A$272,$A25,Loan_Input!$H$3:$H$272),""))</f>
        <v/>
      </c>
    </row>
    <row r="26">
      <c r="B26">
        <f>IF($A26="","",COUNTIF(Loan_Input!$A$3:$A$272,$A26))</f>
        <v/>
      </c>
      <c r="C26" s="26">
        <f>IF($A26="","",SUMIF(Loan_Input!$A$3:$A$272,$A26,Loan_Input!$H$3:$H$272)/1000000)</f>
        <v/>
      </c>
      <c r="D26" s="27">
        <f>IF($A26="","",IFERROR(SUMPRODUCT((Loan_Input!$A$3:$A$272=$A26)*Loan_Input!$BV$3:$BV$272*Loan_Input!$H$3:$H$272)/SUMIF(Loan_Input!$A$3:$A$272,$A26,Loan_Input!$H$3:$H$272),""))</f>
        <v/>
      </c>
      <c r="E26" s="27">
        <f>IF($A26="","",IFERROR(SUMPRODUCT((Loan_Input!$A$3:$A$272=$A26)*Loan_Input!$BW$3:$BW$272*Loan_Input!$H$3:$H$272)/SUMIF(Loan_Input!$A$3:$A$272,$A26,Loan_Input!$H$3:$H$272),""))</f>
        <v/>
      </c>
      <c r="F26" s="28">
        <f>IF($A26="","",IFERROR(SUMPRODUCT((Loan_Input!$A$3:$A$272=$A26)*Loan_Input!$AA$3:$AA$272*Loan_Input!$H$3:$H$272)/SUMIF(Loan_Input!$A$3:$A$272,$A26,Loan_Input!$H$3:$H$272),""))</f>
        <v/>
      </c>
      <c r="G26" s="29">
        <f>IF($A26="","",IFERROR(SUMPRODUCT((Loan_Input!$A$3:$A$272=$A26)*Loan_Input!$G$3:$G$272*Loan_Input!$H$3:$H$272)/SUMIF(Loan_Input!$A$3:$A$272,$A26,Loan_Input!$H$3:$H$272),""))</f>
        <v/>
      </c>
      <c r="H26" s="30">
        <f>IF($A26="","",IFERROR(SUMPRODUCT((Loan_Input!$A$3:$A$272=$A26)*Loan_Input!$AM$3:$AM$272*Loan_Input!$H$3:$H$272)/SUMIF(Loan_Input!$A$3:$A$272,$A26,Loan_Input!$H$3:$H$272),""))</f>
        <v/>
      </c>
      <c r="I26" s="27">
        <f>IF($A26="","",IFERROR(SUMPRODUCT((Loan_Input!$A$3:$A$272=$A26)*Loan_Input!$AK$3:$AK$272*Loan_Input!$H$3:$H$272)/SUMIF(Loan_Input!$A$3:$A$272,$A26,Loan_Input!$H$3:$H$272),""))</f>
        <v/>
      </c>
      <c r="J26" s="30">
        <f>IF($A26="","",IFERROR(SUMPRODUCT((Loan_Input!$A$3:$A$272=$A26)*Loan_Input!$AI$3:$AI$272*Loan_Input!$H$3:$H$272)/SUMIF(Loan_Input!$A$3:$A$272,$A26,Loan_Input!$H$3:$H$272),""))</f>
        <v/>
      </c>
      <c r="K26" s="27">
        <f>IF($A26="","",IFERROR(SUMPRODUCT((Loan_Input!$A$3:$A$272=$A26)*Loan_Input!$AN$3:$AN$272*Loan_Input!$H$3:$H$272)/SUMIF(Loan_Input!$A$3:$A$272,$A26,Loan_Input!$H$3:$H$272),""))</f>
        <v/>
      </c>
      <c r="L26" s="31">
        <f>IF($A26="","",IFERROR(SUMPRODUCT((Loan_Input!$A$3:$A$272=$A26)*Loan_Input!$AD$3:$AD$272*Loan_Input!$H$3:$H$272)/SUMIF(Loan_Input!$A$3:$A$272,$A26,Loan_Input!$H$3:$H$272),""))</f>
        <v/>
      </c>
      <c r="M26" s="31">
        <f>IF($A26="","",IFERROR(SUMPRODUCT((Loan_Input!$A$3:$A$272=$A26)*Loan_Input!$AE$3:$AE$272*Loan_Input!$H$3:$H$272)/SUMIF(Loan_Input!$A$3:$A$272,$A26,Loan_Input!$H$3:$H$272),""))</f>
        <v/>
      </c>
      <c r="N26" s="31">
        <f>IF($A26="","",IFERROR(SUMPRODUCT((Loan_Input!$A$3:$A$272=$A26)*Loan_Input!$AF$3:$AF$272*Loan_Input!$H$3:$H$272)/SUMIF(Loan_Input!$A$3:$A$272,$A26,Loan_Input!$H$3:$H$272),""))</f>
        <v/>
      </c>
      <c r="O26" s="27">
        <f>IF($A26="","",IFERROR(SUMPRODUCT((Loan_Input!$A$3:$A$272=$A26)*Loan_Input!$BX$3:$BX$272*Loan_Input!$H$3:$H$272)/SUMIF(Loan_Input!$A$3:$A$272,$A26,Loan_Input!$H$3:$H$272),""))</f>
        <v/>
      </c>
      <c r="P26" s="27">
        <f>IF($A26="","",IFERROR(SUMPRODUCT((Loan_Input!$A$3:$A$272=$A26)*Loan_Input!$BY$3:$BY$272*Loan_Input!$H$3:$H$272)/SUMIF(Loan_Input!$A$3:$A$272,$A26,Loan_Input!$H$3:$H$272),""))</f>
        <v/>
      </c>
      <c r="Q26" s="27">
        <f>IF($A26="","",IFERROR(SUMPRODUCT((Loan_Input!$A$3:$A$272=$A26)*Loan_Input!$BZ$3:$BZ$272*Loan_Input!$H$3:$H$272)/SUMIF(Loan_Input!$A$3:$A$272,$A26,Loan_Input!$H$3:$H$272),""))</f>
        <v/>
      </c>
      <c r="R26" s="27">
        <f>IF($A26="","",IFERROR(SUMPRODUCT((Loan_Input!$A$3:$A$272=$A26)*Loan_Input!$CA$3:$CA$272*Loan_Input!$H$3:$H$272)/SUMIF(Loan_Input!$A$3:$A$272,$A26,Loan_Input!$H$3:$H$272),""))</f>
        <v/>
      </c>
      <c r="S26" s="27">
        <f>IF($A26="","",IFERROR(SUMPRODUCT((Loan_Input!$A$3:$A$272=$A26)*Loan_Input!$CB$3:$CB$272*Loan_Input!$H$3:$H$272)/SUMIF(Loan_Input!$A$3:$A$272,$A26,Loan_Input!$H$3:$H$272),""))</f>
        <v/>
      </c>
      <c r="T26" s="27">
        <f>IF($A26="","",IFERROR(SUMPRODUCT((Loan_Input!$A$3:$A$272=$A26)*Loan_Input!$CC$3:$CC$272*Loan_Input!$H$3:$H$272)/SUMIF(Loan_Input!$A$3:$A$272,$A26,Loan_Input!$H$3:$H$272),""))</f>
        <v/>
      </c>
      <c r="U26" s="27">
        <f>IF($A26="","",IFERROR(SUMPRODUCT((Loan_Input!$A$3:$A$272=$A26)*Loan_Input!$CD$3:$CD$272*Loan_Input!$H$3:$H$272)/SUMIF(Loan_Input!$A$3:$A$272,$A26,Loan_Input!$H$3:$H$272),""))</f>
        <v/>
      </c>
      <c r="V26" s="27">
        <f>IF($A26="","",IFERROR(SUMPRODUCT((Loan_Input!$A$3:$A$272=$A26)*Loan_Input!$CE$3:$CE$272*Loan_Input!$H$3:$H$272)/SUMIF(Loan_Input!$A$3:$A$272,$A26,Loan_Input!$H$3:$H$272),""))</f>
        <v/>
      </c>
      <c r="W26" s="27">
        <f>IF($A26="","",IFERROR(SUMPRODUCT((Loan_Input!$A$3:$A$272=$A26)*Loan_Input!$CF$3:$CF$272*Loan_Input!$H$3:$H$272)/SUMIF(Loan_Input!$A$3:$A$272,$A26,Loan_Input!$H$3:$H$272),""))</f>
        <v/>
      </c>
      <c r="X26" s="27">
        <f>IF($A26="","",IFERROR(SUMPRODUCT((Loan_Input!$A$3:$A$272=$A26)*Loan_Input!$CG$3:$CG$272*Loan_Input!$H$3:$H$272)/SUMIF(Loan_Input!$A$3:$A$272,$A26,Loan_Input!$H$3:$H$272),""))</f>
        <v/>
      </c>
      <c r="Y26" s="27">
        <f>IF($A26="","",IFERROR(SUMPRODUCT((Loan_Input!$A$3:$A$272=$A26)*Loan_Input!$CH$3:$CH$272*Loan_Input!$H$3:$H$272)/SUMIF(Loan_Input!$A$3:$A$272,$A26,Loan_Input!$H$3:$H$272),""))</f>
        <v/>
      </c>
      <c r="Z26" s="27">
        <f>IF($A26="","",IFERROR(SUMPRODUCT((Loan_Input!$A$3:$A$272=$A26)*Loan_Input!$CI$3:$CI$272*Loan_Input!$H$3:$H$272)/SUMIF(Loan_Input!$A$3:$A$272,$A26,Loan_Input!$H$3:$H$272),""))</f>
        <v/>
      </c>
      <c r="AA26" s="27">
        <f>IF($A26="","",IFERROR(SUMPRODUCT((Loan_Input!$A$3:$A$272=$A26)*Loan_Input!$CJ$3:$CJ$272*Loan_Input!$H$3:$H$272)/SUMIF(Loan_Input!$A$3:$A$272,$A26,Loan_Input!$H$3:$H$272),""))</f>
        <v/>
      </c>
      <c r="AB26" s="31">
        <f>IF($A26="","",IFERROR(SUMPRODUCT((Loan_Input!$A$3:$A$272=$A26)*Loan_Input!$AQ$3:$AQ$272*Loan_Input!$H$3:$H$272)/SUMIF(Loan_Input!$A$3:$A$272,$A26,Loan_Input!$H$3:$H$272),""))</f>
        <v/>
      </c>
      <c r="AC26" s="31">
        <f>IF($A26="","",IFERROR(SUMPRODUCT((Loan_Input!$A$3:$A$272=$A26)*Loan_Input!$AW$3:$AW$272*Loan_Input!$H$3:$H$272)/SUMIF(Loan_Input!$A$3:$A$272,$A26,Loan_Input!$H$3:$H$272),""))</f>
        <v/>
      </c>
      <c r="AD26" s="31">
        <f>IF($A26="","",IFERROR(SUMPRODUCT((Loan_Input!$A$3:$A$272=$A26)*Loan_Input!$AU$3:$AU$272*Loan_Input!$H$3:$H$272)/SUMIF(Loan_Input!$A$3:$A$272,$A26,Loan_Input!$H$3:$H$272),""))</f>
        <v/>
      </c>
      <c r="AE26" s="31">
        <f>IF($A26="","",IFERROR(SUMPRODUCT((Loan_Input!$A$3:$A$272=$A26)*(Loan_Input!$AO$3:$AO$272="223f")*Loan_Input!$H$3:$H$272)/SUMIF(Loan_Input!$A$3:$A$272,$A26,Loan_Input!$H$3:$H$272),""))</f>
        <v/>
      </c>
      <c r="AF26" s="31">
        <f>IF($A26="","",IFERROR(SUMPRODUCT((Loan_Input!$A$3:$A$272=$A26)*Loan_Input!$AV$3:$AV$272*Loan_Input!$H$3:$H$272)/SUMIF(Loan_Input!$A$3:$A$272,$A26,Loan_Input!$H$3:$H$272),""))</f>
        <v/>
      </c>
      <c r="AG26" s="31">
        <f>IF($A26="","",IFERROR(SUMPRODUCT((Loan_Input!$A$3:$A$272=$A26)*Loan_Input!$AX$3:$AX$272*Loan_Input!$H$3:$H$272)/SUMIF(Loan_Input!$A$3:$A$272,$A26,Loan_Input!$H$3:$H$272),""))</f>
        <v/>
      </c>
      <c r="AH26" s="31">
        <f>IF($A26="","",IFERROR(SUMPRODUCT((Loan_Input!$A$3:$A$272=$A26)*(Loan_Input!$AR$3:$AR$272+Loan_Input!$AS$3:$AS$272)*Loan_Input!$H$3:$H$272)/SUMIF(Loan_Input!$A$3:$A$272,$A26,Loan_Input!$H$3:$H$272),""))</f>
        <v/>
      </c>
    </row>
    <row r="27">
      <c r="B27">
        <f>IF($A27="","",COUNTIF(Loan_Input!$A$3:$A$272,$A27))</f>
        <v/>
      </c>
      <c r="C27" s="26">
        <f>IF($A27="","",SUMIF(Loan_Input!$A$3:$A$272,$A27,Loan_Input!$H$3:$H$272)/1000000)</f>
        <v/>
      </c>
      <c r="D27" s="27">
        <f>IF($A27="","",IFERROR(SUMPRODUCT((Loan_Input!$A$3:$A$272=$A27)*Loan_Input!$BV$3:$BV$272*Loan_Input!$H$3:$H$272)/SUMIF(Loan_Input!$A$3:$A$272,$A27,Loan_Input!$H$3:$H$272),""))</f>
        <v/>
      </c>
      <c r="E27" s="27">
        <f>IF($A27="","",IFERROR(SUMPRODUCT((Loan_Input!$A$3:$A$272=$A27)*Loan_Input!$BW$3:$BW$272*Loan_Input!$H$3:$H$272)/SUMIF(Loan_Input!$A$3:$A$272,$A27,Loan_Input!$H$3:$H$272),""))</f>
        <v/>
      </c>
      <c r="F27" s="28">
        <f>IF($A27="","",IFERROR(SUMPRODUCT((Loan_Input!$A$3:$A$272=$A27)*Loan_Input!$AA$3:$AA$272*Loan_Input!$H$3:$H$272)/SUMIF(Loan_Input!$A$3:$A$272,$A27,Loan_Input!$H$3:$H$272),""))</f>
        <v/>
      </c>
      <c r="G27" s="29">
        <f>IF($A27="","",IFERROR(SUMPRODUCT((Loan_Input!$A$3:$A$272=$A27)*Loan_Input!$G$3:$G$272*Loan_Input!$H$3:$H$272)/SUMIF(Loan_Input!$A$3:$A$272,$A27,Loan_Input!$H$3:$H$272),""))</f>
        <v/>
      </c>
      <c r="H27" s="30">
        <f>IF($A27="","",IFERROR(SUMPRODUCT((Loan_Input!$A$3:$A$272=$A27)*Loan_Input!$AM$3:$AM$272*Loan_Input!$H$3:$H$272)/SUMIF(Loan_Input!$A$3:$A$272,$A27,Loan_Input!$H$3:$H$272),""))</f>
        <v/>
      </c>
      <c r="I27" s="27">
        <f>IF($A27="","",IFERROR(SUMPRODUCT((Loan_Input!$A$3:$A$272=$A27)*Loan_Input!$AK$3:$AK$272*Loan_Input!$H$3:$H$272)/SUMIF(Loan_Input!$A$3:$A$272,$A27,Loan_Input!$H$3:$H$272),""))</f>
        <v/>
      </c>
      <c r="J27" s="30">
        <f>IF($A27="","",IFERROR(SUMPRODUCT((Loan_Input!$A$3:$A$272=$A27)*Loan_Input!$AI$3:$AI$272*Loan_Input!$H$3:$H$272)/SUMIF(Loan_Input!$A$3:$A$272,$A27,Loan_Input!$H$3:$H$272),""))</f>
        <v/>
      </c>
      <c r="K27" s="27">
        <f>IF($A27="","",IFERROR(SUMPRODUCT((Loan_Input!$A$3:$A$272=$A27)*Loan_Input!$AN$3:$AN$272*Loan_Input!$H$3:$H$272)/SUMIF(Loan_Input!$A$3:$A$272,$A27,Loan_Input!$H$3:$H$272),""))</f>
        <v/>
      </c>
      <c r="L27" s="31">
        <f>IF($A27="","",IFERROR(SUMPRODUCT((Loan_Input!$A$3:$A$272=$A27)*Loan_Input!$AD$3:$AD$272*Loan_Input!$H$3:$H$272)/SUMIF(Loan_Input!$A$3:$A$272,$A27,Loan_Input!$H$3:$H$272),""))</f>
        <v/>
      </c>
      <c r="M27" s="31">
        <f>IF($A27="","",IFERROR(SUMPRODUCT((Loan_Input!$A$3:$A$272=$A27)*Loan_Input!$AE$3:$AE$272*Loan_Input!$H$3:$H$272)/SUMIF(Loan_Input!$A$3:$A$272,$A27,Loan_Input!$H$3:$H$272),""))</f>
        <v/>
      </c>
      <c r="N27" s="31">
        <f>IF($A27="","",IFERROR(SUMPRODUCT((Loan_Input!$A$3:$A$272=$A27)*Loan_Input!$AF$3:$AF$272*Loan_Input!$H$3:$H$272)/SUMIF(Loan_Input!$A$3:$A$272,$A27,Loan_Input!$H$3:$H$272),""))</f>
        <v/>
      </c>
      <c r="O27" s="27">
        <f>IF($A27="","",IFERROR(SUMPRODUCT((Loan_Input!$A$3:$A$272=$A27)*Loan_Input!$BX$3:$BX$272*Loan_Input!$H$3:$H$272)/SUMIF(Loan_Input!$A$3:$A$272,$A27,Loan_Input!$H$3:$H$272),""))</f>
        <v/>
      </c>
      <c r="P27" s="27">
        <f>IF($A27="","",IFERROR(SUMPRODUCT((Loan_Input!$A$3:$A$272=$A27)*Loan_Input!$BY$3:$BY$272*Loan_Input!$H$3:$H$272)/SUMIF(Loan_Input!$A$3:$A$272,$A27,Loan_Input!$H$3:$H$272),""))</f>
        <v/>
      </c>
      <c r="Q27" s="27">
        <f>IF($A27="","",IFERROR(SUMPRODUCT((Loan_Input!$A$3:$A$272=$A27)*Loan_Input!$BZ$3:$BZ$272*Loan_Input!$H$3:$H$272)/SUMIF(Loan_Input!$A$3:$A$272,$A27,Loan_Input!$H$3:$H$272),""))</f>
        <v/>
      </c>
      <c r="R27" s="27">
        <f>IF($A27="","",IFERROR(SUMPRODUCT((Loan_Input!$A$3:$A$272=$A27)*Loan_Input!$CA$3:$CA$272*Loan_Input!$H$3:$H$272)/SUMIF(Loan_Input!$A$3:$A$272,$A27,Loan_Input!$H$3:$H$272),""))</f>
        <v/>
      </c>
      <c r="S27" s="27">
        <f>IF($A27="","",IFERROR(SUMPRODUCT((Loan_Input!$A$3:$A$272=$A27)*Loan_Input!$CB$3:$CB$272*Loan_Input!$H$3:$H$272)/SUMIF(Loan_Input!$A$3:$A$272,$A27,Loan_Input!$H$3:$H$272),""))</f>
        <v/>
      </c>
      <c r="T27" s="27">
        <f>IF($A27="","",IFERROR(SUMPRODUCT((Loan_Input!$A$3:$A$272=$A27)*Loan_Input!$CC$3:$CC$272*Loan_Input!$H$3:$H$272)/SUMIF(Loan_Input!$A$3:$A$272,$A27,Loan_Input!$H$3:$H$272),""))</f>
        <v/>
      </c>
      <c r="U27" s="27">
        <f>IF($A27="","",IFERROR(SUMPRODUCT((Loan_Input!$A$3:$A$272=$A27)*Loan_Input!$CD$3:$CD$272*Loan_Input!$H$3:$H$272)/SUMIF(Loan_Input!$A$3:$A$272,$A27,Loan_Input!$H$3:$H$272),""))</f>
        <v/>
      </c>
      <c r="V27" s="27">
        <f>IF($A27="","",IFERROR(SUMPRODUCT((Loan_Input!$A$3:$A$272=$A27)*Loan_Input!$CE$3:$CE$272*Loan_Input!$H$3:$H$272)/SUMIF(Loan_Input!$A$3:$A$272,$A27,Loan_Input!$H$3:$H$272),""))</f>
        <v/>
      </c>
      <c r="W27" s="27">
        <f>IF($A27="","",IFERROR(SUMPRODUCT((Loan_Input!$A$3:$A$272=$A27)*Loan_Input!$CF$3:$CF$272*Loan_Input!$H$3:$H$272)/SUMIF(Loan_Input!$A$3:$A$272,$A27,Loan_Input!$H$3:$H$272),""))</f>
        <v/>
      </c>
      <c r="X27" s="27">
        <f>IF($A27="","",IFERROR(SUMPRODUCT((Loan_Input!$A$3:$A$272=$A27)*Loan_Input!$CG$3:$CG$272*Loan_Input!$H$3:$H$272)/SUMIF(Loan_Input!$A$3:$A$272,$A27,Loan_Input!$H$3:$H$272),""))</f>
        <v/>
      </c>
      <c r="Y27" s="27">
        <f>IF($A27="","",IFERROR(SUMPRODUCT((Loan_Input!$A$3:$A$272=$A27)*Loan_Input!$CH$3:$CH$272*Loan_Input!$H$3:$H$272)/SUMIF(Loan_Input!$A$3:$A$272,$A27,Loan_Input!$H$3:$H$272),""))</f>
        <v/>
      </c>
      <c r="Z27" s="27">
        <f>IF($A27="","",IFERROR(SUMPRODUCT((Loan_Input!$A$3:$A$272=$A27)*Loan_Input!$CI$3:$CI$272*Loan_Input!$H$3:$H$272)/SUMIF(Loan_Input!$A$3:$A$272,$A27,Loan_Input!$H$3:$H$272),""))</f>
        <v/>
      </c>
      <c r="AA27" s="27">
        <f>IF($A27="","",IFERROR(SUMPRODUCT((Loan_Input!$A$3:$A$272=$A27)*Loan_Input!$CJ$3:$CJ$272*Loan_Input!$H$3:$H$272)/SUMIF(Loan_Input!$A$3:$A$272,$A27,Loan_Input!$H$3:$H$272),""))</f>
        <v/>
      </c>
      <c r="AB27" s="31">
        <f>IF($A27="","",IFERROR(SUMPRODUCT((Loan_Input!$A$3:$A$272=$A27)*Loan_Input!$AQ$3:$AQ$272*Loan_Input!$H$3:$H$272)/SUMIF(Loan_Input!$A$3:$A$272,$A27,Loan_Input!$H$3:$H$272),""))</f>
        <v/>
      </c>
      <c r="AC27" s="31">
        <f>IF($A27="","",IFERROR(SUMPRODUCT((Loan_Input!$A$3:$A$272=$A27)*Loan_Input!$AW$3:$AW$272*Loan_Input!$H$3:$H$272)/SUMIF(Loan_Input!$A$3:$A$272,$A27,Loan_Input!$H$3:$H$272),""))</f>
        <v/>
      </c>
      <c r="AD27" s="31">
        <f>IF($A27="","",IFERROR(SUMPRODUCT((Loan_Input!$A$3:$A$272=$A27)*Loan_Input!$AU$3:$AU$272*Loan_Input!$H$3:$H$272)/SUMIF(Loan_Input!$A$3:$A$272,$A27,Loan_Input!$H$3:$H$272),""))</f>
        <v/>
      </c>
      <c r="AE27" s="31">
        <f>IF($A27="","",IFERROR(SUMPRODUCT((Loan_Input!$A$3:$A$272=$A27)*(Loan_Input!$AO$3:$AO$272="223f")*Loan_Input!$H$3:$H$272)/SUMIF(Loan_Input!$A$3:$A$272,$A27,Loan_Input!$H$3:$H$272),""))</f>
        <v/>
      </c>
      <c r="AF27" s="31">
        <f>IF($A27="","",IFERROR(SUMPRODUCT((Loan_Input!$A$3:$A$272=$A27)*Loan_Input!$AV$3:$AV$272*Loan_Input!$H$3:$H$272)/SUMIF(Loan_Input!$A$3:$A$272,$A27,Loan_Input!$H$3:$H$272),""))</f>
        <v/>
      </c>
      <c r="AG27" s="31">
        <f>IF($A27="","",IFERROR(SUMPRODUCT((Loan_Input!$A$3:$A$272=$A27)*Loan_Input!$AX$3:$AX$272*Loan_Input!$H$3:$H$272)/SUMIF(Loan_Input!$A$3:$A$272,$A27,Loan_Input!$H$3:$H$272),""))</f>
        <v/>
      </c>
      <c r="AH27" s="31">
        <f>IF($A27="","",IFERROR(SUMPRODUCT((Loan_Input!$A$3:$A$272=$A27)*(Loan_Input!$AR$3:$AR$272+Loan_Input!$AS$3:$AS$272)*Loan_Input!$H$3:$H$272)/SUMIF(Loan_Input!$A$3:$A$272,$A27,Loan_Input!$H$3:$H$272),""))</f>
        <v/>
      </c>
    </row>
    <row r="28">
      <c r="B28">
        <f>IF($A28="","",COUNTIF(Loan_Input!$A$3:$A$272,$A28))</f>
        <v/>
      </c>
      <c r="C28" s="26">
        <f>IF($A28="","",SUMIF(Loan_Input!$A$3:$A$272,$A28,Loan_Input!$H$3:$H$272)/1000000)</f>
        <v/>
      </c>
      <c r="D28" s="27">
        <f>IF($A28="","",IFERROR(SUMPRODUCT((Loan_Input!$A$3:$A$272=$A28)*Loan_Input!$BV$3:$BV$272*Loan_Input!$H$3:$H$272)/SUMIF(Loan_Input!$A$3:$A$272,$A28,Loan_Input!$H$3:$H$272),""))</f>
        <v/>
      </c>
      <c r="E28" s="27">
        <f>IF($A28="","",IFERROR(SUMPRODUCT((Loan_Input!$A$3:$A$272=$A28)*Loan_Input!$BW$3:$BW$272*Loan_Input!$H$3:$H$272)/SUMIF(Loan_Input!$A$3:$A$272,$A28,Loan_Input!$H$3:$H$272),""))</f>
        <v/>
      </c>
      <c r="F28" s="28">
        <f>IF($A28="","",IFERROR(SUMPRODUCT((Loan_Input!$A$3:$A$272=$A28)*Loan_Input!$AA$3:$AA$272*Loan_Input!$H$3:$H$272)/SUMIF(Loan_Input!$A$3:$A$272,$A28,Loan_Input!$H$3:$H$272),""))</f>
        <v/>
      </c>
      <c r="G28" s="29">
        <f>IF($A28="","",IFERROR(SUMPRODUCT((Loan_Input!$A$3:$A$272=$A28)*Loan_Input!$G$3:$G$272*Loan_Input!$H$3:$H$272)/SUMIF(Loan_Input!$A$3:$A$272,$A28,Loan_Input!$H$3:$H$272),""))</f>
        <v/>
      </c>
      <c r="H28" s="30">
        <f>IF($A28="","",IFERROR(SUMPRODUCT((Loan_Input!$A$3:$A$272=$A28)*Loan_Input!$AM$3:$AM$272*Loan_Input!$H$3:$H$272)/SUMIF(Loan_Input!$A$3:$A$272,$A28,Loan_Input!$H$3:$H$272),""))</f>
        <v/>
      </c>
      <c r="I28" s="27">
        <f>IF($A28="","",IFERROR(SUMPRODUCT((Loan_Input!$A$3:$A$272=$A28)*Loan_Input!$AK$3:$AK$272*Loan_Input!$H$3:$H$272)/SUMIF(Loan_Input!$A$3:$A$272,$A28,Loan_Input!$H$3:$H$272),""))</f>
        <v/>
      </c>
      <c r="J28" s="30">
        <f>IF($A28="","",IFERROR(SUMPRODUCT((Loan_Input!$A$3:$A$272=$A28)*Loan_Input!$AI$3:$AI$272*Loan_Input!$H$3:$H$272)/SUMIF(Loan_Input!$A$3:$A$272,$A28,Loan_Input!$H$3:$H$272),""))</f>
        <v/>
      </c>
      <c r="K28" s="27">
        <f>IF($A28="","",IFERROR(SUMPRODUCT((Loan_Input!$A$3:$A$272=$A28)*Loan_Input!$AN$3:$AN$272*Loan_Input!$H$3:$H$272)/SUMIF(Loan_Input!$A$3:$A$272,$A28,Loan_Input!$H$3:$H$272),""))</f>
        <v/>
      </c>
      <c r="L28" s="31">
        <f>IF($A28="","",IFERROR(SUMPRODUCT((Loan_Input!$A$3:$A$272=$A28)*Loan_Input!$AD$3:$AD$272*Loan_Input!$H$3:$H$272)/SUMIF(Loan_Input!$A$3:$A$272,$A28,Loan_Input!$H$3:$H$272),""))</f>
        <v/>
      </c>
      <c r="M28" s="31">
        <f>IF($A28="","",IFERROR(SUMPRODUCT((Loan_Input!$A$3:$A$272=$A28)*Loan_Input!$AE$3:$AE$272*Loan_Input!$H$3:$H$272)/SUMIF(Loan_Input!$A$3:$A$272,$A28,Loan_Input!$H$3:$H$272),""))</f>
        <v/>
      </c>
      <c r="N28" s="31">
        <f>IF($A28="","",IFERROR(SUMPRODUCT((Loan_Input!$A$3:$A$272=$A28)*Loan_Input!$AF$3:$AF$272*Loan_Input!$H$3:$H$272)/SUMIF(Loan_Input!$A$3:$A$272,$A28,Loan_Input!$H$3:$H$272),""))</f>
        <v/>
      </c>
      <c r="O28" s="27">
        <f>IF($A28="","",IFERROR(SUMPRODUCT((Loan_Input!$A$3:$A$272=$A28)*Loan_Input!$BX$3:$BX$272*Loan_Input!$H$3:$H$272)/SUMIF(Loan_Input!$A$3:$A$272,$A28,Loan_Input!$H$3:$H$272),""))</f>
        <v/>
      </c>
      <c r="P28" s="27">
        <f>IF($A28="","",IFERROR(SUMPRODUCT((Loan_Input!$A$3:$A$272=$A28)*Loan_Input!$BY$3:$BY$272*Loan_Input!$H$3:$H$272)/SUMIF(Loan_Input!$A$3:$A$272,$A28,Loan_Input!$H$3:$H$272),""))</f>
        <v/>
      </c>
      <c r="Q28" s="27">
        <f>IF($A28="","",IFERROR(SUMPRODUCT((Loan_Input!$A$3:$A$272=$A28)*Loan_Input!$BZ$3:$BZ$272*Loan_Input!$H$3:$H$272)/SUMIF(Loan_Input!$A$3:$A$272,$A28,Loan_Input!$H$3:$H$272),""))</f>
        <v/>
      </c>
      <c r="R28" s="27">
        <f>IF($A28="","",IFERROR(SUMPRODUCT((Loan_Input!$A$3:$A$272=$A28)*Loan_Input!$CA$3:$CA$272*Loan_Input!$H$3:$H$272)/SUMIF(Loan_Input!$A$3:$A$272,$A28,Loan_Input!$H$3:$H$272),""))</f>
        <v/>
      </c>
      <c r="S28" s="27">
        <f>IF($A28="","",IFERROR(SUMPRODUCT((Loan_Input!$A$3:$A$272=$A28)*Loan_Input!$CB$3:$CB$272*Loan_Input!$H$3:$H$272)/SUMIF(Loan_Input!$A$3:$A$272,$A28,Loan_Input!$H$3:$H$272),""))</f>
        <v/>
      </c>
      <c r="T28" s="27">
        <f>IF($A28="","",IFERROR(SUMPRODUCT((Loan_Input!$A$3:$A$272=$A28)*Loan_Input!$CC$3:$CC$272*Loan_Input!$H$3:$H$272)/SUMIF(Loan_Input!$A$3:$A$272,$A28,Loan_Input!$H$3:$H$272),""))</f>
        <v/>
      </c>
      <c r="U28" s="27">
        <f>IF($A28="","",IFERROR(SUMPRODUCT((Loan_Input!$A$3:$A$272=$A28)*Loan_Input!$CD$3:$CD$272*Loan_Input!$H$3:$H$272)/SUMIF(Loan_Input!$A$3:$A$272,$A28,Loan_Input!$H$3:$H$272),""))</f>
        <v/>
      </c>
      <c r="V28" s="27">
        <f>IF($A28="","",IFERROR(SUMPRODUCT((Loan_Input!$A$3:$A$272=$A28)*Loan_Input!$CE$3:$CE$272*Loan_Input!$H$3:$H$272)/SUMIF(Loan_Input!$A$3:$A$272,$A28,Loan_Input!$H$3:$H$272),""))</f>
        <v/>
      </c>
      <c r="W28" s="27">
        <f>IF($A28="","",IFERROR(SUMPRODUCT((Loan_Input!$A$3:$A$272=$A28)*Loan_Input!$CF$3:$CF$272*Loan_Input!$H$3:$H$272)/SUMIF(Loan_Input!$A$3:$A$272,$A28,Loan_Input!$H$3:$H$272),""))</f>
        <v/>
      </c>
      <c r="X28" s="27">
        <f>IF($A28="","",IFERROR(SUMPRODUCT((Loan_Input!$A$3:$A$272=$A28)*Loan_Input!$CG$3:$CG$272*Loan_Input!$H$3:$H$272)/SUMIF(Loan_Input!$A$3:$A$272,$A28,Loan_Input!$H$3:$H$272),""))</f>
        <v/>
      </c>
      <c r="Y28" s="27">
        <f>IF($A28="","",IFERROR(SUMPRODUCT((Loan_Input!$A$3:$A$272=$A28)*Loan_Input!$CH$3:$CH$272*Loan_Input!$H$3:$H$272)/SUMIF(Loan_Input!$A$3:$A$272,$A28,Loan_Input!$H$3:$H$272),""))</f>
        <v/>
      </c>
      <c r="Z28" s="27">
        <f>IF($A28="","",IFERROR(SUMPRODUCT((Loan_Input!$A$3:$A$272=$A28)*Loan_Input!$CI$3:$CI$272*Loan_Input!$H$3:$H$272)/SUMIF(Loan_Input!$A$3:$A$272,$A28,Loan_Input!$H$3:$H$272),""))</f>
        <v/>
      </c>
      <c r="AA28" s="27">
        <f>IF($A28="","",IFERROR(SUMPRODUCT((Loan_Input!$A$3:$A$272=$A28)*Loan_Input!$CJ$3:$CJ$272*Loan_Input!$H$3:$H$272)/SUMIF(Loan_Input!$A$3:$A$272,$A28,Loan_Input!$H$3:$H$272),""))</f>
        <v/>
      </c>
      <c r="AB28" s="31">
        <f>IF($A28="","",IFERROR(SUMPRODUCT((Loan_Input!$A$3:$A$272=$A28)*Loan_Input!$AQ$3:$AQ$272*Loan_Input!$H$3:$H$272)/SUMIF(Loan_Input!$A$3:$A$272,$A28,Loan_Input!$H$3:$H$272),""))</f>
        <v/>
      </c>
      <c r="AC28" s="31">
        <f>IF($A28="","",IFERROR(SUMPRODUCT((Loan_Input!$A$3:$A$272=$A28)*Loan_Input!$AW$3:$AW$272*Loan_Input!$H$3:$H$272)/SUMIF(Loan_Input!$A$3:$A$272,$A28,Loan_Input!$H$3:$H$272),""))</f>
        <v/>
      </c>
      <c r="AD28" s="31">
        <f>IF($A28="","",IFERROR(SUMPRODUCT((Loan_Input!$A$3:$A$272=$A28)*Loan_Input!$AU$3:$AU$272*Loan_Input!$H$3:$H$272)/SUMIF(Loan_Input!$A$3:$A$272,$A28,Loan_Input!$H$3:$H$272),""))</f>
        <v/>
      </c>
      <c r="AE28" s="31">
        <f>IF($A28="","",IFERROR(SUMPRODUCT((Loan_Input!$A$3:$A$272=$A28)*(Loan_Input!$AO$3:$AO$272="223f")*Loan_Input!$H$3:$H$272)/SUMIF(Loan_Input!$A$3:$A$272,$A28,Loan_Input!$H$3:$H$272),""))</f>
        <v/>
      </c>
      <c r="AF28" s="31">
        <f>IF($A28="","",IFERROR(SUMPRODUCT((Loan_Input!$A$3:$A$272=$A28)*Loan_Input!$AV$3:$AV$272*Loan_Input!$H$3:$H$272)/SUMIF(Loan_Input!$A$3:$A$272,$A28,Loan_Input!$H$3:$H$272),""))</f>
        <v/>
      </c>
      <c r="AG28" s="31">
        <f>IF($A28="","",IFERROR(SUMPRODUCT((Loan_Input!$A$3:$A$272=$A28)*Loan_Input!$AX$3:$AX$272*Loan_Input!$H$3:$H$272)/SUMIF(Loan_Input!$A$3:$A$272,$A28,Loan_Input!$H$3:$H$272),""))</f>
        <v/>
      </c>
      <c r="AH28" s="31">
        <f>IF($A28="","",IFERROR(SUMPRODUCT((Loan_Input!$A$3:$A$272=$A28)*(Loan_Input!$AR$3:$AR$272+Loan_Input!$AS$3:$AS$272)*Loan_Input!$H$3:$H$272)/SUMIF(Loan_Input!$A$3:$A$272,$A28,Loan_Input!$H$3:$H$272),""))</f>
        <v/>
      </c>
    </row>
    <row r="29">
      <c r="B29">
        <f>IF($A29="","",COUNTIF(Loan_Input!$A$3:$A$272,$A29))</f>
        <v/>
      </c>
      <c r="C29" s="26">
        <f>IF($A29="","",SUMIF(Loan_Input!$A$3:$A$272,$A29,Loan_Input!$H$3:$H$272)/1000000)</f>
        <v/>
      </c>
      <c r="D29" s="27">
        <f>IF($A29="","",IFERROR(SUMPRODUCT((Loan_Input!$A$3:$A$272=$A29)*Loan_Input!$BV$3:$BV$272*Loan_Input!$H$3:$H$272)/SUMIF(Loan_Input!$A$3:$A$272,$A29,Loan_Input!$H$3:$H$272),""))</f>
        <v/>
      </c>
      <c r="E29" s="27">
        <f>IF($A29="","",IFERROR(SUMPRODUCT((Loan_Input!$A$3:$A$272=$A29)*Loan_Input!$BW$3:$BW$272*Loan_Input!$H$3:$H$272)/SUMIF(Loan_Input!$A$3:$A$272,$A29,Loan_Input!$H$3:$H$272),""))</f>
        <v/>
      </c>
      <c r="F29" s="28">
        <f>IF($A29="","",IFERROR(SUMPRODUCT((Loan_Input!$A$3:$A$272=$A29)*Loan_Input!$AA$3:$AA$272*Loan_Input!$H$3:$H$272)/SUMIF(Loan_Input!$A$3:$A$272,$A29,Loan_Input!$H$3:$H$272),""))</f>
        <v/>
      </c>
      <c r="G29" s="29">
        <f>IF($A29="","",IFERROR(SUMPRODUCT((Loan_Input!$A$3:$A$272=$A29)*Loan_Input!$G$3:$G$272*Loan_Input!$H$3:$H$272)/SUMIF(Loan_Input!$A$3:$A$272,$A29,Loan_Input!$H$3:$H$272),""))</f>
        <v/>
      </c>
      <c r="H29" s="30">
        <f>IF($A29="","",IFERROR(SUMPRODUCT((Loan_Input!$A$3:$A$272=$A29)*Loan_Input!$AM$3:$AM$272*Loan_Input!$H$3:$H$272)/SUMIF(Loan_Input!$A$3:$A$272,$A29,Loan_Input!$H$3:$H$272),""))</f>
        <v/>
      </c>
      <c r="I29" s="27">
        <f>IF($A29="","",IFERROR(SUMPRODUCT((Loan_Input!$A$3:$A$272=$A29)*Loan_Input!$AK$3:$AK$272*Loan_Input!$H$3:$H$272)/SUMIF(Loan_Input!$A$3:$A$272,$A29,Loan_Input!$H$3:$H$272),""))</f>
        <v/>
      </c>
      <c r="J29" s="30">
        <f>IF($A29="","",IFERROR(SUMPRODUCT((Loan_Input!$A$3:$A$272=$A29)*Loan_Input!$AI$3:$AI$272*Loan_Input!$H$3:$H$272)/SUMIF(Loan_Input!$A$3:$A$272,$A29,Loan_Input!$H$3:$H$272),""))</f>
        <v/>
      </c>
      <c r="K29" s="27">
        <f>IF($A29="","",IFERROR(SUMPRODUCT((Loan_Input!$A$3:$A$272=$A29)*Loan_Input!$AN$3:$AN$272*Loan_Input!$H$3:$H$272)/SUMIF(Loan_Input!$A$3:$A$272,$A29,Loan_Input!$H$3:$H$272),""))</f>
        <v/>
      </c>
      <c r="L29" s="31">
        <f>IF($A29="","",IFERROR(SUMPRODUCT((Loan_Input!$A$3:$A$272=$A29)*Loan_Input!$AD$3:$AD$272*Loan_Input!$H$3:$H$272)/SUMIF(Loan_Input!$A$3:$A$272,$A29,Loan_Input!$H$3:$H$272),""))</f>
        <v/>
      </c>
      <c r="M29" s="31">
        <f>IF($A29="","",IFERROR(SUMPRODUCT((Loan_Input!$A$3:$A$272=$A29)*Loan_Input!$AE$3:$AE$272*Loan_Input!$H$3:$H$272)/SUMIF(Loan_Input!$A$3:$A$272,$A29,Loan_Input!$H$3:$H$272),""))</f>
        <v/>
      </c>
      <c r="N29" s="31">
        <f>IF($A29="","",IFERROR(SUMPRODUCT((Loan_Input!$A$3:$A$272=$A29)*Loan_Input!$AF$3:$AF$272*Loan_Input!$H$3:$H$272)/SUMIF(Loan_Input!$A$3:$A$272,$A29,Loan_Input!$H$3:$H$272),""))</f>
        <v/>
      </c>
      <c r="O29" s="27">
        <f>IF($A29="","",IFERROR(SUMPRODUCT((Loan_Input!$A$3:$A$272=$A29)*Loan_Input!$BX$3:$BX$272*Loan_Input!$H$3:$H$272)/SUMIF(Loan_Input!$A$3:$A$272,$A29,Loan_Input!$H$3:$H$272),""))</f>
        <v/>
      </c>
      <c r="P29" s="27">
        <f>IF($A29="","",IFERROR(SUMPRODUCT((Loan_Input!$A$3:$A$272=$A29)*Loan_Input!$BY$3:$BY$272*Loan_Input!$H$3:$H$272)/SUMIF(Loan_Input!$A$3:$A$272,$A29,Loan_Input!$H$3:$H$272),""))</f>
        <v/>
      </c>
      <c r="Q29" s="27">
        <f>IF($A29="","",IFERROR(SUMPRODUCT((Loan_Input!$A$3:$A$272=$A29)*Loan_Input!$BZ$3:$BZ$272*Loan_Input!$H$3:$H$272)/SUMIF(Loan_Input!$A$3:$A$272,$A29,Loan_Input!$H$3:$H$272),""))</f>
        <v/>
      </c>
      <c r="R29" s="27">
        <f>IF($A29="","",IFERROR(SUMPRODUCT((Loan_Input!$A$3:$A$272=$A29)*Loan_Input!$CA$3:$CA$272*Loan_Input!$H$3:$H$272)/SUMIF(Loan_Input!$A$3:$A$272,$A29,Loan_Input!$H$3:$H$272),""))</f>
        <v/>
      </c>
      <c r="S29" s="27">
        <f>IF($A29="","",IFERROR(SUMPRODUCT((Loan_Input!$A$3:$A$272=$A29)*Loan_Input!$CB$3:$CB$272*Loan_Input!$H$3:$H$272)/SUMIF(Loan_Input!$A$3:$A$272,$A29,Loan_Input!$H$3:$H$272),""))</f>
        <v/>
      </c>
      <c r="T29" s="27">
        <f>IF($A29="","",IFERROR(SUMPRODUCT((Loan_Input!$A$3:$A$272=$A29)*Loan_Input!$CC$3:$CC$272*Loan_Input!$H$3:$H$272)/SUMIF(Loan_Input!$A$3:$A$272,$A29,Loan_Input!$H$3:$H$272),""))</f>
        <v/>
      </c>
      <c r="U29" s="27">
        <f>IF($A29="","",IFERROR(SUMPRODUCT((Loan_Input!$A$3:$A$272=$A29)*Loan_Input!$CD$3:$CD$272*Loan_Input!$H$3:$H$272)/SUMIF(Loan_Input!$A$3:$A$272,$A29,Loan_Input!$H$3:$H$272),""))</f>
        <v/>
      </c>
      <c r="V29" s="27">
        <f>IF($A29="","",IFERROR(SUMPRODUCT((Loan_Input!$A$3:$A$272=$A29)*Loan_Input!$CE$3:$CE$272*Loan_Input!$H$3:$H$272)/SUMIF(Loan_Input!$A$3:$A$272,$A29,Loan_Input!$H$3:$H$272),""))</f>
        <v/>
      </c>
      <c r="W29" s="27">
        <f>IF($A29="","",IFERROR(SUMPRODUCT((Loan_Input!$A$3:$A$272=$A29)*Loan_Input!$CF$3:$CF$272*Loan_Input!$H$3:$H$272)/SUMIF(Loan_Input!$A$3:$A$272,$A29,Loan_Input!$H$3:$H$272),""))</f>
        <v/>
      </c>
      <c r="X29" s="27">
        <f>IF($A29="","",IFERROR(SUMPRODUCT((Loan_Input!$A$3:$A$272=$A29)*Loan_Input!$CG$3:$CG$272*Loan_Input!$H$3:$H$272)/SUMIF(Loan_Input!$A$3:$A$272,$A29,Loan_Input!$H$3:$H$272),""))</f>
        <v/>
      </c>
      <c r="Y29" s="27">
        <f>IF($A29="","",IFERROR(SUMPRODUCT((Loan_Input!$A$3:$A$272=$A29)*Loan_Input!$CH$3:$CH$272*Loan_Input!$H$3:$H$272)/SUMIF(Loan_Input!$A$3:$A$272,$A29,Loan_Input!$H$3:$H$272),""))</f>
        <v/>
      </c>
      <c r="Z29" s="27">
        <f>IF($A29="","",IFERROR(SUMPRODUCT((Loan_Input!$A$3:$A$272=$A29)*Loan_Input!$CI$3:$CI$272*Loan_Input!$H$3:$H$272)/SUMIF(Loan_Input!$A$3:$A$272,$A29,Loan_Input!$H$3:$H$272),""))</f>
        <v/>
      </c>
      <c r="AA29" s="27">
        <f>IF($A29="","",IFERROR(SUMPRODUCT((Loan_Input!$A$3:$A$272=$A29)*Loan_Input!$CJ$3:$CJ$272*Loan_Input!$H$3:$H$272)/SUMIF(Loan_Input!$A$3:$A$272,$A29,Loan_Input!$H$3:$H$272),""))</f>
        <v/>
      </c>
      <c r="AB29" s="31">
        <f>IF($A29="","",IFERROR(SUMPRODUCT((Loan_Input!$A$3:$A$272=$A29)*Loan_Input!$AQ$3:$AQ$272*Loan_Input!$H$3:$H$272)/SUMIF(Loan_Input!$A$3:$A$272,$A29,Loan_Input!$H$3:$H$272),""))</f>
        <v/>
      </c>
      <c r="AC29" s="31">
        <f>IF($A29="","",IFERROR(SUMPRODUCT((Loan_Input!$A$3:$A$272=$A29)*Loan_Input!$AW$3:$AW$272*Loan_Input!$H$3:$H$272)/SUMIF(Loan_Input!$A$3:$A$272,$A29,Loan_Input!$H$3:$H$272),""))</f>
        <v/>
      </c>
      <c r="AD29" s="31">
        <f>IF($A29="","",IFERROR(SUMPRODUCT((Loan_Input!$A$3:$A$272=$A29)*Loan_Input!$AU$3:$AU$272*Loan_Input!$H$3:$H$272)/SUMIF(Loan_Input!$A$3:$A$272,$A29,Loan_Input!$H$3:$H$272),""))</f>
        <v/>
      </c>
      <c r="AE29" s="31">
        <f>IF($A29="","",IFERROR(SUMPRODUCT((Loan_Input!$A$3:$A$272=$A29)*(Loan_Input!$AO$3:$AO$272="223f")*Loan_Input!$H$3:$H$272)/SUMIF(Loan_Input!$A$3:$A$272,$A29,Loan_Input!$H$3:$H$272),""))</f>
        <v/>
      </c>
      <c r="AF29" s="31">
        <f>IF($A29="","",IFERROR(SUMPRODUCT((Loan_Input!$A$3:$A$272=$A29)*Loan_Input!$AV$3:$AV$272*Loan_Input!$H$3:$H$272)/SUMIF(Loan_Input!$A$3:$A$272,$A29,Loan_Input!$H$3:$H$272),""))</f>
        <v/>
      </c>
      <c r="AG29" s="31">
        <f>IF($A29="","",IFERROR(SUMPRODUCT((Loan_Input!$A$3:$A$272=$A29)*Loan_Input!$AX$3:$AX$272*Loan_Input!$H$3:$H$272)/SUMIF(Loan_Input!$A$3:$A$272,$A29,Loan_Input!$H$3:$H$272),""))</f>
        <v/>
      </c>
      <c r="AH29" s="31">
        <f>IF($A29="","",IFERROR(SUMPRODUCT((Loan_Input!$A$3:$A$272=$A29)*(Loan_Input!$AR$3:$AR$272+Loan_Input!$AS$3:$AS$272)*Loan_Input!$H$3:$H$272)/SUMIF(Loan_Input!$A$3:$A$272,$A29,Loan_Input!$H$3:$H$272),""))</f>
        <v/>
      </c>
    </row>
    <row r="30">
      <c r="B30">
        <f>IF($A30="","",COUNTIF(Loan_Input!$A$3:$A$272,$A30))</f>
        <v/>
      </c>
      <c r="C30" s="26">
        <f>IF($A30="","",SUMIF(Loan_Input!$A$3:$A$272,$A30,Loan_Input!$H$3:$H$272)/1000000)</f>
        <v/>
      </c>
      <c r="D30" s="27">
        <f>IF($A30="","",IFERROR(SUMPRODUCT((Loan_Input!$A$3:$A$272=$A30)*Loan_Input!$BV$3:$BV$272*Loan_Input!$H$3:$H$272)/SUMIF(Loan_Input!$A$3:$A$272,$A30,Loan_Input!$H$3:$H$272),""))</f>
        <v/>
      </c>
      <c r="E30" s="27">
        <f>IF($A30="","",IFERROR(SUMPRODUCT((Loan_Input!$A$3:$A$272=$A30)*Loan_Input!$BW$3:$BW$272*Loan_Input!$H$3:$H$272)/SUMIF(Loan_Input!$A$3:$A$272,$A30,Loan_Input!$H$3:$H$272),""))</f>
        <v/>
      </c>
      <c r="F30" s="28">
        <f>IF($A30="","",IFERROR(SUMPRODUCT((Loan_Input!$A$3:$A$272=$A30)*Loan_Input!$AA$3:$AA$272*Loan_Input!$H$3:$H$272)/SUMIF(Loan_Input!$A$3:$A$272,$A30,Loan_Input!$H$3:$H$272),""))</f>
        <v/>
      </c>
      <c r="G30" s="29">
        <f>IF($A30="","",IFERROR(SUMPRODUCT((Loan_Input!$A$3:$A$272=$A30)*Loan_Input!$G$3:$G$272*Loan_Input!$H$3:$H$272)/SUMIF(Loan_Input!$A$3:$A$272,$A30,Loan_Input!$H$3:$H$272),""))</f>
        <v/>
      </c>
      <c r="H30" s="30">
        <f>IF($A30="","",IFERROR(SUMPRODUCT((Loan_Input!$A$3:$A$272=$A30)*Loan_Input!$AM$3:$AM$272*Loan_Input!$H$3:$H$272)/SUMIF(Loan_Input!$A$3:$A$272,$A30,Loan_Input!$H$3:$H$272),""))</f>
        <v/>
      </c>
      <c r="I30" s="27">
        <f>IF($A30="","",IFERROR(SUMPRODUCT((Loan_Input!$A$3:$A$272=$A30)*Loan_Input!$AK$3:$AK$272*Loan_Input!$H$3:$H$272)/SUMIF(Loan_Input!$A$3:$A$272,$A30,Loan_Input!$H$3:$H$272),""))</f>
        <v/>
      </c>
      <c r="J30" s="30">
        <f>IF($A30="","",IFERROR(SUMPRODUCT((Loan_Input!$A$3:$A$272=$A30)*Loan_Input!$AI$3:$AI$272*Loan_Input!$H$3:$H$272)/SUMIF(Loan_Input!$A$3:$A$272,$A30,Loan_Input!$H$3:$H$272),""))</f>
        <v/>
      </c>
      <c r="K30" s="27">
        <f>IF($A30="","",IFERROR(SUMPRODUCT((Loan_Input!$A$3:$A$272=$A30)*Loan_Input!$AN$3:$AN$272*Loan_Input!$H$3:$H$272)/SUMIF(Loan_Input!$A$3:$A$272,$A30,Loan_Input!$H$3:$H$272),""))</f>
        <v/>
      </c>
      <c r="L30" s="31">
        <f>IF($A30="","",IFERROR(SUMPRODUCT((Loan_Input!$A$3:$A$272=$A30)*Loan_Input!$AD$3:$AD$272*Loan_Input!$H$3:$H$272)/SUMIF(Loan_Input!$A$3:$A$272,$A30,Loan_Input!$H$3:$H$272),""))</f>
        <v/>
      </c>
      <c r="M30" s="31">
        <f>IF($A30="","",IFERROR(SUMPRODUCT((Loan_Input!$A$3:$A$272=$A30)*Loan_Input!$AE$3:$AE$272*Loan_Input!$H$3:$H$272)/SUMIF(Loan_Input!$A$3:$A$272,$A30,Loan_Input!$H$3:$H$272),""))</f>
        <v/>
      </c>
      <c r="N30" s="31">
        <f>IF($A30="","",IFERROR(SUMPRODUCT((Loan_Input!$A$3:$A$272=$A30)*Loan_Input!$AF$3:$AF$272*Loan_Input!$H$3:$H$272)/SUMIF(Loan_Input!$A$3:$A$272,$A30,Loan_Input!$H$3:$H$272),""))</f>
        <v/>
      </c>
      <c r="O30" s="27">
        <f>IF($A30="","",IFERROR(SUMPRODUCT((Loan_Input!$A$3:$A$272=$A30)*Loan_Input!$BX$3:$BX$272*Loan_Input!$H$3:$H$272)/SUMIF(Loan_Input!$A$3:$A$272,$A30,Loan_Input!$H$3:$H$272),""))</f>
        <v/>
      </c>
      <c r="P30" s="27">
        <f>IF($A30="","",IFERROR(SUMPRODUCT((Loan_Input!$A$3:$A$272=$A30)*Loan_Input!$BY$3:$BY$272*Loan_Input!$H$3:$H$272)/SUMIF(Loan_Input!$A$3:$A$272,$A30,Loan_Input!$H$3:$H$272),""))</f>
        <v/>
      </c>
      <c r="Q30" s="27">
        <f>IF($A30="","",IFERROR(SUMPRODUCT((Loan_Input!$A$3:$A$272=$A30)*Loan_Input!$BZ$3:$BZ$272*Loan_Input!$H$3:$H$272)/SUMIF(Loan_Input!$A$3:$A$272,$A30,Loan_Input!$H$3:$H$272),""))</f>
        <v/>
      </c>
      <c r="R30" s="27">
        <f>IF($A30="","",IFERROR(SUMPRODUCT((Loan_Input!$A$3:$A$272=$A30)*Loan_Input!$CA$3:$CA$272*Loan_Input!$H$3:$H$272)/SUMIF(Loan_Input!$A$3:$A$272,$A30,Loan_Input!$H$3:$H$272),""))</f>
        <v/>
      </c>
      <c r="S30" s="27">
        <f>IF($A30="","",IFERROR(SUMPRODUCT((Loan_Input!$A$3:$A$272=$A30)*Loan_Input!$CB$3:$CB$272*Loan_Input!$H$3:$H$272)/SUMIF(Loan_Input!$A$3:$A$272,$A30,Loan_Input!$H$3:$H$272),""))</f>
        <v/>
      </c>
      <c r="T30" s="27">
        <f>IF($A30="","",IFERROR(SUMPRODUCT((Loan_Input!$A$3:$A$272=$A30)*Loan_Input!$CC$3:$CC$272*Loan_Input!$H$3:$H$272)/SUMIF(Loan_Input!$A$3:$A$272,$A30,Loan_Input!$H$3:$H$272),""))</f>
        <v/>
      </c>
      <c r="U30" s="27">
        <f>IF($A30="","",IFERROR(SUMPRODUCT((Loan_Input!$A$3:$A$272=$A30)*Loan_Input!$CD$3:$CD$272*Loan_Input!$H$3:$H$272)/SUMIF(Loan_Input!$A$3:$A$272,$A30,Loan_Input!$H$3:$H$272),""))</f>
        <v/>
      </c>
      <c r="V30" s="27">
        <f>IF($A30="","",IFERROR(SUMPRODUCT((Loan_Input!$A$3:$A$272=$A30)*Loan_Input!$CE$3:$CE$272*Loan_Input!$H$3:$H$272)/SUMIF(Loan_Input!$A$3:$A$272,$A30,Loan_Input!$H$3:$H$272),""))</f>
        <v/>
      </c>
      <c r="W30" s="27">
        <f>IF($A30="","",IFERROR(SUMPRODUCT((Loan_Input!$A$3:$A$272=$A30)*Loan_Input!$CF$3:$CF$272*Loan_Input!$H$3:$H$272)/SUMIF(Loan_Input!$A$3:$A$272,$A30,Loan_Input!$H$3:$H$272),""))</f>
        <v/>
      </c>
      <c r="X30" s="27">
        <f>IF($A30="","",IFERROR(SUMPRODUCT((Loan_Input!$A$3:$A$272=$A30)*Loan_Input!$CG$3:$CG$272*Loan_Input!$H$3:$H$272)/SUMIF(Loan_Input!$A$3:$A$272,$A30,Loan_Input!$H$3:$H$272),""))</f>
        <v/>
      </c>
      <c r="Y30" s="27">
        <f>IF($A30="","",IFERROR(SUMPRODUCT((Loan_Input!$A$3:$A$272=$A30)*Loan_Input!$CH$3:$CH$272*Loan_Input!$H$3:$H$272)/SUMIF(Loan_Input!$A$3:$A$272,$A30,Loan_Input!$H$3:$H$272),""))</f>
        <v/>
      </c>
      <c r="Z30" s="27">
        <f>IF($A30="","",IFERROR(SUMPRODUCT((Loan_Input!$A$3:$A$272=$A30)*Loan_Input!$CI$3:$CI$272*Loan_Input!$H$3:$H$272)/SUMIF(Loan_Input!$A$3:$A$272,$A30,Loan_Input!$H$3:$H$272),""))</f>
        <v/>
      </c>
      <c r="AA30" s="27">
        <f>IF($A30="","",IFERROR(SUMPRODUCT((Loan_Input!$A$3:$A$272=$A30)*Loan_Input!$CJ$3:$CJ$272*Loan_Input!$H$3:$H$272)/SUMIF(Loan_Input!$A$3:$A$272,$A30,Loan_Input!$H$3:$H$272),""))</f>
        <v/>
      </c>
      <c r="AB30" s="31">
        <f>IF($A30="","",IFERROR(SUMPRODUCT((Loan_Input!$A$3:$A$272=$A30)*Loan_Input!$AQ$3:$AQ$272*Loan_Input!$H$3:$H$272)/SUMIF(Loan_Input!$A$3:$A$272,$A30,Loan_Input!$H$3:$H$272),""))</f>
        <v/>
      </c>
      <c r="AC30" s="31">
        <f>IF($A30="","",IFERROR(SUMPRODUCT((Loan_Input!$A$3:$A$272=$A30)*Loan_Input!$AW$3:$AW$272*Loan_Input!$H$3:$H$272)/SUMIF(Loan_Input!$A$3:$A$272,$A30,Loan_Input!$H$3:$H$272),""))</f>
        <v/>
      </c>
      <c r="AD30" s="31">
        <f>IF($A30="","",IFERROR(SUMPRODUCT((Loan_Input!$A$3:$A$272=$A30)*Loan_Input!$AU$3:$AU$272*Loan_Input!$H$3:$H$272)/SUMIF(Loan_Input!$A$3:$A$272,$A30,Loan_Input!$H$3:$H$272),""))</f>
        <v/>
      </c>
      <c r="AE30" s="31">
        <f>IF($A30="","",IFERROR(SUMPRODUCT((Loan_Input!$A$3:$A$272=$A30)*(Loan_Input!$AO$3:$AO$272="223f")*Loan_Input!$H$3:$H$272)/SUMIF(Loan_Input!$A$3:$A$272,$A30,Loan_Input!$H$3:$H$272),""))</f>
        <v/>
      </c>
      <c r="AF30" s="31">
        <f>IF($A30="","",IFERROR(SUMPRODUCT((Loan_Input!$A$3:$A$272=$A30)*Loan_Input!$AV$3:$AV$272*Loan_Input!$H$3:$H$272)/SUMIF(Loan_Input!$A$3:$A$272,$A30,Loan_Input!$H$3:$H$272),""))</f>
        <v/>
      </c>
      <c r="AG30" s="31">
        <f>IF($A30="","",IFERROR(SUMPRODUCT((Loan_Input!$A$3:$A$272=$A30)*Loan_Input!$AX$3:$AX$272*Loan_Input!$H$3:$H$272)/SUMIF(Loan_Input!$A$3:$A$272,$A30,Loan_Input!$H$3:$H$272),""))</f>
        <v/>
      </c>
      <c r="AH30" s="31">
        <f>IF($A30="","",IFERROR(SUMPRODUCT((Loan_Input!$A$3:$A$272=$A30)*(Loan_Input!$AR$3:$AR$272+Loan_Input!$AS$3:$AS$272)*Loan_Input!$H$3:$H$272)/SUMIF(Loan_Input!$A$3:$A$272,$A30,Loan_Input!$H$3:$H$272),""))</f>
        <v/>
      </c>
    </row>
    <row r="31">
      <c r="B31">
        <f>IF($A31="","",COUNTIF(Loan_Input!$A$3:$A$272,$A31))</f>
        <v/>
      </c>
      <c r="C31" s="26">
        <f>IF($A31="","",SUMIF(Loan_Input!$A$3:$A$272,$A31,Loan_Input!$H$3:$H$272)/1000000)</f>
        <v/>
      </c>
      <c r="D31" s="27">
        <f>IF($A31="","",IFERROR(SUMPRODUCT((Loan_Input!$A$3:$A$272=$A31)*Loan_Input!$BV$3:$BV$272*Loan_Input!$H$3:$H$272)/SUMIF(Loan_Input!$A$3:$A$272,$A31,Loan_Input!$H$3:$H$272),""))</f>
        <v/>
      </c>
      <c r="E31" s="27">
        <f>IF($A31="","",IFERROR(SUMPRODUCT((Loan_Input!$A$3:$A$272=$A31)*Loan_Input!$BW$3:$BW$272*Loan_Input!$H$3:$H$272)/SUMIF(Loan_Input!$A$3:$A$272,$A31,Loan_Input!$H$3:$H$272),""))</f>
        <v/>
      </c>
      <c r="F31" s="28">
        <f>IF($A31="","",IFERROR(SUMPRODUCT((Loan_Input!$A$3:$A$272=$A31)*Loan_Input!$AA$3:$AA$272*Loan_Input!$H$3:$H$272)/SUMIF(Loan_Input!$A$3:$A$272,$A31,Loan_Input!$H$3:$H$272),""))</f>
        <v/>
      </c>
      <c r="G31" s="29">
        <f>IF($A31="","",IFERROR(SUMPRODUCT((Loan_Input!$A$3:$A$272=$A31)*Loan_Input!$G$3:$G$272*Loan_Input!$H$3:$H$272)/SUMIF(Loan_Input!$A$3:$A$272,$A31,Loan_Input!$H$3:$H$272),""))</f>
        <v/>
      </c>
      <c r="H31" s="30">
        <f>IF($A31="","",IFERROR(SUMPRODUCT((Loan_Input!$A$3:$A$272=$A31)*Loan_Input!$AM$3:$AM$272*Loan_Input!$H$3:$H$272)/SUMIF(Loan_Input!$A$3:$A$272,$A31,Loan_Input!$H$3:$H$272),""))</f>
        <v/>
      </c>
      <c r="I31" s="27">
        <f>IF($A31="","",IFERROR(SUMPRODUCT((Loan_Input!$A$3:$A$272=$A31)*Loan_Input!$AK$3:$AK$272*Loan_Input!$H$3:$H$272)/SUMIF(Loan_Input!$A$3:$A$272,$A31,Loan_Input!$H$3:$H$272),""))</f>
        <v/>
      </c>
      <c r="J31" s="30">
        <f>IF($A31="","",IFERROR(SUMPRODUCT((Loan_Input!$A$3:$A$272=$A31)*Loan_Input!$AI$3:$AI$272*Loan_Input!$H$3:$H$272)/SUMIF(Loan_Input!$A$3:$A$272,$A31,Loan_Input!$H$3:$H$272),""))</f>
        <v/>
      </c>
      <c r="K31" s="27">
        <f>IF($A31="","",IFERROR(SUMPRODUCT((Loan_Input!$A$3:$A$272=$A31)*Loan_Input!$AN$3:$AN$272*Loan_Input!$H$3:$H$272)/SUMIF(Loan_Input!$A$3:$A$272,$A31,Loan_Input!$H$3:$H$272),""))</f>
        <v/>
      </c>
      <c r="L31" s="31">
        <f>IF($A31="","",IFERROR(SUMPRODUCT((Loan_Input!$A$3:$A$272=$A31)*Loan_Input!$AD$3:$AD$272*Loan_Input!$H$3:$H$272)/SUMIF(Loan_Input!$A$3:$A$272,$A31,Loan_Input!$H$3:$H$272),""))</f>
        <v/>
      </c>
      <c r="M31" s="31">
        <f>IF($A31="","",IFERROR(SUMPRODUCT((Loan_Input!$A$3:$A$272=$A31)*Loan_Input!$AE$3:$AE$272*Loan_Input!$H$3:$H$272)/SUMIF(Loan_Input!$A$3:$A$272,$A31,Loan_Input!$H$3:$H$272),""))</f>
        <v/>
      </c>
      <c r="N31" s="31">
        <f>IF($A31="","",IFERROR(SUMPRODUCT((Loan_Input!$A$3:$A$272=$A31)*Loan_Input!$AF$3:$AF$272*Loan_Input!$H$3:$H$272)/SUMIF(Loan_Input!$A$3:$A$272,$A31,Loan_Input!$H$3:$H$272),""))</f>
        <v/>
      </c>
      <c r="O31" s="27">
        <f>IF($A31="","",IFERROR(SUMPRODUCT((Loan_Input!$A$3:$A$272=$A31)*Loan_Input!$BX$3:$BX$272*Loan_Input!$H$3:$H$272)/SUMIF(Loan_Input!$A$3:$A$272,$A31,Loan_Input!$H$3:$H$272),""))</f>
        <v/>
      </c>
      <c r="P31" s="27">
        <f>IF($A31="","",IFERROR(SUMPRODUCT((Loan_Input!$A$3:$A$272=$A31)*Loan_Input!$BY$3:$BY$272*Loan_Input!$H$3:$H$272)/SUMIF(Loan_Input!$A$3:$A$272,$A31,Loan_Input!$H$3:$H$272),""))</f>
        <v/>
      </c>
      <c r="Q31" s="27">
        <f>IF($A31="","",IFERROR(SUMPRODUCT((Loan_Input!$A$3:$A$272=$A31)*Loan_Input!$BZ$3:$BZ$272*Loan_Input!$H$3:$H$272)/SUMIF(Loan_Input!$A$3:$A$272,$A31,Loan_Input!$H$3:$H$272),""))</f>
        <v/>
      </c>
      <c r="R31" s="27">
        <f>IF($A31="","",IFERROR(SUMPRODUCT((Loan_Input!$A$3:$A$272=$A31)*Loan_Input!$CA$3:$CA$272*Loan_Input!$H$3:$H$272)/SUMIF(Loan_Input!$A$3:$A$272,$A31,Loan_Input!$H$3:$H$272),""))</f>
        <v/>
      </c>
      <c r="S31" s="27">
        <f>IF($A31="","",IFERROR(SUMPRODUCT((Loan_Input!$A$3:$A$272=$A31)*Loan_Input!$CB$3:$CB$272*Loan_Input!$H$3:$H$272)/SUMIF(Loan_Input!$A$3:$A$272,$A31,Loan_Input!$H$3:$H$272),""))</f>
        <v/>
      </c>
      <c r="T31" s="27">
        <f>IF($A31="","",IFERROR(SUMPRODUCT((Loan_Input!$A$3:$A$272=$A31)*Loan_Input!$CC$3:$CC$272*Loan_Input!$H$3:$H$272)/SUMIF(Loan_Input!$A$3:$A$272,$A31,Loan_Input!$H$3:$H$272),""))</f>
        <v/>
      </c>
      <c r="U31" s="27">
        <f>IF($A31="","",IFERROR(SUMPRODUCT((Loan_Input!$A$3:$A$272=$A31)*Loan_Input!$CD$3:$CD$272*Loan_Input!$H$3:$H$272)/SUMIF(Loan_Input!$A$3:$A$272,$A31,Loan_Input!$H$3:$H$272),""))</f>
        <v/>
      </c>
      <c r="V31" s="27">
        <f>IF($A31="","",IFERROR(SUMPRODUCT((Loan_Input!$A$3:$A$272=$A31)*Loan_Input!$CE$3:$CE$272*Loan_Input!$H$3:$H$272)/SUMIF(Loan_Input!$A$3:$A$272,$A31,Loan_Input!$H$3:$H$272),""))</f>
        <v/>
      </c>
      <c r="W31" s="27">
        <f>IF($A31="","",IFERROR(SUMPRODUCT((Loan_Input!$A$3:$A$272=$A31)*Loan_Input!$CF$3:$CF$272*Loan_Input!$H$3:$H$272)/SUMIF(Loan_Input!$A$3:$A$272,$A31,Loan_Input!$H$3:$H$272),""))</f>
        <v/>
      </c>
      <c r="X31" s="27">
        <f>IF($A31="","",IFERROR(SUMPRODUCT((Loan_Input!$A$3:$A$272=$A31)*Loan_Input!$CG$3:$CG$272*Loan_Input!$H$3:$H$272)/SUMIF(Loan_Input!$A$3:$A$272,$A31,Loan_Input!$H$3:$H$272),""))</f>
        <v/>
      </c>
      <c r="Y31" s="27">
        <f>IF($A31="","",IFERROR(SUMPRODUCT((Loan_Input!$A$3:$A$272=$A31)*Loan_Input!$CH$3:$CH$272*Loan_Input!$H$3:$H$272)/SUMIF(Loan_Input!$A$3:$A$272,$A31,Loan_Input!$H$3:$H$272),""))</f>
        <v/>
      </c>
      <c r="Z31" s="27">
        <f>IF($A31="","",IFERROR(SUMPRODUCT((Loan_Input!$A$3:$A$272=$A31)*Loan_Input!$CI$3:$CI$272*Loan_Input!$H$3:$H$272)/SUMIF(Loan_Input!$A$3:$A$272,$A31,Loan_Input!$H$3:$H$272),""))</f>
        <v/>
      </c>
      <c r="AA31" s="27">
        <f>IF($A31="","",IFERROR(SUMPRODUCT((Loan_Input!$A$3:$A$272=$A31)*Loan_Input!$CJ$3:$CJ$272*Loan_Input!$H$3:$H$272)/SUMIF(Loan_Input!$A$3:$A$272,$A31,Loan_Input!$H$3:$H$272),""))</f>
        <v/>
      </c>
      <c r="AB31" s="31">
        <f>IF($A31="","",IFERROR(SUMPRODUCT((Loan_Input!$A$3:$A$272=$A31)*Loan_Input!$AQ$3:$AQ$272*Loan_Input!$H$3:$H$272)/SUMIF(Loan_Input!$A$3:$A$272,$A31,Loan_Input!$H$3:$H$272),""))</f>
        <v/>
      </c>
      <c r="AC31" s="31">
        <f>IF($A31="","",IFERROR(SUMPRODUCT((Loan_Input!$A$3:$A$272=$A31)*Loan_Input!$AW$3:$AW$272*Loan_Input!$H$3:$H$272)/SUMIF(Loan_Input!$A$3:$A$272,$A31,Loan_Input!$H$3:$H$272),""))</f>
        <v/>
      </c>
      <c r="AD31" s="31">
        <f>IF($A31="","",IFERROR(SUMPRODUCT((Loan_Input!$A$3:$A$272=$A31)*Loan_Input!$AU$3:$AU$272*Loan_Input!$H$3:$H$272)/SUMIF(Loan_Input!$A$3:$A$272,$A31,Loan_Input!$H$3:$H$272),""))</f>
        <v/>
      </c>
      <c r="AE31" s="31">
        <f>IF($A31="","",IFERROR(SUMPRODUCT((Loan_Input!$A$3:$A$272=$A31)*(Loan_Input!$AO$3:$AO$272="223f")*Loan_Input!$H$3:$H$272)/SUMIF(Loan_Input!$A$3:$A$272,$A31,Loan_Input!$H$3:$H$272),""))</f>
        <v/>
      </c>
      <c r="AF31" s="31">
        <f>IF($A31="","",IFERROR(SUMPRODUCT((Loan_Input!$A$3:$A$272=$A31)*Loan_Input!$AV$3:$AV$272*Loan_Input!$H$3:$H$272)/SUMIF(Loan_Input!$A$3:$A$272,$A31,Loan_Input!$H$3:$H$272),""))</f>
        <v/>
      </c>
      <c r="AG31" s="31">
        <f>IF($A31="","",IFERROR(SUMPRODUCT((Loan_Input!$A$3:$A$272=$A31)*Loan_Input!$AX$3:$AX$272*Loan_Input!$H$3:$H$272)/SUMIF(Loan_Input!$A$3:$A$272,$A31,Loan_Input!$H$3:$H$272),""))</f>
        <v/>
      </c>
      <c r="AH31" s="31">
        <f>IF($A31="","",IFERROR(SUMPRODUCT((Loan_Input!$A$3:$A$272=$A31)*(Loan_Input!$AR$3:$AR$272+Loan_Input!$AS$3:$AS$272)*Loan_Input!$H$3:$H$272)/SUMIF(Loan_Input!$A$3:$A$272,$A31,Loan_Input!$H$3:$H$272),""))</f>
        <v/>
      </c>
    </row>
    <row r="32">
      <c r="B32">
        <f>IF($A32="","",COUNTIF(Loan_Input!$A$3:$A$272,$A32))</f>
        <v/>
      </c>
      <c r="C32" s="26">
        <f>IF($A32="","",SUMIF(Loan_Input!$A$3:$A$272,$A32,Loan_Input!$H$3:$H$272)/1000000)</f>
        <v/>
      </c>
      <c r="D32" s="27">
        <f>IF($A32="","",IFERROR(SUMPRODUCT((Loan_Input!$A$3:$A$272=$A32)*Loan_Input!$BV$3:$BV$272*Loan_Input!$H$3:$H$272)/SUMIF(Loan_Input!$A$3:$A$272,$A32,Loan_Input!$H$3:$H$272),""))</f>
        <v/>
      </c>
      <c r="E32" s="27">
        <f>IF($A32="","",IFERROR(SUMPRODUCT((Loan_Input!$A$3:$A$272=$A32)*Loan_Input!$BW$3:$BW$272*Loan_Input!$H$3:$H$272)/SUMIF(Loan_Input!$A$3:$A$272,$A32,Loan_Input!$H$3:$H$272),""))</f>
        <v/>
      </c>
      <c r="F32" s="28">
        <f>IF($A32="","",IFERROR(SUMPRODUCT((Loan_Input!$A$3:$A$272=$A32)*Loan_Input!$AA$3:$AA$272*Loan_Input!$H$3:$H$272)/SUMIF(Loan_Input!$A$3:$A$272,$A32,Loan_Input!$H$3:$H$272),""))</f>
        <v/>
      </c>
      <c r="G32" s="29">
        <f>IF($A32="","",IFERROR(SUMPRODUCT((Loan_Input!$A$3:$A$272=$A32)*Loan_Input!$G$3:$G$272*Loan_Input!$H$3:$H$272)/SUMIF(Loan_Input!$A$3:$A$272,$A32,Loan_Input!$H$3:$H$272),""))</f>
        <v/>
      </c>
      <c r="H32" s="30">
        <f>IF($A32="","",IFERROR(SUMPRODUCT((Loan_Input!$A$3:$A$272=$A32)*Loan_Input!$AM$3:$AM$272*Loan_Input!$H$3:$H$272)/SUMIF(Loan_Input!$A$3:$A$272,$A32,Loan_Input!$H$3:$H$272),""))</f>
        <v/>
      </c>
      <c r="I32" s="27">
        <f>IF($A32="","",IFERROR(SUMPRODUCT((Loan_Input!$A$3:$A$272=$A32)*Loan_Input!$AK$3:$AK$272*Loan_Input!$H$3:$H$272)/SUMIF(Loan_Input!$A$3:$A$272,$A32,Loan_Input!$H$3:$H$272),""))</f>
        <v/>
      </c>
      <c r="J32" s="30">
        <f>IF($A32="","",IFERROR(SUMPRODUCT((Loan_Input!$A$3:$A$272=$A32)*Loan_Input!$AI$3:$AI$272*Loan_Input!$H$3:$H$272)/SUMIF(Loan_Input!$A$3:$A$272,$A32,Loan_Input!$H$3:$H$272),""))</f>
        <v/>
      </c>
      <c r="K32" s="27">
        <f>IF($A32="","",IFERROR(SUMPRODUCT((Loan_Input!$A$3:$A$272=$A32)*Loan_Input!$AN$3:$AN$272*Loan_Input!$H$3:$H$272)/SUMIF(Loan_Input!$A$3:$A$272,$A32,Loan_Input!$H$3:$H$272),""))</f>
        <v/>
      </c>
      <c r="L32" s="31">
        <f>IF($A32="","",IFERROR(SUMPRODUCT((Loan_Input!$A$3:$A$272=$A32)*Loan_Input!$AD$3:$AD$272*Loan_Input!$H$3:$H$272)/SUMIF(Loan_Input!$A$3:$A$272,$A32,Loan_Input!$H$3:$H$272),""))</f>
        <v/>
      </c>
      <c r="M32" s="31">
        <f>IF($A32="","",IFERROR(SUMPRODUCT((Loan_Input!$A$3:$A$272=$A32)*Loan_Input!$AE$3:$AE$272*Loan_Input!$H$3:$H$272)/SUMIF(Loan_Input!$A$3:$A$272,$A32,Loan_Input!$H$3:$H$272),""))</f>
        <v/>
      </c>
      <c r="N32" s="31">
        <f>IF($A32="","",IFERROR(SUMPRODUCT((Loan_Input!$A$3:$A$272=$A32)*Loan_Input!$AF$3:$AF$272*Loan_Input!$H$3:$H$272)/SUMIF(Loan_Input!$A$3:$A$272,$A32,Loan_Input!$H$3:$H$272),""))</f>
        <v/>
      </c>
      <c r="O32" s="27">
        <f>IF($A32="","",IFERROR(SUMPRODUCT((Loan_Input!$A$3:$A$272=$A32)*Loan_Input!$BX$3:$BX$272*Loan_Input!$H$3:$H$272)/SUMIF(Loan_Input!$A$3:$A$272,$A32,Loan_Input!$H$3:$H$272),""))</f>
        <v/>
      </c>
      <c r="P32" s="27">
        <f>IF($A32="","",IFERROR(SUMPRODUCT((Loan_Input!$A$3:$A$272=$A32)*Loan_Input!$BY$3:$BY$272*Loan_Input!$H$3:$H$272)/SUMIF(Loan_Input!$A$3:$A$272,$A32,Loan_Input!$H$3:$H$272),""))</f>
        <v/>
      </c>
      <c r="Q32" s="27">
        <f>IF($A32="","",IFERROR(SUMPRODUCT((Loan_Input!$A$3:$A$272=$A32)*Loan_Input!$BZ$3:$BZ$272*Loan_Input!$H$3:$H$272)/SUMIF(Loan_Input!$A$3:$A$272,$A32,Loan_Input!$H$3:$H$272),""))</f>
        <v/>
      </c>
      <c r="R32" s="27">
        <f>IF($A32="","",IFERROR(SUMPRODUCT((Loan_Input!$A$3:$A$272=$A32)*Loan_Input!$CA$3:$CA$272*Loan_Input!$H$3:$H$272)/SUMIF(Loan_Input!$A$3:$A$272,$A32,Loan_Input!$H$3:$H$272),""))</f>
        <v/>
      </c>
      <c r="S32" s="27">
        <f>IF($A32="","",IFERROR(SUMPRODUCT((Loan_Input!$A$3:$A$272=$A32)*Loan_Input!$CB$3:$CB$272*Loan_Input!$H$3:$H$272)/SUMIF(Loan_Input!$A$3:$A$272,$A32,Loan_Input!$H$3:$H$272),""))</f>
        <v/>
      </c>
      <c r="T32" s="27">
        <f>IF($A32="","",IFERROR(SUMPRODUCT((Loan_Input!$A$3:$A$272=$A32)*Loan_Input!$CC$3:$CC$272*Loan_Input!$H$3:$H$272)/SUMIF(Loan_Input!$A$3:$A$272,$A32,Loan_Input!$H$3:$H$272),""))</f>
        <v/>
      </c>
      <c r="U32" s="27">
        <f>IF($A32="","",IFERROR(SUMPRODUCT((Loan_Input!$A$3:$A$272=$A32)*Loan_Input!$CD$3:$CD$272*Loan_Input!$H$3:$H$272)/SUMIF(Loan_Input!$A$3:$A$272,$A32,Loan_Input!$H$3:$H$272),""))</f>
        <v/>
      </c>
      <c r="V32" s="27">
        <f>IF($A32="","",IFERROR(SUMPRODUCT((Loan_Input!$A$3:$A$272=$A32)*Loan_Input!$CE$3:$CE$272*Loan_Input!$H$3:$H$272)/SUMIF(Loan_Input!$A$3:$A$272,$A32,Loan_Input!$H$3:$H$272),""))</f>
        <v/>
      </c>
      <c r="W32" s="27">
        <f>IF($A32="","",IFERROR(SUMPRODUCT((Loan_Input!$A$3:$A$272=$A32)*Loan_Input!$CF$3:$CF$272*Loan_Input!$H$3:$H$272)/SUMIF(Loan_Input!$A$3:$A$272,$A32,Loan_Input!$H$3:$H$272),""))</f>
        <v/>
      </c>
      <c r="X32" s="27">
        <f>IF($A32="","",IFERROR(SUMPRODUCT((Loan_Input!$A$3:$A$272=$A32)*Loan_Input!$CG$3:$CG$272*Loan_Input!$H$3:$H$272)/SUMIF(Loan_Input!$A$3:$A$272,$A32,Loan_Input!$H$3:$H$272),""))</f>
        <v/>
      </c>
      <c r="Y32" s="27">
        <f>IF($A32="","",IFERROR(SUMPRODUCT((Loan_Input!$A$3:$A$272=$A32)*Loan_Input!$CH$3:$CH$272*Loan_Input!$H$3:$H$272)/SUMIF(Loan_Input!$A$3:$A$272,$A32,Loan_Input!$H$3:$H$272),""))</f>
        <v/>
      </c>
      <c r="Z32" s="27">
        <f>IF($A32="","",IFERROR(SUMPRODUCT((Loan_Input!$A$3:$A$272=$A32)*Loan_Input!$CI$3:$CI$272*Loan_Input!$H$3:$H$272)/SUMIF(Loan_Input!$A$3:$A$272,$A32,Loan_Input!$H$3:$H$272),""))</f>
        <v/>
      </c>
      <c r="AA32" s="27">
        <f>IF($A32="","",IFERROR(SUMPRODUCT((Loan_Input!$A$3:$A$272=$A32)*Loan_Input!$CJ$3:$CJ$272*Loan_Input!$H$3:$H$272)/SUMIF(Loan_Input!$A$3:$A$272,$A32,Loan_Input!$H$3:$H$272),""))</f>
        <v/>
      </c>
      <c r="AB32" s="31">
        <f>IF($A32="","",IFERROR(SUMPRODUCT((Loan_Input!$A$3:$A$272=$A32)*Loan_Input!$AQ$3:$AQ$272*Loan_Input!$H$3:$H$272)/SUMIF(Loan_Input!$A$3:$A$272,$A32,Loan_Input!$H$3:$H$272),""))</f>
        <v/>
      </c>
      <c r="AC32" s="31">
        <f>IF($A32="","",IFERROR(SUMPRODUCT((Loan_Input!$A$3:$A$272=$A32)*Loan_Input!$AW$3:$AW$272*Loan_Input!$H$3:$H$272)/SUMIF(Loan_Input!$A$3:$A$272,$A32,Loan_Input!$H$3:$H$272),""))</f>
        <v/>
      </c>
      <c r="AD32" s="31">
        <f>IF($A32="","",IFERROR(SUMPRODUCT((Loan_Input!$A$3:$A$272=$A32)*Loan_Input!$AU$3:$AU$272*Loan_Input!$H$3:$H$272)/SUMIF(Loan_Input!$A$3:$A$272,$A32,Loan_Input!$H$3:$H$272),""))</f>
        <v/>
      </c>
      <c r="AE32" s="31">
        <f>IF($A32="","",IFERROR(SUMPRODUCT((Loan_Input!$A$3:$A$272=$A32)*(Loan_Input!$AO$3:$AO$272="223f")*Loan_Input!$H$3:$H$272)/SUMIF(Loan_Input!$A$3:$A$272,$A32,Loan_Input!$H$3:$H$272),""))</f>
        <v/>
      </c>
      <c r="AF32" s="31">
        <f>IF($A32="","",IFERROR(SUMPRODUCT((Loan_Input!$A$3:$A$272=$A32)*Loan_Input!$AV$3:$AV$272*Loan_Input!$H$3:$H$272)/SUMIF(Loan_Input!$A$3:$A$272,$A32,Loan_Input!$H$3:$H$272),""))</f>
        <v/>
      </c>
      <c r="AG32" s="31">
        <f>IF($A32="","",IFERROR(SUMPRODUCT((Loan_Input!$A$3:$A$272=$A32)*Loan_Input!$AX$3:$AX$272*Loan_Input!$H$3:$H$272)/SUMIF(Loan_Input!$A$3:$A$272,$A32,Loan_Input!$H$3:$H$272),""))</f>
        <v/>
      </c>
      <c r="AH32" s="31">
        <f>IF($A32="","",IFERROR(SUMPRODUCT((Loan_Input!$A$3:$A$272=$A32)*(Loan_Input!$AR$3:$AR$272+Loan_Input!$AS$3:$AS$272)*Loan_Input!$H$3:$H$272)/SUMIF(Loan_Input!$A$3:$A$272,$A32,Loan_Input!$H$3:$H$272),""))</f>
        <v/>
      </c>
    </row>
    <row r="33">
      <c r="B33">
        <f>IF($A33="","",COUNTIF(Loan_Input!$A$3:$A$272,$A33))</f>
        <v/>
      </c>
      <c r="C33" s="26">
        <f>IF($A33="","",SUMIF(Loan_Input!$A$3:$A$272,$A33,Loan_Input!$H$3:$H$272)/1000000)</f>
        <v/>
      </c>
      <c r="D33" s="27">
        <f>IF($A33="","",IFERROR(SUMPRODUCT((Loan_Input!$A$3:$A$272=$A33)*Loan_Input!$BV$3:$BV$272*Loan_Input!$H$3:$H$272)/SUMIF(Loan_Input!$A$3:$A$272,$A33,Loan_Input!$H$3:$H$272),""))</f>
        <v/>
      </c>
      <c r="E33" s="27">
        <f>IF($A33="","",IFERROR(SUMPRODUCT((Loan_Input!$A$3:$A$272=$A33)*Loan_Input!$BW$3:$BW$272*Loan_Input!$H$3:$H$272)/SUMIF(Loan_Input!$A$3:$A$272,$A33,Loan_Input!$H$3:$H$272),""))</f>
        <v/>
      </c>
      <c r="F33" s="28">
        <f>IF($A33="","",IFERROR(SUMPRODUCT((Loan_Input!$A$3:$A$272=$A33)*Loan_Input!$AA$3:$AA$272*Loan_Input!$H$3:$H$272)/SUMIF(Loan_Input!$A$3:$A$272,$A33,Loan_Input!$H$3:$H$272),""))</f>
        <v/>
      </c>
      <c r="G33" s="29">
        <f>IF($A33="","",IFERROR(SUMPRODUCT((Loan_Input!$A$3:$A$272=$A33)*Loan_Input!$G$3:$G$272*Loan_Input!$H$3:$H$272)/SUMIF(Loan_Input!$A$3:$A$272,$A33,Loan_Input!$H$3:$H$272),""))</f>
        <v/>
      </c>
      <c r="H33" s="30">
        <f>IF($A33="","",IFERROR(SUMPRODUCT((Loan_Input!$A$3:$A$272=$A33)*Loan_Input!$AM$3:$AM$272*Loan_Input!$H$3:$H$272)/SUMIF(Loan_Input!$A$3:$A$272,$A33,Loan_Input!$H$3:$H$272),""))</f>
        <v/>
      </c>
      <c r="I33" s="27">
        <f>IF($A33="","",IFERROR(SUMPRODUCT((Loan_Input!$A$3:$A$272=$A33)*Loan_Input!$AK$3:$AK$272*Loan_Input!$H$3:$H$272)/SUMIF(Loan_Input!$A$3:$A$272,$A33,Loan_Input!$H$3:$H$272),""))</f>
        <v/>
      </c>
      <c r="J33" s="30">
        <f>IF($A33="","",IFERROR(SUMPRODUCT((Loan_Input!$A$3:$A$272=$A33)*Loan_Input!$AI$3:$AI$272*Loan_Input!$H$3:$H$272)/SUMIF(Loan_Input!$A$3:$A$272,$A33,Loan_Input!$H$3:$H$272),""))</f>
        <v/>
      </c>
      <c r="K33" s="27">
        <f>IF($A33="","",IFERROR(SUMPRODUCT((Loan_Input!$A$3:$A$272=$A33)*Loan_Input!$AN$3:$AN$272*Loan_Input!$H$3:$H$272)/SUMIF(Loan_Input!$A$3:$A$272,$A33,Loan_Input!$H$3:$H$272),""))</f>
        <v/>
      </c>
      <c r="L33" s="31">
        <f>IF($A33="","",IFERROR(SUMPRODUCT((Loan_Input!$A$3:$A$272=$A33)*Loan_Input!$AD$3:$AD$272*Loan_Input!$H$3:$H$272)/SUMIF(Loan_Input!$A$3:$A$272,$A33,Loan_Input!$H$3:$H$272),""))</f>
        <v/>
      </c>
      <c r="M33" s="31">
        <f>IF($A33="","",IFERROR(SUMPRODUCT((Loan_Input!$A$3:$A$272=$A33)*Loan_Input!$AE$3:$AE$272*Loan_Input!$H$3:$H$272)/SUMIF(Loan_Input!$A$3:$A$272,$A33,Loan_Input!$H$3:$H$272),""))</f>
        <v/>
      </c>
      <c r="N33" s="31">
        <f>IF($A33="","",IFERROR(SUMPRODUCT((Loan_Input!$A$3:$A$272=$A33)*Loan_Input!$AF$3:$AF$272*Loan_Input!$H$3:$H$272)/SUMIF(Loan_Input!$A$3:$A$272,$A33,Loan_Input!$H$3:$H$272),""))</f>
        <v/>
      </c>
      <c r="O33" s="27">
        <f>IF($A33="","",IFERROR(SUMPRODUCT((Loan_Input!$A$3:$A$272=$A33)*Loan_Input!$BX$3:$BX$272*Loan_Input!$H$3:$H$272)/SUMIF(Loan_Input!$A$3:$A$272,$A33,Loan_Input!$H$3:$H$272),""))</f>
        <v/>
      </c>
      <c r="P33" s="27">
        <f>IF($A33="","",IFERROR(SUMPRODUCT((Loan_Input!$A$3:$A$272=$A33)*Loan_Input!$BY$3:$BY$272*Loan_Input!$H$3:$H$272)/SUMIF(Loan_Input!$A$3:$A$272,$A33,Loan_Input!$H$3:$H$272),""))</f>
        <v/>
      </c>
      <c r="Q33" s="27">
        <f>IF($A33="","",IFERROR(SUMPRODUCT((Loan_Input!$A$3:$A$272=$A33)*Loan_Input!$BZ$3:$BZ$272*Loan_Input!$H$3:$H$272)/SUMIF(Loan_Input!$A$3:$A$272,$A33,Loan_Input!$H$3:$H$272),""))</f>
        <v/>
      </c>
      <c r="R33" s="27">
        <f>IF($A33="","",IFERROR(SUMPRODUCT((Loan_Input!$A$3:$A$272=$A33)*Loan_Input!$CA$3:$CA$272*Loan_Input!$H$3:$H$272)/SUMIF(Loan_Input!$A$3:$A$272,$A33,Loan_Input!$H$3:$H$272),""))</f>
        <v/>
      </c>
      <c r="S33" s="27">
        <f>IF($A33="","",IFERROR(SUMPRODUCT((Loan_Input!$A$3:$A$272=$A33)*Loan_Input!$CB$3:$CB$272*Loan_Input!$H$3:$H$272)/SUMIF(Loan_Input!$A$3:$A$272,$A33,Loan_Input!$H$3:$H$272),""))</f>
        <v/>
      </c>
      <c r="T33" s="27">
        <f>IF($A33="","",IFERROR(SUMPRODUCT((Loan_Input!$A$3:$A$272=$A33)*Loan_Input!$CC$3:$CC$272*Loan_Input!$H$3:$H$272)/SUMIF(Loan_Input!$A$3:$A$272,$A33,Loan_Input!$H$3:$H$272),""))</f>
        <v/>
      </c>
      <c r="U33" s="27">
        <f>IF($A33="","",IFERROR(SUMPRODUCT((Loan_Input!$A$3:$A$272=$A33)*Loan_Input!$CD$3:$CD$272*Loan_Input!$H$3:$H$272)/SUMIF(Loan_Input!$A$3:$A$272,$A33,Loan_Input!$H$3:$H$272),""))</f>
        <v/>
      </c>
      <c r="V33" s="27">
        <f>IF($A33="","",IFERROR(SUMPRODUCT((Loan_Input!$A$3:$A$272=$A33)*Loan_Input!$CE$3:$CE$272*Loan_Input!$H$3:$H$272)/SUMIF(Loan_Input!$A$3:$A$272,$A33,Loan_Input!$H$3:$H$272),""))</f>
        <v/>
      </c>
      <c r="W33" s="27">
        <f>IF($A33="","",IFERROR(SUMPRODUCT((Loan_Input!$A$3:$A$272=$A33)*Loan_Input!$CF$3:$CF$272*Loan_Input!$H$3:$H$272)/SUMIF(Loan_Input!$A$3:$A$272,$A33,Loan_Input!$H$3:$H$272),""))</f>
        <v/>
      </c>
      <c r="X33" s="27">
        <f>IF($A33="","",IFERROR(SUMPRODUCT((Loan_Input!$A$3:$A$272=$A33)*Loan_Input!$CG$3:$CG$272*Loan_Input!$H$3:$H$272)/SUMIF(Loan_Input!$A$3:$A$272,$A33,Loan_Input!$H$3:$H$272),""))</f>
        <v/>
      </c>
      <c r="Y33" s="27">
        <f>IF($A33="","",IFERROR(SUMPRODUCT((Loan_Input!$A$3:$A$272=$A33)*Loan_Input!$CH$3:$CH$272*Loan_Input!$H$3:$H$272)/SUMIF(Loan_Input!$A$3:$A$272,$A33,Loan_Input!$H$3:$H$272),""))</f>
        <v/>
      </c>
      <c r="Z33" s="27">
        <f>IF($A33="","",IFERROR(SUMPRODUCT((Loan_Input!$A$3:$A$272=$A33)*Loan_Input!$CI$3:$CI$272*Loan_Input!$H$3:$H$272)/SUMIF(Loan_Input!$A$3:$A$272,$A33,Loan_Input!$H$3:$H$272),""))</f>
        <v/>
      </c>
      <c r="AA33" s="27">
        <f>IF($A33="","",IFERROR(SUMPRODUCT((Loan_Input!$A$3:$A$272=$A33)*Loan_Input!$CJ$3:$CJ$272*Loan_Input!$H$3:$H$272)/SUMIF(Loan_Input!$A$3:$A$272,$A33,Loan_Input!$H$3:$H$272),""))</f>
        <v/>
      </c>
      <c r="AB33" s="31">
        <f>IF($A33="","",IFERROR(SUMPRODUCT((Loan_Input!$A$3:$A$272=$A33)*Loan_Input!$AQ$3:$AQ$272*Loan_Input!$H$3:$H$272)/SUMIF(Loan_Input!$A$3:$A$272,$A33,Loan_Input!$H$3:$H$272),""))</f>
        <v/>
      </c>
      <c r="AC33" s="31">
        <f>IF($A33="","",IFERROR(SUMPRODUCT((Loan_Input!$A$3:$A$272=$A33)*Loan_Input!$AW$3:$AW$272*Loan_Input!$H$3:$H$272)/SUMIF(Loan_Input!$A$3:$A$272,$A33,Loan_Input!$H$3:$H$272),""))</f>
        <v/>
      </c>
      <c r="AD33" s="31">
        <f>IF($A33="","",IFERROR(SUMPRODUCT((Loan_Input!$A$3:$A$272=$A33)*Loan_Input!$AU$3:$AU$272*Loan_Input!$H$3:$H$272)/SUMIF(Loan_Input!$A$3:$A$272,$A33,Loan_Input!$H$3:$H$272),""))</f>
        <v/>
      </c>
      <c r="AE33" s="31">
        <f>IF($A33="","",IFERROR(SUMPRODUCT((Loan_Input!$A$3:$A$272=$A33)*(Loan_Input!$AO$3:$AO$272="223f")*Loan_Input!$H$3:$H$272)/SUMIF(Loan_Input!$A$3:$A$272,$A33,Loan_Input!$H$3:$H$272),""))</f>
        <v/>
      </c>
      <c r="AF33" s="31">
        <f>IF($A33="","",IFERROR(SUMPRODUCT((Loan_Input!$A$3:$A$272=$A33)*Loan_Input!$AV$3:$AV$272*Loan_Input!$H$3:$H$272)/SUMIF(Loan_Input!$A$3:$A$272,$A33,Loan_Input!$H$3:$H$272),""))</f>
        <v/>
      </c>
      <c r="AG33" s="31">
        <f>IF($A33="","",IFERROR(SUMPRODUCT((Loan_Input!$A$3:$A$272=$A33)*Loan_Input!$AX$3:$AX$272*Loan_Input!$H$3:$H$272)/SUMIF(Loan_Input!$A$3:$A$272,$A33,Loan_Input!$H$3:$H$272),""))</f>
        <v/>
      </c>
      <c r="AH33" s="31">
        <f>IF($A33="","",IFERROR(SUMPRODUCT((Loan_Input!$A$3:$A$272=$A33)*(Loan_Input!$AR$3:$AR$272+Loan_Input!$AS$3:$AS$272)*Loan_Input!$H$3:$H$272)/SUMIF(Loan_Input!$A$3:$A$272,$A33,Loan_Input!$H$3:$H$272),""))</f>
        <v/>
      </c>
    </row>
    <row r="34">
      <c r="B34">
        <f>IF($A34="","",COUNTIF(Loan_Input!$A$3:$A$272,$A34))</f>
        <v/>
      </c>
      <c r="C34" s="26">
        <f>IF($A34="","",SUMIF(Loan_Input!$A$3:$A$272,$A34,Loan_Input!$H$3:$H$272)/1000000)</f>
        <v/>
      </c>
      <c r="D34" s="27">
        <f>IF($A34="","",IFERROR(SUMPRODUCT((Loan_Input!$A$3:$A$272=$A34)*Loan_Input!$BV$3:$BV$272*Loan_Input!$H$3:$H$272)/SUMIF(Loan_Input!$A$3:$A$272,$A34,Loan_Input!$H$3:$H$272),""))</f>
        <v/>
      </c>
      <c r="E34" s="27">
        <f>IF($A34="","",IFERROR(SUMPRODUCT((Loan_Input!$A$3:$A$272=$A34)*Loan_Input!$BW$3:$BW$272*Loan_Input!$H$3:$H$272)/SUMIF(Loan_Input!$A$3:$A$272,$A34,Loan_Input!$H$3:$H$272),""))</f>
        <v/>
      </c>
      <c r="F34" s="28">
        <f>IF($A34="","",IFERROR(SUMPRODUCT((Loan_Input!$A$3:$A$272=$A34)*Loan_Input!$AA$3:$AA$272*Loan_Input!$H$3:$H$272)/SUMIF(Loan_Input!$A$3:$A$272,$A34,Loan_Input!$H$3:$H$272),""))</f>
        <v/>
      </c>
      <c r="G34" s="29">
        <f>IF($A34="","",IFERROR(SUMPRODUCT((Loan_Input!$A$3:$A$272=$A34)*Loan_Input!$G$3:$G$272*Loan_Input!$H$3:$H$272)/SUMIF(Loan_Input!$A$3:$A$272,$A34,Loan_Input!$H$3:$H$272),""))</f>
        <v/>
      </c>
      <c r="H34" s="30">
        <f>IF($A34="","",IFERROR(SUMPRODUCT((Loan_Input!$A$3:$A$272=$A34)*Loan_Input!$AM$3:$AM$272*Loan_Input!$H$3:$H$272)/SUMIF(Loan_Input!$A$3:$A$272,$A34,Loan_Input!$H$3:$H$272),""))</f>
        <v/>
      </c>
      <c r="I34" s="27">
        <f>IF($A34="","",IFERROR(SUMPRODUCT((Loan_Input!$A$3:$A$272=$A34)*Loan_Input!$AK$3:$AK$272*Loan_Input!$H$3:$H$272)/SUMIF(Loan_Input!$A$3:$A$272,$A34,Loan_Input!$H$3:$H$272),""))</f>
        <v/>
      </c>
      <c r="J34" s="30">
        <f>IF($A34="","",IFERROR(SUMPRODUCT((Loan_Input!$A$3:$A$272=$A34)*Loan_Input!$AI$3:$AI$272*Loan_Input!$H$3:$H$272)/SUMIF(Loan_Input!$A$3:$A$272,$A34,Loan_Input!$H$3:$H$272),""))</f>
        <v/>
      </c>
      <c r="K34" s="27">
        <f>IF($A34="","",IFERROR(SUMPRODUCT((Loan_Input!$A$3:$A$272=$A34)*Loan_Input!$AN$3:$AN$272*Loan_Input!$H$3:$H$272)/SUMIF(Loan_Input!$A$3:$A$272,$A34,Loan_Input!$H$3:$H$272),""))</f>
        <v/>
      </c>
      <c r="L34" s="31">
        <f>IF($A34="","",IFERROR(SUMPRODUCT((Loan_Input!$A$3:$A$272=$A34)*Loan_Input!$AD$3:$AD$272*Loan_Input!$H$3:$H$272)/SUMIF(Loan_Input!$A$3:$A$272,$A34,Loan_Input!$H$3:$H$272),""))</f>
        <v/>
      </c>
      <c r="M34" s="31">
        <f>IF($A34="","",IFERROR(SUMPRODUCT((Loan_Input!$A$3:$A$272=$A34)*Loan_Input!$AE$3:$AE$272*Loan_Input!$H$3:$H$272)/SUMIF(Loan_Input!$A$3:$A$272,$A34,Loan_Input!$H$3:$H$272),""))</f>
        <v/>
      </c>
      <c r="N34" s="31">
        <f>IF($A34="","",IFERROR(SUMPRODUCT((Loan_Input!$A$3:$A$272=$A34)*Loan_Input!$AF$3:$AF$272*Loan_Input!$H$3:$H$272)/SUMIF(Loan_Input!$A$3:$A$272,$A34,Loan_Input!$H$3:$H$272),""))</f>
        <v/>
      </c>
      <c r="O34" s="27">
        <f>IF($A34="","",IFERROR(SUMPRODUCT((Loan_Input!$A$3:$A$272=$A34)*Loan_Input!$BX$3:$BX$272*Loan_Input!$H$3:$H$272)/SUMIF(Loan_Input!$A$3:$A$272,$A34,Loan_Input!$H$3:$H$272),""))</f>
        <v/>
      </c>
      <c r="P34" s="27">
        <f>IF($A34="","",IFERROR(SUMPRODUCT((Loan_Input!$A$3:$A$272=$A34)*Loan_Input!$BY$3:$BY$272*Loan_Input!$H$3:$H$272)/SUMIF(Loan_Input!$A$3:$A$272,$A34,Loan_Input!$H$3:$H$272),""))</f>
        <v/>
      </c>
      <c r="Q34" s="27">
        <f>IF($A34="","",IFERROR(SUMPRODUCT((Loan_Input!$A$3:$A$272=$A34)*Loan_Input!$BZ$3:$BZ$272*Loan_Input!$H$3:$H$272)/SUMIF(Loan_Input!$A$3:$A$272,$A34,Loan_Input!$H$3:$H$272),""))</f>
        <v/>
      </c>
      <c r="R34" s="27">
        <f>IF($A34="","",IFERROR(SUMPRODUCT((Loan_Input!$A$3:$A$272=$A34)*Loan_Input!$CA$3:$CA$272*Loan_Input!$H$3:$H$272)/SUMIF(Loan_Input!$A$3:$A$272,$A34,Loan_Input!$H$3:$H$272),""))</f>
        <v/>
      </c>
      <c r="S34" s="27">
        <f>IF($A34="","",IFERROR(SUMPRODUCT((Loan_Input!$A$3:$A$272=$A34)*Loan_Input!$CB$3:$CB$272*Loan_Input!$H$3:$H$272)/SUMIF(Loan_Input!$A$3:$A$272,$A34,Loan_Input!$H$3:$H$272),""))</f>
        <v/>
      </c>
      <c r="T34" s="27">
        <f>IF($A34="","",IFERROR(SUMPRODUCT((Loan_Input!$A$3:$A$272=$A34)*Loan_Input!$CC$3:$CC$272*Loan_Input!$H$3:$H$272)/SUMIF(Loan_Input!$A$3:$A$272,$A34,Loan_Input!$H$3:$H$272),""))</f>
        <v/>
      </c>
      <c r="U34" s="27">
        <f>IF($A34="","",IFERROR(SUMPRODUCT((Loan_Input!$A$3:$A$272=$A34)*Loan_Input!$CD$3:$CD$272*Loan_Input!$H$3:$H$272)/SUMIF(Loan_Input!$A$3:$A$272,$A34,Loan_Input!$H$3:$H$272),""))</f>
        <v/>
      </c>
      <c r="V34" s="27">
        <f>IF($A34="","",IFERROR(SUMPRODUCT((Loan_Input!$A$3:$A$272=$A34)*Loan_Input!$CE$3:$CE$272*Loan_Input!$H$3:$H$272)/SUMIF(Loan_Input!$A$3:$A$272,$A34,Loan_Input!$H$3:$H$272),""))</f>
        <v/>
      </c>
      <c r="W34" s="27">
        <f>IF($A34="","",IFERROR(SUMPRODUCT((Loan_Input!$A$3:$A$272=$A34)*Loan_Input!$CF$3:$CF$272*Loan_Input!$H$3:$H$272)/SUMIF(Loan_Input!$A$3:$A$272,$A34,Loan_Input!$H$3:$H$272),""))</f>
        <v/>
      </c>
      <c r="X34" s="27">
        <f>IF($A34="","",IFERROR(SUMPRODUCT((Loan_Input!$A$3:$A$272=$A34)*Loan_Input!$CG$3:$CG$272*Loan_Input!$H$3:$H$272)/SUMIF(Loan_Input!$A$3:$A$272,$A34,Loan_Input!$H$3:$H$272),""))</f>
        <v/>
      </c>
      <c r="Y34" s="27">
        <f>IF($A34="","",IFERROR(SUMPRODUCT((Loan_Input!$A$3:$A$272=$A34)*Loan_Input!$CH$3:$CH$272*Loan_Input!$H$3:$H$272)/SUMIF(Loan_Input!$A$3:$A$272,$A34,Loan_Input!$H$3:$H$272),""))</f>
        <v/>
      </c>
      <c r="Z34" s="27">
        <f>IF($A34="","",IFERROR(SUMPRODUCT((Loan_Input!$A$3:$A$272=$A34)*Loan_Input!$CI$3:$CI$272*Loan_Input!$H$3:$H$272)/SUMIF(Loan_Input!$A$3:$A$272,$A34,Loan_Input!$H$3:$H$272),""))</f>
        <v/>
      </c>
      <c r="AA34" s="27">
        <f>IF($A34="","",IFERROR(SUMPRODUCT((Loan_Input!$A$3:$A$272=$A34)*Loan_Input!$CJ$3:$CJ$272*Loan_Input!$H$3:$H$272)/SUMIF(Loan_Input!$A$3:$A$272,$A34,Loan_Input!$H$3:$H$272),""))</f>
        <v/>
      </c>
      <c r="AB34" s="31">
        <f>IF($A34="","",IFERROR(SUMPRODUCT((Loan_Input!$A$3:$A$272=$A34)*Loan_Input!$AQ$3:$AQ$272*Loan_Input!$H$3:$H$272)/SUMIF(Loan_Input!$A$3:$A$272,$A34,Loan_Input!$H$3:$H$272),""))</f>
        <v/>
      </c>
      <c r="AC34" s="31">
        <f>IF($A34="","",IFERROR(SUMPRODUCT((Loan_Input!$A$3:$A$272=$A34)*Loan_Input!$AW$3:$AW$272*Loan_Input!$H$3:$H$272)/SUMIF(Loan_Input!$A$3:$A$272,$A34,Loan_Input!$H$3:$H$272),""))</f>
        <v/>
      </c>
      <c r="AD34" s="31">
        <f>IF($A34="","",IFERROR(SUMPRODUCT((Loan_Input!$A$3:$A$272=$A34)*Loan_Input!$AU$3:$AU$272*Loan_Input!$H$3:$H$272)/SUMIF(Loan_Input!$A$3:$A$272,$A34,Loan_Input!$H$3:$H$272),""))</f>
        <v/>
      </c>
      <c r="AE34" s="31">
        <f>IF($A34="","",IFERROR(SUMPRODUCT((Loan_Input!$A$3:$A$272=$A34)*(Loan_Input!$AO$3:$AO$272="223f")*Loan_Input!$H$3:$H$272)/SUMIF(Loan_Input!$A$3:$A$272,$A34,Loan_Input!$H$3:$H$272),""))</f>
        <v/>
      </c>
      <c r="AF34" s="31">
        <f>IF($A34="","",IFERROR(SUMPRODUCT((Loan_Input!$A$3:$A$272=$A34)*Loan_Input!$AV$3:$AV$272*Loan_Input!$H$3:$H$272)/SUMIF(Loan_Input!$A$3:$A$272,$A34,Loan_Input!$H$3:$H$272),""))</f>
        <v/>
      </c>
      <c r="AG34" s="31">
        <f>IF($A34="","",IFERROR(SUMPRODUCT((Loan_Input!$A$3:$A$272=$A34)*Loan_Input!$AX$3:$AX$272*Loan_Input!$H$3:$H$272)/SUMIF(Loan_Input!$A$3:$A$272,$A34,Loan_Input!$H$3:$H$272),""))</f>
        <v/>
      </c>
      <c r="AH34" s="31">
        <f>IF($A34="","",IFERROR(SUMPRODUCT((Loan_Input!$A$3:$A$272=$A34)*(Loan_Input!$AR$3:$AR$272+Loan_Input!$AS$3:$AS$272)*Loan_Input!$H$3:$H$272)/SUMIF(Loan_Input!$A$3:$A$272,$A34,Loan_Input!$H$3:$H$272),""))</f>
        <v/>
      </c>
    </row>
    <row r="35">
      <c r="B35">
        <f>IF($A35="","",COUNTIF(Loan_Input!$A$3:$A$272,$A35))</f>
        <v/>
      </c>
      <c r="C35" s="26">
        <f>IF($A35="","",SUMIF(Loan_Input!$A$3:$A$272,$A35,Loan_Input!$H$3:$H$272)/1000000)</f>
        <v/>
      </c>
      <c r="D35" s="27">
        <f>IF($A35="","",IFERROR(SUMPRODUCT((Loan_Input!$A$3:$A$272=$A35)*Loan_Input!$BV$3:$BV$272*Loan_Input!$H$3:$H$272)/SUMIF(Loan_Input!$A$3:$A$272,$A35,Loan_Input!$H$3:$H$272),""))</f>
        <v/>
      </c>
      <c r="E35" s="27">
        <f>IF($A35="","",IFERROR(SUMPRODUCT((Loan_Input!$A$3:$A$272=$A35)*Loan_Input!$BW$3:$BW$272*Loan_Input!$H$3:$H$272)/SUMIF(Loan_Input!$A$3:$A$272,$A35,Loan_Input!$H$3:$H$272),""))</f>
        <v/>
      </c>
      <c r="F35" s="28">
        <f>IF($A35="","",IFERROR(SUMPRODUCT((Loan_Input!$A$3:$A$272=$A35)*Loan_Input!$AA$3:$AA$272*Loan_Input!$H$3:$H$272)/SUMIF(Loan_Input!$A$3:$A$272,$A35,Loan_Input!$H$3:$H$272),""))</f>
        <v/>
      </c>
      <c r="G35" s="29">
        <f>IF($A35="","",IFERROR(SUMPRODUCT((Loan_Input!$A$3:$A$272=$A35)*Loan_Input!$G$3:$G$272*Loan_Input!$H$3:$H$272)/SUMIF(Loan_Input!$A$3:$A$272,$A35,Loan_Input!$H$3:$H$272),""))</f>
        <v/>
      </c>
      <c r="H35" s="30">
        <f>IF($A35="","",IFERROR(SUMPRODUCT((Loan_Input!$A$3:$A$272=$A35)*Loan_Input!$AM$3:$AM$272*Loan_Input!$H$3:$H$272)/SUMIF(Loan_Input!$A$3:$A$272,$A35,Loan_Input!$H$3:$H$272),""))</f>
        <v/>
      </c>
      <c r="I35" s="27">
        <f>IF($A35="","",IFERROR(SUMPRODUCT((Loan_Input!$A$3:$A$272=$A35)*Loan_Input!$AK$3:$AK$272*Loan_Input!$H$3:$H$272)/SUMIF(Loan_Input!$A$3:$A$272,$A35,Loan_Input!$H$3:$H$272),""))</f>
        <v/>
      </c>
      <c r="J35" s="30">
        <f>IF($A35="","",IFERROR(SUMPRODUCT((Loan_Input!$A$3:$A$272=$A35)*Loan_Input!$AI$3:$AI$272*Loan_Input!$H$3:$H$272)/SUMIF(Loan_Input!$A$3:$A$272,$A35,Loan_Input!$H$3:$H$272),""))</f>
        <v/>
      </c>
      <c r="K35" s="27">
        <f>IF($A35="","",IFERROR(SUMPRODUCT((Loan_Input!$A$3:$A$272=$A35)*Loan_Input!$AN$3:$AN$272*Loan_Input!$H$3:$H$272)/SUMIF(Loan_Input!$A$3:$A$272,$A35,Loan_Input!$H$3:$H$272),""))</f>
        <v/>
      </c>
      <c r="L35" s="31">
        <f>IF($A35="","",IFERROR(SUMPRODUCT((Loan_Input!$A$3:$A$272=$A35)*Loan_Input!$AD$3:$AD$272*Loan_Input!$H$3:$H$272)/SUMIF(Loan_Input!$A$3:$A$272,$A35,Loan_Input!$H$3:$H$272),""))</f>
        <v/>
      </c>
      <c r="M35" s="31">
        <f>IF($A35="","",IFERROR(SUMPRODUCT((Loan_Input!$A$3:$A$272=$A35)*Loan_Input!$AE$3:$AE$272*Loan_Input!$H$3:$H$272)/SUMIF(Loan_Input!$A$3:$A$272,$A35,Loan_Input!$H$3:$H$272),""))</f>
        <v/>
      </c>
      <c r="N35" s="31">
        <f>IF($A35="","",IFERROR(SUMPRODUCT((Loan_Input!$A$3:$A$272=$A35)*Loan_Input!$AF$3:$AF$272*Loan_Input!$H$3:$H$272)/SUMIF(Loan_Input!$A$3:$A$272,$A35,Loan_Input!$H$3:$H$272),""))</f>
        <v/>
      </c>
      <c r="O35" s="27">
        <f>IF($A35="","",IFERROR(SUMPRODUCT((Loan_Input!$A$3:$A$272=$A35)*Loan_Input!$BX$3:$BX$272*Loan_Input!$H$3:$H$272)/SUMIF(Loan_Input!$A$3:$A$272,$A35,Loan_Input!$H$3:$H$272),""))</f>
        <v/>
      </c>
      <c r="P35" s="27">
        <f>IF($A35="","",IFERROR(SUMPRODUCT((Loan_Input!$A$3:$A$272=$A35)*Loan_Input!$BY$3:$BY$272*Loan_Input!$H$3:$H$272)/SUMIF(Loan_Input!$A$3:$A$272,$A35,Loan_Input!$H$3:$H$272),""))</f>
        <v/>
      </c>
      <c r="Q35" s="27">
        <f>IF($A35="","",IFERROR(SUMPRODUCT((Loan_Input!$A$3:$A$272=$A35)*Loan_Input!$BZ$3:$BZ$272*Loan_Input!$H$3:$H$272)/SUMIF(Loan_Input!$A$3:$A$272,$A35,Loan_Input!$H$3:$H$272),""))</f>
        <v/>
      </c>
      <c r="R35" s="27">
        <f>IF($A35="","",IFERROR(SUMPRODUCT((Loan_Input!$A$3:$A$272=$A35)*Loan_Input!$CA$3:$CA$272*Loan_Input!$H$3:$H$272)/SUMIF(Loan_Input!$A$3:$A$272,$A35,Loan_Input!$H$3:$H$272),""))</f>
        <v/>
      </c>
      <c r="S35" s="27">
        <f>IF($A35="","",IFERROR(SUMPRODUCT((Loan_Input!$A$3:$A$272=$A35)*Loan_Input!$CB$3:$CB$272*Loan_Input!$H$3:$H$272)/SUMIF(Loan_Input!$A$3:$A$272,$A35,Loan_Input!$H$3:$H$272),""))</f>
        <v/>
      </c>
      <c r="T35" s="27">
        <f>IF($A35="","",IFERROR(SUMPRODUCT((Loan_Input!$A$3:$A$272=$A35)*Loan_Input!$CC$3:$CC$272*Loan_Input!$H$3:$H$272)/SUMIF(Loan_Input!$A$3:$A$272,$A35,Loan_Input!$H$3:$H$272),""))</f>
        <v/>
      </c>
      <c r="U35" s="27">
        <f>IF($A35="","",IFERROR(SUMPRODUCT((Loan_Input!$A$3:$A$272=$A35)*Loan_Input!$CD$3:$CD$272*Loan_Input!$H$3:$H$272)/SUMIF(Loan_Input!$A$3:$A$272,$A35,Loan_Input!$H$3:$H$272),""))</f>
        <v/>
      </c>
      <c r="V35" s="27">
        <f>IF($A35="","",IFERROR(SUMPRODUCT((Loan_Input!$A$3:$A$272=$A35)*Loan_Input!$CE$3:$CE$272*Loan_Input!$H$3:$H$272)/SUMIF(Loan_Input!$A$3:$A$272,$A35,Loan_Input!$H$3:$H$272),""))</f>
        <v/>
      </c>
      <c r="W35" s="27">
        <f>IF($A35="","",IFERROR(SUMPRODUCT((Loan_Input!$A$3:$A$272=$A35)*Loan_Input!$CF$3:$CF$272*Loan_Input!$H$3:$H$272)/SUMIF(Loan_Input!$A$3:$A$272,$A35,Loan_Input!$H$3:$H$272),""))</f>
        <v/>
      </c>
      <c r="X35" s="27">
        <f>IF($A35="","",IFERROR(SUMPRODUCT((Loan_Input!$A$3:$A$272=$A35)*Loan_Input!$CG$3:$CG$272*Loan_Input!$H$3:$H$272)/SUMIF(Loan_Input!$A$3:$A$272,$A35,Loan_Input!$H$3:$H$272),""))</f>
        <v/>
      </c>
      <c r="Y35" s="27">
        <f>IF($A35="","",IFERROR(SUMPRODUCT((Loan_Input!$A$3:$A$272=$A35)*Loan_Input!$CH$3:$CH$272*Loan_Input!$H$3:$H$272)/SUMIF(Loan_Input!$A$3:$A$272,$A35,Loan_Input!$H$3:$H$272),""))</f>
        <v/>
      </c>
      <c r="Z35" s="27">
        <f>IF($A35="","",IFERROR(SUMPRODUCT((Loan_Input!$A$3:$A$272=$A35)*Loan_Input!$CI$3:$CI$272*Loan_Input!$H$3:$H$272)/SUMIF(Loan_Input!$A$3:$A$272,$A35,Loan_Input!$H$3:$H$272),""))</f>
        <v/>
      </c>
      <c r="AA35" s="27">
        <f>IF($A35="","",IFERROR(SUMPRODUCT((Loan_Input!$A$3:$A$272=$A35)*Loan_Input!$CJ$3:$CJ$272*Loan_Input!$H$3:$H$272)/SUMIF(Loan_Input!$A$3:$A$272,$A35,Loan_Input!$H$3:$H$272),""))</f>
        <v/>
      </c>
      <c r="AB35" s="31">
        <f>IF($A35="","",IFERROR(SUMPRODUCT((Loan_Input!$A$3:$A$272=$A35)*Loan_Input!$AQ$3:$AQ$272*Loan_Input!$H$3:$H$272)/SUMIF(Loan_Input!$A$3:$A$272,$A35,Loan_Input!$H$3:$H$272),""))</f>
        <v/>
      </c>
      <c r="AC35" s="31">
        <f>IF($A35="","",IFERROR(SUMPRODUCT((Loan_Input!$A$3:$A$272=$A35)*Loan_Input!$AW$3:$AW$272*Loan_Input!$H$3:$H$272)/SUMIF(Loan_Input!$A$3:$A$272,$A35,Loan_Input!$H$3:$H$272),""))</f>
        <v/>
      </c>
      <c r="AD35" s="31">
        <f>IF($A35="","",IFERROR(SUMPRODUCT((Loan_Input!$A$3:$A$272=$A35)*Loan_Input!$AU$3:$AU$272*Loan_Input!$H$3:$H$272)/SUMIF(Loan_Input!$A$3:$A$272,$A35,Loan_Input!$H$3:$H$272),""))</f>
        <v/>
      </c>
      <c r="AE35" s="31">
        <f>IF($A35="","",IFERROR(SUMPRODUCT((Loan_Input!$A$3:$A$272=$A35)*(Loan_Input!$AO$3:$AO$272="223f")*Loan_Input!$H$3:$H$272)/SUMIF(Loan_Input!$A$3:$A$272,$A35,Loan_Input!$H$3:$H$272),""))</f>
        <v/>
      </c>
      <c r="AF35" s="31">
        <f>IF($A35="","",IFERROR(SUMPRODUCT((Loan_Input!$A$3:$A$272=$A35)*Loan_Input!$AV$3:$AV$272*Loan_Input!$H$3:$H$272)/SUMIF(Loan_Input!$A$3:$A$272,$A35,Loan_Input!$H$3:$H$272),""))</f>
        <v/>
      </c>
      <c r="AG35" s="31">
        <f>IF($A35="","",IFERROR(SUMPRODUCT((Loan_Input!$A$3:$A$272=$A35)*Loan_Input!$AX$3:$AX$272*Loan_Input!$H$3:$H$272)/SUMIF(Loan_Input!$A$3:$A$272,$A35,Loan_Input!$H$3:$H$272),""))</f>
        <v/>
      </c>
      <c r="AH35" s="31">
        <f>IF($A35="","",IFERROR(SUMPRODUCT((Loan_Input!$A$3:$A$272=$A35)*(Loan_Input!$AR$3:$AR$272+Loan_Input!$AS$3:$AS$272)*Loan_Input!$H$3:$H$272)/SUMIF(Loan_Input!$A$3:$A$272,$A35,Loan_Input!$H$3:$H$272),""))</f>
        <v/>
      </c>
    </row>
    <row r="36">
      <c r="B36">
        <f>IF($A36="","",COUNTIF(Loan_Input!$A$3:$A$272,$A36))</f>
        <v/>
      </c>
      <c r="C36" s="26">
        <f>IF($A36="","",SUMIF(Loan_Input!$A$3:$A$272,$A36,Loan_Input!$H$3:$H$272)/1000000)</f>
        <v/>
      </c>
      <c r="D36" s="27">
        <f>IF($A36="","",IFERROR(SUMPRODUCT((Loan_Input!$A$3:$A$272=$A36)*Loan_Input!$BV$3:$BV$272*Loan_Input!$H$3:$H$272)/SUMIF(Loan_Input!$A$3:$A$272,$A36,Loan_Input!$H$3:$H$272),""))</f>
        <v/>
      </c>
      <c r="E36" s="27">
        <f>IF($A36="","",IFERROR(SUMPRODUCT((Loan_Input!$A$3:$A$272=$A36)*Loan_Input!$BW$3:$BW$272*Loan_Input!$H$3:$H$272)/SUMIF(Loan_Input!$A$3:$A$272,$A36,Loan_Input!$H$3:$H$272),""))</f>
        <v/>
      </c>
      <c r="F36" s="28">
        <f>IF($A36="","",IFERROR(SUMPRODUCT((Loan_Input!$A$3:$A$272=$A36)*Loan_Input!$AA$3:$AA$272*Loan_Input!$H$3:$H$272)/SUMIF(Loan_Input!$A$3:$A$272,$A36,Loan_Input!$H$3:$H$272),""))</f>
        <v/>
      </c>
      <c r="G36" s="29">
        <f>IF($A36="","",IFERROR(SUMPRODUCT((Loan_Input!$A$3:$A$272=$A36)*Loan_Input!$G$3:$G$272*Loan_Input!$H$3:$H$272)/SUMIF(Loan_Input!$A$3:$A$272,$A36,Loan_Input!$H$3:$H$272),""))</f>
        <v/>
      </c>
      <c r="H36" s="30">
        <f>IF($A36="","",IFERROR(SUMPRODUCT((Loan_Input!$A$3:$A$272=$A36)*Loan_Input!$AM$3:$AM$272*Loan_Input!$H$3:$H$272)/SUMIF(Loan_Input!$A$3:$A$272,$A36,Loan_Input!$H$3:$H$272),""))</f>
        <v/>
      </c>
      <c r="I36" s="27">
        <f>IF($A36="","",IFERROR(SUMPRODUCT((Loan_Input!$A$3:$A$272=$A36)*Loan_Input!$AK$3:$AK$272*Loan_Input!$H$3:$H$272)/SUMIF(Loan_Input!$A$3:$A$272,$A36,Loan_Input!$H$3:$H$272),""))</f>
        <v/>
      </c>
      <c r="J36" s="30">
        <f>IF($A36="","",IFERROR(SUMPRODUCT((Loan_Input!$A$3:$A$272=$A36)*Loan_Input!$AI$3:$AI$272*Loan_Input!$H$3:$H$272)/SUMIF(Loan_Input!$A$3:$A$272,$A36,Loan_Input!$H$3:$H$272),""))</f>
        <v/>
      </c>
      <c r="K36" s="27">
        <f>IF($A36="","",IFERROR(SUMPRODUCT((Loan_Input!$A$3:$A$272=$A36)*Loan_Input!$AN$3:$AN$272*Loan_Input!$H$3:$H$272)/SUMIF(Loan_Input!$A$3:$A$272,$A36,Loan_Input!$H$3:$H$272),""))</f>
        <v/>
      </c>
      <c r="L36" s="31">
        <f>IF($A36="","",IFERROR(SUMPRODUCT((Loan_Input!$A$3:$A$272=$A36)*Loan_Input!$AD$3:$AD$272*Loan_Input!$H$3:$H$272)/SUMIF(Loan_Input!$A$3:$A$272,$A36,Loan_Input!$H$3:$H$272),""))</f>
        <v/>
      </c>
      <c r="M36" s="31">
        <f>IF($A36="","",IFERROR(SUMPRODUCT((Loan_Input!$A$3:$A$272=$A36)*Loan_Input!$AE$3:$AE$272*Loan_Input!$H$3:$H$272)/SUMIF(Loan_Input!$A$3:$A$272,$A36,Loan_Input!$H$3:$H$272),""))</f>
        <v/>
      </c>
      <c r="N36" s="31">
        <f>IF($A36="","",IFERROR(SUMPRODUCT((Loan_Input!$A$3:$A$272=$A36)*Loan_Input!$AF$3:$AF$272*Loan_Input!$H$3:$H$272)/SUMIF(Loan_Input!$A$3:$A$272,$A36,Loan_Input!$H$3:$H$272),""))</f>
        <v/>
      </c>
      <c r="O36" s="27">
        <f>IF($A36="","",IFERROR(SUMPRODUCT((Loan_Input!$A$3:$A$272=$A36)*Loan_Input!$BX$3:$BX$272*Loan_Input!$H$3:$H$272)/SUMIF(Loan_Input!$A$3:$A$272,$A36,Loan_Input!$H$3:$H$272),""))</f>
        <v/>
      </c>
      <c r="P36" s="27">
        <f>IF($A36="","",IFERROR(SUMPRODUCT((Loan_Input!$A$3:$A$272=$A36)*Loan_Input!$BY$3:$BY$272*Loan_Input!$H$3:$H$272)/SUMIF(Loan_Input!$A$3:$A$272,$A36,Loan_Input!$H$3:$H$272),""))</f>
        <v/>
      </c>
      <c r="Q36" s="27">
        <f>IF($A36="","",IFERROR(SUMPRODUCT((Loan_Input!$A$3:$A$272=$A36)*Loan_Input!$BZ$3:$BZ$272*Loan_Input!$H$3:$H$272)/SUMIF(Loan_Input!$A$3:$A$272,$A36,Loan_Input!$H$3:$H$272),""))</f>
        <v/>
      </c>
      <c r="R36" s="27">
        <f>IF($A36="","",IFERROR(SUMPRODUCT((Loan_Input!$A$3:$A$272=$A36)*Loan_Input!$CA$3:$CA$272*Loan_Input!$H$3:$H$272)/SUMIF(Loan_Input!$A$3:$A$272,$A36,Loan_Input!$H$3:$H$272),""))</f>
        <v/>
      </c>
      <c r="S36" s="27">
        <f>IF($A36="","",IFERROR(SUMPRODUCT((Loan_Input!$A$3:$A$272=$A36)*Loan_Input!$CB$3:$CB$272*Loan_Input!$H$3:$H$272)/SUMIF(Loan_Input!$A$3:$A$272,$A36,Loan_Input!$H$3:$H$272),""))</f>
        <v/>
      </c>
      <c r="T36" s="27">
        <f>IF($A36="","",IFERROR(SUMPRODUCT((Loan_Input!$A$3:$A$272=$A36)*Loan_Input!$CC$3:$CC$272*Loan_Input!$H$3:$H$272)/SUMIF(Loan_Input!$A$3:$A$272,$A36,Loan_Input!$H$3:$H$272),""))</f>
        <v/>
      </c>
      <c r="U36" s="27">
        <f>IF($A36="","",IFERROR(SUMPRODUCT((Loan_Input!$A$3:$A$272=$A36)*Loan_Input!$CD$3:$CD$272*Loan_Input!$H$3:$H$272)/SUMIF(Loan_Input!$A$3:$A$272,$A36,Loan_Input!$H$3:$H$272),""))</f>
        <v/>
      </c>
      <c r="V36" s="27">
        <f>IF($A36="","",IFERROR(SUMPRODUCT((Loan_Input!$A$3:$A$272=$A36)*Loan_Input!$CE$3:$CE$272*Loan_Input!$H$3:$H$272)/SUMIF(Loan_Input!$A$3:$A$272,$A36,Loan_Input!$H$3:$H$272),""))</f>
        <v/>
      </c>
      <c r="W36" s="27">
        <f>IF($A36="","",IFERROR(SUMPRODUCT((Loan_Input!$A$3:$A$272=$A36)*Loan_Input!$CF$3:$CF$272*Loan_Input!$H$3:$H$272)/SUMIF(Loan_Input!$A$3:$A$272,$A36,Loan_Input!$H$3:$H$272),""))</f>
        <v/>
      </c>
      <c r="X36" s="27">
        <f>IF($A36="","",IFERROR(SUMPRODUCT((Loan_Input!$A$3:$A$272=$A36)*Loan_Input!$CG$3:$CG$272*Loan_Input!$H$3:$H$272)/SUMIF(Loan_Input!$A$3:$A$272,$A36,Loan_Input!$H$3:$H$272),""))</f>
        <v/>
      </c>
      <c r="Y36" s="27">
        <f>IF($A36="","",IFERROR(SUMPRODUCT((Loan_Input!$A$3:$A$272=$A36)*Loan_Input!$CH$3:$CH$272*Loan_Input!$H$3:$H$272)/SUMIF(Loan_Input!$A$3:$A$272,$A36,Loan_Input!$H$3:$H$272),""))</f>
        <v/>
      </c>
      <c r="Z36" s="27">
        <f>IF($A36="","",IFERROR(SUMPRODUCT((Loan_Input!$A$3:$A$272=$A36)*Loan_Input!$CI$3:$CI$272*Loan_Input!$H$3:$H$272)/SUMIF(Loan_Input!$A$3:$A$272,$A36,Loan_Input!$H$3:$H$272),""))</f>
        <v/>
      </c>
      <c r="AA36" s="27">
        <f>IF($A36="","",IFERROR(SUMPRODUCT((Loan_Input!$A$3:$A$272=$A36)*Loan_Input!$CJ$3:$CJ$272*Loan_Input!$H$3:$H$272)/SUMIF(Loan_Input!$A$3:$A$272,$A36,Loan_Input!$H$3:$H$272),""))</f>
        <v/>
      </c>
      <c r="AB36" s="31">
        <f>IF($A36="","",IFERROR(SUMPRODUCT((Loan_Input!$A$3:$A$272=$A36)*Loan_Input!$AQ$3:$AQ$272*Loan_Input!$H$3:$H$272)/SUMIF(Loan_Input!$A$3:$A$272,$A36,Loan_Input!$H$3:$H$272),""))</f>
        <v/>
      </c>
      <c r="AC36" s="31">
        <f>IF($A36="","",IFERROR(SUMPRODUCT((Loan_Input!$A$3:$A$272=$A36)*Loan_Input!$AW$3:$AW$272*Loan_Input!$H$3:$H$272)/SUMIF(Loan_Input!$A$3:$A$272,$A36,Loan_Input!$H$3:$H$272),""))</f>
        <v/>
      </c>
      <c r="AD36" s="31">
        <f>IF($A36="","",IFERROR(SUMPRODUCT((Loan_Input!$A$3:$A$272=$A36)*Loan_Input!$AU$3:$AU$272*Loan_Input!$H$3:$H$272)/SUMIF(Loan_Input!$A$3:$A$272,$A36,Loan_Input!$H$3:$H$272),""))</f>
        <v/>
      </c>
      <c r="AE36" s="31">
        <f>IF($A36="","",IFERROR(SUMPRODUCT((Loan_Input!$A$3:$A$272=$A36)*(Loan_Input!$AO$3:$AO$272="223f")*Loan_Input!$H$3:$H$272)/SUMIF(Loan_Input!$A$3:$A$272,$A36,Loan_Input!$H$3:$H$272),""))</f>
        <v/>
      </c>
      <c r="AF36" s="31">
        <f>IF($A36="","",IFERROR(SUMPRODUCT((Loan_Input!$A$3:$A$272=$A36)*Loan_Input!$AV$3:$AV$272*Loan_Input!$H$3:$H$272)/SUMIF(Loan_Input!$A$3:$A$272,$A36,Loan_Input!$H$3:$H$272),""))</f>
        <v/>
      </c>
      <c r="AG36" s="31">
        <f>IF($A36="","",IFERROR(SUMPRODUCT((Loan_Input!$A$3:$A$272=$A36)*Loan_Input!$AX$3:$AX$272*Loan_Input!$H$3:$H$272)/SUMIF(Loan_Input!$A$3:$A$272,$A36,Loan_Input!$H$3:$H$272),""))</f>
        <v/>
      </c>
      <c r="AH36" s="31">
        <f>IF($A36="","",IFERROR(SUMPRODUCT((Loan_Input!$A$3:$A$272=$A36)*(Loan_Input!$AR$3:$AR$272+Loan_Input!$AS$3:$AS$272)*Loan_Input!$H$3:$H$272)/SUMIF(Loan_Input!$A$3:$A$272,$A36,Loan_Input!$H$3:$H$272),""))</f>
        <v/>
      </c>
    </row>
    <row r="37">
      <c r="B37">
        <f>IF($A37="","",COUNTIF(Loan_Input!$A$3:$A$272,$A37))</f>
        <v/>
      </c>
      <c r="C37" s="26">
        <f>IF($A37="","",SUMIF(Loan_Input!$A$3:$A$272,$A37,Loan_Input!$H$3:$H$272)/1000000)</f>
        <v/>
      </c>
      <c r="D37" s="27">
        <f>IF($A37="","",IFERROR(SUMPRODUCT((Loan_Input!$A$3:$A$272=$A37)*Loan_Input!$BV$3:$BV$272*Loan_Input!$H$3:$H$272)/SUMIF(Loan_Input!$A$3:$A$272,$A37,Loan_Input!$H$3:$H$272),""))</f>
        <v/>
      </c>
      <c r="E37" s="27">
        <f>IF($A37="","",IFERROR(SUMPRODUCT((Loan_Input!$A$3:$A$272=$A37)*Loan_Input!$BW$3:$BW$272*Loan_Input!$H$3:$H$272)/SUMIF(Loan_Input!$A$3:$A$272,$A37,Loan_Input!$H$3:$H$272),""))</f>
        <v/>
      </c>
      <c r="F37" s="28">
        <f>IF($A37="","",IFERROR(SUMPRODUCT((Loan_Input!$A$3:$A$272=$A37)*Loan_Input!$AA$3:$AA$272*Loan_Input!$H$3:$H$272)/SUMIF(Loan_Input!$A$3:$A$272,$A37,Loan_Input!$H$3:$H$272),""))</f>
        <v/>
      </c>
      <c r="G37" s="29">
        <f>IF($A37="","",IFERROR(SUMPRODUCT((Loan_Input!$A$3:$A$272=$A37)*Loan_Input!$G$3:$G$272*Loan_Input!$H$3:$H$272)/SUMIF(Loan_Input!$A$3:$A$272,$A37,Loan_Input!$H$3:$H$272),""))</f>
        <v/>
      </c>
      <c r="H37" s="30">
        <f>IF($A37="","",IFERROR(SUMPRODUCT((Loan_Input!$A$3:$A$272=$A37)*Loan_Input!$AM$3:$AM$272*Loan_Input!$H$3:$H$272)/SUMIF(Loan_Input!$A$3:$A$272,$A37,Loan_Input!$H$3:$H$272),""))</f>
        <v/>
      </c>
      <c r="I37" s="27">
        <f>IF($A37="","",IFERROR(SUMPRODUCT((Loan_Input!$A$3:$A$272=$A37)*Loan_Input!$AK$3:$AK$272*Loan_Input!$H$3:$H$272)/SUMIF(Loan_Input!$A$3:$A$272,$A37,Loan_Input!$H$3:$H$272),""))</f>
        <v/>
      </c>
      <c r="J37" s="30">
        <f>IF($A37="","",IFERROR(SUMPRODUCT((Loan_Input!$A$3:$A$272=$A37)*Loan_Input!$AI$3:$AI$272*Loan_Input!$H$3:$H$272)/SUMIF(Loan_Input!$A$3:$A$272,$A37,Loan_Input!$H$3:$H$272),""))</f>
        <v/>
      </c>
      <c r="K37" s="27">
        <f>IF($A37="","",IFERROR(SUMPRODUCT((Loan_Input!$A$3:$A$272=$A37)*Loan_Input!$AN$3:$AN$272*Loan_Input!$H$3:$H$272)/SUMIF(Loan_Input!$A$3:$A$272,$A37,Loan_Input!$H$3:$H$272),""))</f>
        <v/>
      </c>
      <c r="L37" s="31">
        <f>IF($A37="","",IFERROR(SUMPRODUCT((Loan_Input!$A$3:$A$272=$A37)*Loan_Input!$AD$3:$AD$272*Loan_Input!$H$3:$H$272)/SUMIF(Loan_Input!$A$3:$A$272,$A37,Loan_Input!$H$3:$H$272),""))</f>
        <v/>
      </c>
      <c r="M37" s="31">
        <f>IF($A37="","",IFERROR(SUMPRODUCT((Loan_Input!$A$3:$A$272=$A37)*Loan_Input!$AE$3:$AE$272*Loan_Input!$H$3:$H$272)/SUMIF(Loan_Input!$A$3:$A$272,$A37,Loan_Input!$H$3:$H$272),""))</f>
        <v/>
      </c>
      <c r="N37" s="31">
        <f>IF($A37="","",IFERROR(SUMPRODUCT((Loan_Input!$A$3:$A$272=$A37)*Loan_Input!$AF$3:$AF$272*Loan_Input!$H$3:$H$272)/SUMIF(Loan_Input!$A$3:$A$272,$A37,Loan_Input!$H$3:$H$272),""))</f>
        <v/>
      </c>
      <c r="O37" s="27">
        <f>IF($A37="","",IFERROR(SUMPRODUCT((Loan_Input!$A$3:$A$272=$A37)*Loan_Input!$BX$3:$BX$272*Loan_Input!$H$3:$H$272)/SUMIF(Loan_Input!$A$3:$A$272,$A37,Loan_Input!$H$3:$H$272),""))</f>
        <v/>
      </c>
      <c r="P37" s="27">
        <f>IF($A37="","",IFERROR(SUMPRODUCT((Loan_Input!$A$3:$A$272=$A37)*Loan_Input!$BY$3:$BY$272*Loan_Input!$H$3:$H$272)/SUMIF(Loan_Input!$A$3:$A$272,$A37,Loan_Input!$H$3:$H$272),""))</f>
        <v/>
      </c>
      <c r="Q37" s="27">
        <f>IF($A37="","",IFERROR(SUMPRODUCT((Loan_Input!$A$3:$A$272=$A37)*Loan_Input!$BZ$3:$BZ$272*Loan_Input!$H$3:$H$272)/SUMIF(Loan_Input!$A$3:$A$272,$A37,Loan_Input!$H$3:$H$272),""))</f>
        <v/>
      </c>
      <c r="R37" s="27">
        <f>IF($A37="","",IFERROR(SUMPRODUCT((Loan_Input!$A$3:$A$272=$A37)*Loan_Input!$CA$3:$CA$272*Loan_Input!$H$3:$H$272)/SUMIF(Loan_Input!$A$3:$A$272,$A37,Loan_Input!$H$3:$H$272),""))</f>
        <v/>
      </c>
      <c r="S37" s="27">
        <f>IF($A37="","",IFERROR(SUMPRODUCT((Loan_Input!$A$3:$A$272=$A37)*Loan_Input!$CB$3:$CB$272*Loan_Input!$H$3:$H$272)/SUMIF(Loan_Input!$A$3:$A$272,$A37,Loan_Input!$H$3:$H$272),""))</f>
        <v/>
      </c>
      <c r="T37" s="27">
        <f>IF($A37="","",IFERROR(SUMPRODUCT((Loan_Input!$A$3:$A$272=$A37)*Loan_Input!$CC$3:$CC$272*Loan_Input!$H$3:$H$272)/SUMIF(Loan_Input!$A$3:$A$272,$A37,Loan_Input!$H$3:$H$272),""))</f>
        <v/>
      </c>
      <c r="U37" s="27">
        <f>IF($A37="","",IFERROR(SUMPRODUCT((Loan_Input!$A$3:$A$272=$A37)*Loan_Input!$CD$3:$CD$272*Loan_Input!$H$3:$H$272)/SUMIF(Loan_Input!$A$3:$A$272,$A37,Loan_Input!$H$3:$H$272),""))</f>
        <v/>
      </c>
      <c r="V37" s="27">
        <f>IF($A37="","",IFERROR(SUMPRODUCT((Loan_Input!$A$3:$A$272=$A37)*Loan_Input!$CE$3:$CE$272*Loan_Input!$H$3:$H$272)/SUMIF(Loan_Input!$A$3:$A$272,$A37,Loan_Input!$H$3:$H$272),""))</f>
        <v/>
      </c>
      <c r="W37" s="27">
        <f>IF($A37="","",IFERROR(SUMPRODUCT((Loan_Input!$A$3:$A$272=$A37)*Loan_Input!$CF$3:$CF$272*Loan_Input!$H$3:$H$272)/SUMIF(Loan_Input!$A$3:$A$272,$A37,Loan_Input!$H$3:$H$272),""))</f>
        <v/>
      </c>
      <c r="X37" s="27">
        <f>IF($A37="","",IFERROR(SUMPRODUCT((Loan_Input!$A$3:$A$272=$A37)*Loan_Input!$CG$3:$CG$272*Loan_Input!$H$3:$H$272)/SUMIF(Loan_Input!$A$3:$A$272,$A37,Loan_Input!$H$3:$H$272),""))</f>
        <v/>
      </c>
      <c r="Y37" s="27">
        <f>IF($A37="","",IFERROR(SUMPRODUCT((Loan_Input!$A$3:$A$272=$A37)*Loan_Input!$CH$3:$CH$272*Loan_Input!$H$3:$H$272)/SUMIF(Loan_Input!$A$3:$A$272,$A37,Loan_Input!$H$3:$H$272),""))</f>
        <v/>
      </c>
      <c r="Z37" s="27">
        <f>IF($A37="","",IFERROR(SUMPRODUCT((Loan_Input!$A$3:$A$272=$A37)*Loan_Input!$CI$3:$CI$272*Loan_Input!$H$3:$H$272)/SUMIF(Loan_Input!$A$3:$A$272,$A37,Loan_Input!$H$3:$H$272),""))</f>
        <v/>
      </c>
      <c r="AA37" s="27">
        <f>IF($A37="","",IFERROR(SUMPRODUCT((Loan_Input!$A$3:$A$272=$A37)*Loan_Input!$CJ$3:$CJ$272*Loan_Input!$H$3:$H$272)/SUMIF(Loan_Input!$A$3:$A$272,$A37,Loan_Input!$H$3:$H$272),""))</f>
        <v/>
      </c>
      <c r="AB37" s="31">
        <f>IF($A37="","",IFERROR(SUMPRODUCT((Loan_Input!$A$3:$A$272=$A37)*Loan_Input!$AQ$3:$AQ$272*Loan_Input!$H$3:$H$272)/SUMIF(Loan_Input!$A$3:$A$272,$A37,Loan_Input!$H$3:$H$272),""))</f>
        <v/>
      </c>
      <c r="AC37" s="31">
        <f>IF($A37="","",IFERROR(SUMPRODUCT((Loan_Input!$A$3:$A$272=$A37)*Loan_Input!$AW$3:$AW$272*Loan_Input!$H$3:$H$272)/SUMIF(Loan_Input!$A$3:$A$272,$A37,Loan_Input!$H$3:$H$272),""))</f>
        <v/>
      </c>
      <c r="AD37" s="31">
        <f>IF($A37="","",IFERROR(SUMPRODUCT((Loan_Input!$A$3:$A$272=$A37)*Loan_Input!$AU$3:$AU$272*Loan_Input!$H$3:$H$272)/SUMIF(Loan_Input!$A$3:$A$272,$A37,Loan_Input!$H$3:$H$272),""))</f>
        <v/>
      </c>
      <c r="AE37" s="31">
        <f>IF($A37="","",IFERROR(SUMPRODUCT((Loan_Input!$A$3:$A$272=$A37)*(Loan_Input!$AO$3:$AO$272="223f")*Loan_Input!$H$3:$H$272)/SUMIF(Loan_Input!$A$3:$A$272,$A37,Loan_Input!$H$3:$H$272),""))</f>
        <v/>
      </c>
      <c r="AF37" s="31">
        <f>IF($A37="","",IFERROR(SUMPRODUCT((Loan_Input!$A$3:$A$272=$A37)*Loan_Input!$AV$3:$AV$272*Loan_Input!$H$3:$H$272)/SUMIF(Loan_Input!$A$3:$A$272,$A37,Loan_Input!$H$3:$H$272),""))</f>
        <v/>
      </c>
      <c r="AG37" s="31">
        <f>IF($A37="","",IFERROR(SUMPRODUCT((Loan_Input!$A$3:$A$272=$A37)*Loan_Input!$AX$3:$AX$272*Loan_Input!$H$3:$H$272)/SUMIF(Loan_Input!$A$3:$A$272,$A37,Loan_Input!$H$3:$H$272),""))</f>
        <v/>
      </c>
      <c r="AH37" s="31">
        <f>IF($A37="","",IFERROR(SUMPRODUCT((Loan_Input!$A$3:$A$272=$A37)*(Loan_Input!$AR$3:$AR$272+Loan_Input!$AS$3:$AS$272)*Loan_Input!$H$3:$H$272)/SUMIF(Loan_Input!$A$3:$A$272,$A37,Loan_Input!$H$3:$H$272),""))</f>
        <v/>
      </c>
    </row>
    <row r="38">
      <c r="B38">
        <f>IF($A38="","",COUNTIF(Loan_Input!$A$3:$A$272,$A38))</f>
        <v/>
      </c>
      <c r="C38" s="26">
        <f>IF($A38="","",SUMIF(Loan_Input!$A$3:$A$272,$A38,Loan_Input!$H$3:$H$272)/1000000)</f>
        <v/>
      </c>
      <c r="D38" s="27">
        <f>IF($A38="","",IFERROR(SUMPRODUCT((Loan_Input!$A$3:$A$272=$A38)*Loan_Input!$BV$3:$BV$272*Loan_Input!$H$3:$H$272)/SUMIF(Loan_Input!$A$3:$A$272,$A38,Loan_Input!$H$3:$H$272),""))</f>
        <v/>
      </c>
      <c r="E38" s="27">
        <f>IF($A38="","",IFERROR(SUMPRODUCT((Loan_Input!$A$3:$A$272=$A38)*Loan_Input!$BW$3:$BW$272*Loan_Input!$H$3:$H$272)/SUMIF(Loan_Input!$A$3:$A$272,$A38,Loan_Input!$H$3:$H$272),""))</f>
        <v/>
      </c>
      <c r="F38" s="28">
        <f>IF($A38="","",IFERROR(SUMPRODUCT((Loan_Input!$A$3:$A$272=$A38)*Loan_Input!$AA$3:$AA$272*Loan_Input!$H$3:$H$272)/SUMIF(Loan_Input!$A$3:$A$272,$A38,Loan_Input!$H$3:$H$272),""))</f>
        <v/>
      </c>
      <c r="G38" s="29">
        <f>IF($A38="","",IFERROR(SUMPRODUCT((Loan_Input!$A$3:$A$272=$A38)*Loan_Input!$G$3:$G$272*Loan_Input!$H$3:$H$272)/SUMIF(Loan_Input!$A$3:$A$272,$A38,Loan_Input!$H$3:$H$272),""))</f>
        <v/>
      </c>
      <c r="H38" s="30">
        <f>IF($A38="","",IFERROR(SUMPRODUCT((Loan_Input!$A$3:$A$272=$A38)*Loan_Input!$AM$3:$AM$272*Loan_Input!$H$3:$H$272)/SUMIF(Loan_Input!$A$3:$A$272,$A38,Loan_Input!$H$3:$H$272),""))</f>
        <v/>
      </c>
      <c r="I38" s="27">
        <f>IF($A38="","",IFERROR(SUMPRODUCT((Loan_Input!$A$3:$A$272=$A38)*Loan_Input!$AK$3:$AK$272*Loan_Input!$H$3:$H$272)/SUMIF(Loan_Input!$A$3:$A$272,$A38,Loan_Input!$H$3:$H$272),""))</f>
        <v/>
      </c>
      <c r="J38" s="30">
        <f>IF($A38="","",IFERROR(SUMPRODUCT((Loan_Input!$A$3:$A$272=$A38)*Loan_Input!$AI$3:$AI$272*Loan_Input!$H$3:$H$272)/SUMIF(Loan_Input!$A$3:$A$272,$A38,Loan_Input!$H$3:$H$272),""))</f>
        <v/>
      </c>
      <c r="K38" s="27">
        <f>IF($A38="","",IFERROR(SUMPRODUCT((Loan_Input!$A$3:$A$272=$A38)*Loan_Input!$AN$3:$AN$272*Loan_Input!$H$3:$H$272)/SUMIF(Loan_Input!$A$3:$A$272,$A38,Loan_Input!$H$3:$H$272),""))</f>
        <v/>
      </c>
      <c r="L38" s="31">
        <f>IF($A38="","",IFERROR(SUMPRODUCT((Loan_Input!$A$3:$A$272=$A38)*Loan_Input!$AD$3:$AD$272*Loan_Input!$H$3:$H$272)/SUMIF(Loan_Input!$A$3:$A$272,$A38,Loan_Input!$H$3:$H$272),""))</f>
        <v/>
      </c>
      <c r="M38" s="31">
        <f>IF($A38="","",IFERROR(SUMPRODUCT((Loan_Input!$A$3:$A$272=$A38)*Loan_Input!$AE$3:$AE$272*Loan_Input!$H$3:$H$272)/SUMIF(Loan_Input!$A$3:$A$272,$A38,Loan_Input!$H$3:$H$272),""))</f>
        <v/>
      </c>
      <c r="N38" s="31">
        <f>IF($A38="","",IFERROR(SUMPRODUCT((Loan_Input!$A$3:$A$272=$A38)*Loan_Input!$AF$3:$AF$272*Loan_Input!$H$3:$H$272)/SUMIF(Loan_Input!$A$3:$A$272,$A38,Loan_Input!$H$3:$H$272),""))</f>
        <v/>
      </c>
      <c r="O38" s="27">
        <f>IF($A38="","",IFERROR(SUMPRODUCT((Loan_Input!$A$3:$A$272=$A38)*Loan_Input!$BX$3:$BX$272*Loan_Input!$H$3:$H$272)/SUMIF(Loan_Input!$A$3:$A$272,$A38,Loan_Input!$H$3:$H$272),""))</f>
        <v/>
      </c>
      <c r="P38" s="27">
        <f>IF($A38="","",IFERROR(SUMPRODUCT((Loan_Input!$A$3:$A$272=$A38)*Loan_Input!$BY$3:$BY$272*Loan_Input!$H$3:$H$272)/SUMIF(Loan_Input!$A$3:$A$272,$A38,Loan_Input!$H$3:$H$272),""))</f>
        <v/>
      </c>
      <c r="Q38" s="27">
        <f>IF($A38="","",IFERROR(SUMPRODUCT((Loan_Input!$A$3:$A$272=$A38)*Loan_Input!$BZ$3:$BZ$272*Loan_Input!$H$3:$H$272)/SUMIF(Loan_Input!$A$3:$A$272,$A38,Loan_Input!$H$3:$H$272),""))</f>
        <v/>
      </c>
      <c r="R38" s="27">
        <f>IF($A38="","",IFERROR(SUMPRODUCT((Loan_Input!$A$3:$A$272=$A38)*Loan_Input!$CA$3:$CA$272*Loan_Input!$H$3:$H$272)/SUMIF(Loan_Input!$A$3:$A$272,$A38,Loan_Input!$H$3:$H$272),""))</f>
        <v/>
      </c>
      <c r="S38" s="27">
        <f>IF($A38="","",IFERROR(SUMPRODUCT((Loan_Input!$A$3:$A$272=$A38)*Loan_Input!$CB$3:$CB$272*Loan_Input!$H$3:$H$272)/SUMIF(Loan_Input!$A$3:$A$272,$A38,Loan_Input!$H$3:$H$272),""))</f>
        <v/>
      </c>
      <c r="T38" s="27">
        <f>IF($A38="","",IFERROR(SUMPRODUCT((Loan_Input!$A$3:$A$272=$A38)*Loan_Input!$CC$3:$CC$272*Loan_Input!$H$3:$H$272)/SUMIF(Loan_Input!$A$3:$A$272,$A38,Loan_Input!$H$3:$H$272),""))</f>
        <v/>
      </c>
      <c r="U38" s="27">
        <f>IF($A38="","",IFERROR(SUMPRODUCT((Loan_Input!$A$3:$A$272=$A38)*Loan_Input!$CD$3:$CD$272*Loan_Input!$H$3:$H$272)/SUMIF(Loan_Input!$A$3:$A$272,$A38,Loan_Input!$H$3:$H$272),""))</f>
        <v/>
      </c>
      <c r="V38" s="27">
        <f>IF($A38="","",IFERROR(SUMPRODUCT((Loan_Input!$A$3:$A$272=$A38)*Loan_Input!$CE$3:$CE$272*Loan_Input!$H$3:$H$272)/SUMIF(Loan_Input!$A$3:$A$272,$A38,Loan_Input!$H$3:$H$272),""))</f>
        <v/>
      </c>
      <c r="W38" s="27">
        <f>IF($A38="","",IFERROR(SUMPRODUCT((Loan_Input!$A$3:$A$272=$A38)*Loan_Input!$CF$3:$CF$272*Loan_Input!$H$3:$H$272)/SUMIF(Loan_Input!$A$3:$A$272,$A38,Loan_Input!$H$3:$H$272),""))</f>
        <v/>
      </c>
      <c r="X38" s="27">
        <f>IF($A38="","",IFERROR(SUMPRODUCT((Loan_Input!$A$3:$A$272=$A38)*Loan_Input!$CG$3:$CG$272*Loan_Input!$H$3:$H$272)/SUMIF(Loan_Input!$A$3:$A$272,$A38,Loan_Input!$H$3:$H$272),""))</f>
        <v/>
      </c>
      <c r="Y38" s="27">
        <f>IF($A38="","",IFERROR(SUMPRODUCT((Loan_Input!$A$3:$A$272=$A38)*Loan_Input!$CH$3:$CH$272*Loan_Input!$H$3:$H$272)/SUMIF(Loan_Input!$A$3:$A$272,$A38,Loan_Input!$H$3:$H$272),""))</f>
        <v/>
      </c>
      <c r="Z38" s="27">
        <f>IF($A38="","",IFERROR(SUMPRODUCT((Loan_Input!$A$3:$A$272=$A38)*Loan_Input!$CI$3:$CI$272*Loan_Input!$H$3:$H$272)/SUMIF(Loan_Input!$A$3:$A$272,$A38,Loan_Input!$H$3:$H$272),""))</f>
        <v/>
      </c>
      <c r="AA38" s="27">
        <f>IF($A38="","",IFERROR(SUMPRODUCT((Loan_Input!$A$3:$A$272=$A38)*Loan_Input!$CJ$3:$CJ$272*Loan_Input!$H$3:$H$272)/SUMIF(Loan_Input!$A$3:$A$272,$A38,Loan_Input!$H$3:$H$272),""))</f>
        <v/>
      </c>
      <c r="AB38" s="31">
        <f>IF($A38="","",IFERROR(SUMPRODUCT((Loan_Input!$A$3:$A$272=$A38)*Loan_Input!$AQ$3:$AQ$272*Loan_Input!$H$3:$H$272)/SUMIF(Loan_Input!$A$3:$A$272,$A38,Loan_Input!$H$3:$H$272),""))</f>
        <v/>
      </c>
      <c r="AC38" s="31">
        <f>IF($A38="","",IFERROR(SUMPRODUCT((Loan_Input!$A$3:$A$272=$A38)*Loan_Input!$AW$3:$AW$272*Loan_Input!$H$3:$H$272)/SUMIF(Loan_Input!$A$3:$A$272,$A38,Loan_Input!$H$3:$H$272),""))</f>
        <v/>
      </c>
      <c r="AD38" s="31">
        <f>IF($A38="","",IFERROR(SUMPRODUCT((Loan_Input!$A$3:$A$272=$A38)*Loan_Input!$AU$3:$AU$272*Loan_Input!$H$3:$H$272)/SUMIF(Loan_Input!$A$3:$A$272,$A38,Loan_Input!$H$3:$H$272),""))</f>
        <v/>
      </c>
      <c r="AE38" s="31">
        <f>IF($A38="","",IFERROR(SUMPRODUCT((Loan_Input!$A$3:$A$272=$A38)*(Loan_Input!$AO$3:$AO$272="223f")*Loan_Input!$H$3:$H$272)/SUMIF(Loan_Input!$A$3:$A$272,$A38,Loan_Input!$H$3:$H$272),""))</f>
        <v/>
      </c>
      <c r="AF38" s="31">
        <f>IF($A38="","",IFERROR(SUMPRODUCT((Loan_Input!$A$3:$A$272=$A38)*Loan_Input!$AV$3:$AV$272*Loan_Input!$H$3:$H$272)/SUMIF(Loan_Input!$A$3:$A$272,$A38,Loan_Input!$H$3:$H$272),""))</f>
        <v/>
      </c>
      <c r="AG38" s="31">
        <f>IF($A38="","",IFERROR(SUMPRODUCT((Loan_Input!$A$3:$A$272=$A38)*Loan_Input!$AX$3:$AX$272*Loan_Input!$H$3:$H$272)/SUMIF(Loan_Input!$A$3:$A$272,$A38,Loan_Input!$H$3:$H$272),""))</f>
        <v/>
      </c>
      <c r="AH38" s="31">
        <f>IF($A38="","",IFERROR(SUMPRODUCT((Loan_Input!$A$3:$A$272=$A38)*(Loan_Input!$AR$3:$AR$272+Loan_Input!$AS$3:$AS$272)*Loan_Input!$H$3:$H$272)/SUMIF(Loan_Input!$A$3:$A$272,$A38,Loan_Input!$H$3:$H$272),""))</f>
        <v/>
      </c>
    </row>
    <row r="39">
      <c r="B39">
        <f>IF($A39="","",COUNTIF(Loan_Input!$A$3:$A$272,$A39))</f>
        <v/>
      </c>
      <c r="C39" s="26">
        <f>IF($A39="","",SUMIF(Loan_Input!$A$3:$A$272,$A39,Loan_Input!$H$3:$H$272)/1000000)</f>
        <v/>
      </c>
      <c r="D39" s="27">
        <f>IF($A39="","",IFERROR(SUMPRODUCT((Loan_Input!$A$3:$A$272=$A39)*Loan_Input!$BV$3:$BV$272*Loan_Input!$H$3:$H$272)/SUMIF(Loan_Input!$A$3:$A$272,$A39,Loan_Input!$H$3:$H$272),""))</f>
        <v/>
      </c>
      <c r="E39" s="27">
        <f>IF($A39="","",IFERROR(SUMPRODUCT((Loan_Input!$A$3:$A$272=$A39)*Loan_Input!$BW$3:$BW$272*Loan_Input!$H$3:$H$272)/SUMIF(Loan_Input!$A$3:$A$272,$A39,Loan_Input!$H$3:$H$272),""))</f>
        <v/>
      </c>
      <c r="F39" s="28">
        <f>IF($A39="","",IFERROR(SUMPRODUCT((Loan_Input!$A$3:$A$272=$A39)*Loan_Input!$AA$3:$AA$272*Loan_Input!$H$3:$H$272)/SUMIF(Loan_Input!$A$3:$A$272,$A39,Loan_Input!$H$3:$H$272),""))</f>
        <v/>
      </c>
      <c r="G39" s="29">
        <f>IF($A39="","",IFERROR(SUMPRODUCT((Loan_Input!$A$3:$A$272=$A39)*Loan_Input!$G$3:$G$272*Loan_Input!$H$3:$H$272)/SUMIF(Loan_Input!$A$3:$A$272,$A39,Loan_Input!$H$3:$H$272),""))</f>
        <v/>
      </c>
      <c r="H39" s="30">
        <f>IF($A39="","",IFERROR(SUMPRODUCT((Loan_Input!$A$3:$A$272=$A39)*Loan_Input!$AM$3:$AM$272*Loan_Input!$H$3:$H$272)/SUMIF(Loan_Input!$A$3:$A$272,$A39,Loan_Input!$H$3:$H$272),""))</f>
        <v/>
      </c>
      <c r="I39" s="27">
        <f>IF($A39="","",IFERROR(SUMPRODUCT((Loan_Input!$A$3:$A$272=$A39)*Loan_Input!$AK$3:$AK$272*Loan_Input!$H$3:$H$272)/SUMIF(Loan_Input!$A$3:$A$272,$A39,Loan_Input!$H$3:$H$272),""))</f>
        <v/>
      </c>
      <c r="J39" s="30">
        <f>IF($A39="","",IFERROR(SUMPRODUCT((Loan_Input!$A$3:$A$272=$A39)*Loan_Input!$AI$3:$AI$272*Loan_Input!$H$3:$H$272)/SUMIF(Loan_Input!$A$3:$A$272,$A39,Loan_Input!$H$3:$H$272),""))</f>
        <v/>
      </c>
      <c r="K39" s="27">
        <f>IF($A39="","",IFERROR(SUMPRODUCT((Loan_Input!$A$3:$A$272=$A39)*Loan_Input!$AN$3:$AN$272*Loan_Input!$H$3:$H$272)/SUMIF(Loan_Input!$A$3:$A$272,$A39,Loan_Input!$H$3:$H$272),""))</f>
        <v/>
      </c>
      <c r="L39" s="31">
        <f>IF($A39="","",IFERROR(SUMPRODUCT((Loan_Input!$A$3:$A$272=$A39)*Loan_Input!$AD$3:$AD$272*Loan_Input!$H$3:$H$272)/SUMIF(Loan_Input!$A$3:$A$272,$A39,Loan_Input!$H$3:$H$272),""))</f>
        <v/>
      </c>
      <c r="M39" s="31">
        <f>IF($A39="","",IFERROR(SUMPRODUCT((Loan_Input!$A$3:$A$272=$A39)*Loan_Input!$AE$3:$AE$272*Loan_Input!$H$3:$H$272)/SUMIF(Loan_Input!$A$3:$A$272,$A39,Loan_Input!$H$3:$H$272),""))</f>
        <v/>
      </c>
      <c r="N39" s="31">
        <f>IF($A39="","",IFERROR(SUMPRODUCT((Loan_Input!$A$3:$A$272=$A39)*Loan_Input!$AF$3:$AF$272*Loan_Input!$H$3:$H$272)/SUMIF(Loan_Input!$A$3:$A$272,$A39,Loan_Input!$H$3:$H$272),""))</f>
        <v/>
      </c>
      <c r="O39" s="27">
        <f>IF($A39="","",IFERROR(SUMPRODUCT((Loan_Input!$A$3:$A$272=$A39)*Loan_Input!$BX$3:$BX$272*Loan_Input!$H$3:$H$272)/SUMIF(Loan_Input!$A$3:$A$272,$A39,Loan_Input!$H$3:$H$272),""))</f>
        <v/>
      </c>
      <c r="P39" s="27">
        <f>IF($A39="","",IFERROR(SUMPRODUCT((Loan_Input!$A$3:$A$272=$A39)*Loan_Input!$BY$3:$BY$272*Loan_Input!$H$3:$H$272)/SUMIF(Loan_Input!$A$3:$A$272,$A39,Loan_Input!$H$3:$H$272),""))</f>
        <v/>
      </c>
      <c r="Q39" s="27">
        <f>IF($A39="","",IFERROR(SUMPRODUCT((Loan_Input!$A$3:$A$272=$A39)*Loan_Input!$BZ$3:$BZ$272*Loan_Input!$H$3:$H$272)/SUMIF(Loan_Input!$A$3:$A$272,$A39,Loan_Input!$H$3:$H$272),""))</f>
        <v/>
      </c>
      <c r="R39" s="27">
        <f>IF($A39="","",IFERROR(SUMPRODUCT((Loan_Input!$A$3:$A$272=$A39)*Loan_Input!$CA$3:$CA$272*Loan_Input!$H$3:$H$272)/SUMIF(Loan_Input!$A$3:$A$272,$A39,Loan_Input!$H$3:$H$272),""))</f>
        <v/>
      </c>
      <c r="S39" s="27">
        <f>IF($A39="","",IFERROR(SUMPRODUCT((Loan_Input!$A$3:$A$272=$A39)*Loan_Input!$CB$3:$CB$272*Loan_Input!$H$3:$H$272)/SUMIF(Loan_Input!$A$3:$A$272,$A39,Loan_Input!$H$3:$H$272),""))</f>
        <v/>
      </c>
      <c r="T39" s="27">
        <f>IF($A39="","",IFERROR(SUMPRODUCT((Loan_Input!$A$3:$A$272=$A39)*Loan_Input!$CC$3:$CC$272*Loan_Input!$H$3:$H$272)/SUMIF(Loan_Input!$A$3:$A$272,$A39,Loan_Input!$H$3:$H$272),""))</f>
        <v/>
      </c>
      <c r="U39" s="27">
        <f>IF($A39="","",IFERROR(SUMPRODUCT((Loan_Input!$A$3:$A$272=$A39)*Loan_Input!$CD$3:$CD$272*Loan_Input!$H$3:$H$272)/SUMIF(Loan_Input!$A$3:$A$272,$A39,Loan_Input!$H$3:$H$272),""))</f>
        <v/>
      </c>
      <c r="V39" s="27">
        <f>IF($A39="","",IFERROR(SUMPRODUCT((Loan_Input!$A$3:$A$272=$A39)*Loan_Input!$CE$3:$CE$272*Loan_Input!$H$3:$H$272)/SUMIF(Loan_Input!$A$3:$A$272,$A39,Loan_Input!$H$3:$H$272),""))</f>
        <v/>
      </c>
      <c r="W39" s="27">
        <f>IF($A39="","",IFERROR(SUMPRODUCT((Loan_Input!$A$3:$A$272=$A39)*Loan_Input!$CF$3:$CF$272*Loan_Input!$H$3:$H$272)/SUMIF(Loan_Input!$A$3:$A$272,$A39,Loan_Input!$H$3:$H$272),""))</f>
        <v/>
      </c>
      <c r="X39" s="27">
        <f>IF($A39="","",IFERROR(SUMPRODUCT((Loan_Input!$A$3:$A$272=$A39)*Loan_Input!$CG$3:$CG$272*Loan_Input!$H$3:$H$272)/SUMIF(Loan_Input!$A$3:$A$272,$A39,Loan_Input!$H$3:$H$272),""))</f>
        <v/>
      </c>
      <c r="Y39" s="27">
        <f>IF($A39="","",IFERROR(SUMPRODUCT((Loan_Input!$A$3:$A$272=$A39)*Loan_Input!$CH$3:$CH$272*Loan_Input!$H$3:$H$272)/SUMIF(Loan_Input!$A$3:$A$272,$A39,Loan_Input!$H$3:$H$272),""))</f>
        <v/>
      </c>
      <c r="Z39" s="27">
        <f>IF($A39="","",IFERROR(SUMPRODUCT((Loan_Input!$A$3:$A$272=$A39)*Loan_Input!$CI$3:$CI$272*Loan_Input!$H$3:$H$272)/SUMIF(Loan_Input!$A$3:$A$272,$A39,Loan_Input!$H$3:$H$272),""))</f>
        <v/>
      </c>
      <c r="AA39" s="27">
        <f>IF($A39="","",IFERROR(SUMPRODUCT((Loan_Input!$A$3:$A$272=$A39)*Loan_Input!$CJ$3:$CJ$272*Loan_Input!$H$3:$H$272)/SUMIF(Loan_Input!$A$3:$A$272,$A39,Loan_Input!$H$3:$H$272),""))</f>
        <v/>
      </c>
      <c r="AB39" s="31">
        <f>IF($A39="","",IFERROR(SUMPRODUCT((Loan_Input!$A$3:$A$272=$A39)*Loan_Input!$AQ$3:$AQ$272*Loan_Input!$H$3:$H$272)/SUMIF(Loan_Input!$A$3:$A$272,$A39,Loan_Input!$H$3:$H$272),""))</f>
        <v/>
      </c>
      <c r="AC39" s="31">
        <f>IF($A39="","",IFERROR(SUMPRODUCT((Loan_Input!$A$3:$A$272=$A39)*Loan_Input!$AW$3:$AW$272*Loan_Input!$H$3:$H$272)/SUMIF(Loan_Input!$A$3:$A$272,$A39,Loan_Input!$H$3:$H$272),""))</f>
        <v/>
      </c>
      <c r="AD39" s="31">
        <f>IF($A39="","",IFERROR(SUMPRODUCT((Loan_Input!$A$3:$A$272=$A39)*Loan_Input!$AU$3:$AU$272*Loan_Input!$H$3:$H$272)/SUMIF(Loan_Input!$A$3:$A$272,$A39,Loan_Input!$H$3:$H$272),""))</f>
        <v/>
      </c>
      <c r="AE39" s="31">
        <f>IF($A39="","",IFERROR(SUMPRODUCT((Loan_Input!$A$3:$A$272=$A39)*(Loan_Input!$AO$3:$AO$272="223f")*Loan_Input!$H$3:$H$272)/SUMIF(Loan_Input!$A$3:$A$272,$A39,Loan_Input!$H$3:$H$272),""))</f>
        <v/>
      </c>
      <c r="AF39" s="31">
        <f>IF($A39="","",IFERROR(SUMPRODUCT((Loan_Input!$A$3:$A$272=$A39)*Loan_Input!$AV$3:$AV$272*Loan_Input!$H$3:$H$272)/SUMIF(Loan_Input!$A$3:$A$272,$A39,Loan_Input!$H$3:$H$272),""))</f>
        <v/>
      </c>
      <c r="AG39" s="31">
        <f>IF($A39="","",IFERROR(SUMPRODUCT((Loan_Input!$A$3:$A$272=$A39)*Loan_Input!$AX$3:$AX$272*Loan_Input!$H$3:$H$272)/SUMIF(Loan_Input!$A$3:$A$272,$A39,Loan_Input!$H$3:$H$272),""))</f>
        <v/>
      </c>
      <c r="AH39" s="31">
        <f>IF($A39="","",IFERROR(SUMPRODUCT((Loan_Input!$A$3:$A$272=$A39)*(Loan_Input!$AR$3:$AR$272+Loan_Input!$AS$3:$AS$272)*Loan_Input!$H$3:$H$272)/SUMIF(Loan_Input!$A$3:$A$272,$A39,Loan_Input!$H$3:$H$272),""))</f>
        <v/>
      </c>
    </row>
    <row r="40">
      <c r="B40">
        <f>IF($A40="","",COUNTIF(Loan_Input!$A$3:$A$272,$A40))</f>
        <v/>
      </c>
      <c r="C40" s="26">
        <f>IF($A40="","",SUMIF(Loan_Input!$A$3:$A$272,$A40,Loan_Input!$H$3:$H$272)/1000000)</f>
        <v/>
      </c>
      <c r="D40" s="27">
        <f>IF($A40="","",IFERROR(SUMPRODUCT((Loan_Input!$A$3:$A$272=$A40)*Loan_Input!$BV$3:$BV$272*Loan_Input!$H$3:$H$272)/SUMIF(Loan_Input!$A$3:$A$272,$A40,Loan_Input!$H$3:$H$272),""))</f>
        <v/>
      </c>
      <c r="E40" s="27">
        <f>IF($A40="","",IFERROR(SUMPRODUCT((Loan_Input!$A$3:$A$272=$A40)*Loan_Input!$BW$3:$BW$272*Loan_Input!$H$3:$H$272)/SUMIF(Loan_Input!$A$3:$A$272,$A40,Loan_Input!$H$3:$H$272),""))</f>
        <v/>
      </c>
      <c r="F40" s="28">
        <f>IF($A40="","",IFERROR(SUMPRODUCT((Loan_Input!$A$3:$A$272=$A40)*Loan_Input!$AA$3:$AA$272*Loan_Input!$H$3:$H$272)/SUMIF(Loan_Input!$A$3:$A$272,$A40,Loan_Input!$H$3:$H$272),""))</f>
        <v/>
      </c>
      <c r="G40" s="29">
        <f>IF($A40="","",IFERROR(SUMPRODUCT((Loan_Input!$A$3:$A$272=$A40)*Loan_Input!$G$3:$G$272*Loan_Input!$H$3:$H$272)/SUMIF(Loan_Input!$A$3:$A$272,$A40,Loan_Input!$H$3:$H$272),""))</f>
        <v/>
      </c>
      <c r="H40" s="30">
        <f>IF($A40="","",IFERROR(SUMPRODUCT((Loan_Input!$A$3:$A$272=$A40)*Loan_Input!$AM$3:$AM$272*Loan_Input!$H$3:$H$272)/SUMIF(Loan_Input!$A$3:$A$272,$A40,Loan_Input!$H$3:$H$272),""))</f>
        <v/>
      </c>
      <c r="I40" s="27">
        <f>IF($A40="","",IFERROR(SUMPRODUCT((Loan_Input!$A$3:$A$272=$A40)*Loan_Input!$AK$3:$AK$272*Loan_Input!$H$3:$H$272)/SUMIF(Loan_Input!$A$3:$A$272,$A40,Loan_Input!$H$3:$H$272),""))</f>
        <v/>
      </c>
      <c r="J40" s="30">
        <f>IF($A40="","",IFERROR(SUMPRODUCT((Loan_Input!$A$3:$A$272=$A40)*Loan_Input!$AI$3:$AI$272*Loan_Input!$H$3:$H$272)/SUMIF(Loan_Input!$A$3:$A$272,$A40,Loan_Input!$H$3:$H$272),""))</f>
        <v/>
      </c>
      <c r="K40" s="27">
        <f>IF($A40="","",IFERROR(SUMPRODUCT((Loan_Input!$A$3:$A$272=$A40)*Loan_Input!$AN$3:$AN$272*Loan_Input!$H$3:$H$272)/SUMIF(Loan_Input!$A$3:$A$272,$A40,Loan_Input!$H$3:$H$272),""))</f>
        <v/>
      </c>
      <c r="L40" s="31">
        <f>IF($A40="","",IFERROR(SUMPRODUCT((Loan_Input!$A$3:$A$272=$A40)*Loan_Input!$AD$3:$AD$272*Loan_Input!$H$3:$H$272)/SUMIF(Loan_Input!$A$3:$A$272,$A40,Loan_Input!$H$3:$H$272),""))</f>
        <v/>
      </c>
      <c r="M40" s="31">
        <f>IF($A40="","",IFERROR(SUMPRODUCT((Loan_Input!$A$3:$A$272=$A40)*Loan_Input!$AE$3:$AE$272*Loan_Input!$H$3:$H$272)/SUMIF(Loan_Input!$A$3:$A$272,$A40,Loan_Input!$H$3:$H$272),""))</f>
        <v/>
      </c>
      <c r="N40" s="31">
        <f>IF($A40="","",IFERROR(SUMPRODUCT((Loan_Input!$A$3:$A$272=$A40)*Loan_Input!$AF$3:$AF$272*Loan_Input!$H$3:$H$272)/SUMIF(Loan_Input!$A$3:$A$272,$A40,Loan_Input!$H$3:$H$272),""))</f>
        <v/>
      </c>
      <c r="O40" s="27">
        <f>IF($A40="","",IFERROR(SUMPRODUCT((Loan_Input!$A$3:$A$272=$A40)*Loan_Input!$BX$3:$BX$272*Loan_Input!$H$3:$H$272)/SUMIF(Loan_Input!$A$3:$A$272,$A40,Loan_Input!$H$3:$H$272),""))</f>
        <v/>
      </c>
      <c r="P40" s="27">
        <f>IF($A40="","",IFERROR(SUMPRODUCT((Loan_Input!$A$3:$A$272=$A40)*Loan_Input!$BY$3:$BY$272*Loan_Input!$H$3:$H$272)/SUMIF(Loan_Input!$A$3:$A$272,$A40,Loan_Input!$H$3:$H$272),""))</f>
        <v/>
      </c>
      <c r="Q40" s="27">
        <f>IF($A40="","",IFERROR(SUMPRODUCT((Loan_Input!$A$3:$A$272=$A40)*Loan_Input!$BZ$3:$BZ$272*Loan_Input!$H$3:$H$272)/SUMIF(Loan_Input!$A$3:$A$272,$A40,Loan_Input!$H$3:$H$272),""))</f>
        <v/>
      </c>
      <c r="R40" s="27">
        <f>IF($A40="","",IFERROR(SUMPRODUCT((Loan_Input!$A$3:$A$272=$A40)*Loan_Input!$CA$3:$CA$272*Loan_Input!$H$3:$H$272)/SUMIF(Loan_Input!$A$3:$A$272,$A40,Loan_Input!$H$3:$H$272),""))</f>
        <v/>
      </c>
      <c r="S40" s="27">
        <f>IF($A40="","",IFERROR(SUMPRODUCT((Loan_Input!$A$3:$A$272=$A40)*Loan_Input!$CB$3:$CB$272*Loan_Input!$H$3:$H$272)/SUMIF(Loan_Input!$A$3:$A$272,$A40,Loan_Input!$H$3:$H$272),""))</f>
        <v/>
      </c>
      <c r="T40" s="27">
        <f>IF($A40="","",IFERROR(SUMPRODUCT((Loan_Input!$A$3:$A$272=$A40)*Loan_Input!$CC$3:$CC$272*Loan_Input!$H$3:$H$272)/SUMIF(Loan_Input!$A$3:$A$272,$A40,Loan_Input!$H$3:$H$272),""))</f>
        <v/>
      </c>
      <c r="U40" s="27">
        <f>IF($A40="","",IFERROR(SUMPRODUCT((Loan_Input!$A$3:$A$272=$A40)*Loan_Input!$CD$3:$CD$272*Loan_Input!$H$3:$H$272)/SUMIF(Loan_Input!$A$3:$A$272,$A40,Loan_Input!$H$3:$H$272),""))</f>
        <v/>
      </c>
      <c r="V40" s="27">
        <f>IF($A40="","",IFERROR(SUMPRODUCT((Loan_Input!$A$3:$A$272=$A40)*Loan_Input!$CE$3:$CE$272*Loan_Input!$H$3:$H$272)/SUMIF(Loan_Input!$A$3:$A$272,$A40,Loan_Input!$H$3:$H$272),""))</f>
        <v/>
      </c>
      <c r="W40" s="27">
        <f>IF($A40="","",IFERROR(SUMPRODUCT((Loan_Input!$A$3:$A$272=$A40)*Loan_Input!$CF$3:$CF$272*Loan_Input!$H$3:$H$272)/SUMIF(Loan_Input!$A$3:$A$272,$A40,Loan_Input!$H$3:$H$272),""))</f>
        <v/>
      </c>
      <c r="X40" s="27">
        <f>IF($A40="","",IFERROR(SUMPRODUCT((Loan_Input!$A$3:$A$272=$A40)*Loan_Input!$CG$3:$CG$272*Loan_Input!$H$3:$H$272)/SUMIF(Loan_Input!$A$3:$A$272,$A40,Loan_Input!$H$3:$H$272),""))</f>
        <v/>
      </c>
      <c r="Y40" s="27">
        <f>IF($A40="","",IFERROR(SUMPRODUCT((Loan_Input!$A$3:$A$272=$A40)*Loan_Input!$CH$3:$CH$272*Loan_Input!$H$3:$H$272)/SUMIF(Loan_Input!$A$3:$A$272,$A40,Loan_Input!$H$3:$H$272),""))</f>
        <v/>
      </c>
      <c r="Z40" s="27">
        <f>IF($A40="","",IFERROR(SUMPRODUCT((Loan_Input!$A$3:$A$272=$A40)*Loan_Input!$CI$3:$CI$272*Loan_Input!$H$3:$H$272)/SUMIF(Loan_Input!$A$3:$A$272,$A40,Loan_Input!$H$3:$H$272),""))</f>
        <v/>
      </c>
      <c r="AA40" s="27">
        <f>IF($A40="","",IFERROR(SUMPRODUCT((Loan_Input!$A$3:$A$272=$A40)*Loan_Input!$CJ$3:$CJ$272*Loan_Input!$H$3:$H$272)/SUMIF(Loan_Input!$A$3:$A$272,$A40,Loan_Input!$H$3:$H$272),""))</f>
        <v/>
      </c>
      <c r="AB40" s="31">
        <f>IF($A40="","",IFERROR(SUMPRODUCT((Loan_Input!$A$3:$A$272=$A40)*Loan_Input!$AQ$3:$AQ$272*Loan_Input!$H$3:$H$272)/SUMIF(Loan_Input!$A$3:$A$272,$A40,Loan_Input!$H$3:$H$272),""))</f>
        <v/>
      </c>
      <c r="AC40" s="31">
        <f>IF($A40="","",IFERROR(SUMPRODUCT((Loan_Input!$A$3:$A$272=$A40)*Loan_Input!$AW$3:$AW$272*Loan_Input!$H$3:$H$272)/SUMIF(Loan_Input!$A$3:$A$272,$A40,Loan_Input!$H$3:$H$272),""))</f>
        <v/>
      </c>
      <c r="AD40" s="31">
        <f>IF($A40="","",IFERROR(SUMPRODUCT((Loan_Input!$A$3:$A$272=$A40)*Loan_Input!$AU$3:$AU$272*Loan_Input!$H$3:$H$272)/SUMIF(Loan_Input!$A$3:$A$272,$A40,Loan_Input!$H$3:$H$272),""))</f>
        <v/>
      </c>
      <c r="AE40" s="31">
        <f>IF($A40="","",IFERROR(SUMPRODUCT((Loan_Input!$A$3:$A$272=$A40)*(Loan_Input!$AO$3:$AO$272="223f")*Loan_Input!$H$3:$H$272)/SUMIF(Loan_Input!$A$3:$A$272,$A40,Loan_Input!$H$3:$H$272),""))</f>
        <v/>
      </c>
      <c r="AF40" s="31">
        <f>IF($A40="","",IFERROR(SUMPRODUCT((Loan_Input!$A$3:$A$272=$A40)*Loan_Input!$AV$3:$AV$272*Loan_Input!$H$3:$H$272)/SUMIF(Loan_Input!$A$3:$A$272,$A40,Loan_Input!$H$3:$H$272),""))</f>
        <v/>
      </c>
      <c r="AG40" s="31">
        <f>IF($A40="","",IFERROR(SUMPRODUCT((Loan_Input!$A$3:$A$272=$A40)*Loan_Input!$AX$3:$AX$272*Loan_Input!$H$3:$H$272)/SUMIF(Loan_Input!$A$3:$A$272,$A40,Loan_Input!$H$3:$H$272),""))</f>
        <v/>
      </c>
      <c r="AH40" s="31">
        <f>IF($A40="","",IFERROR(SUMPRODUCT((Loan_Input!$A$3:$A$272=$A40)*(Loan_Input!$AR$3:$AR$272+Loan_Input!$AS$3:$AS$272)*Loan_Input!$H$3:$H$272)/SUMIF(Loan_Input!$A$3:$A$272,$A40,Loan_Input!$H$3:$H$272),""))</f>
        <v/>
      </c>
    </row>
    <row r="41">
      <c r="B41">
        <f>IF($A41="","",COUNTIF(Loan_Input!$A$3:$A$272,$A41))</f>
        <v/>
      </c>
      <c r="C41" s="26">
        <f>IF($A41="","",SUMIF(Loan_Input!$A$3:$A$272,$A41,Loan_Input!$H$3:$H$272)/1000000)</f>
        <v/>
      </c>
      <c r="D41" s="27">
        <f>IF($A41="","",IFERROR(SUMPRODUCT((Loan_Input!$A$3:$A$272=$A41)*Loan_Input!$BV$3:$BV$272*Loan_Input!$H$3:$H$272)/SUMIF(Loan_Input!$A$3:$A$272,$A41,Loan_Input!$H$3:$H$272),""))</f>
        <v/>
      </c>
      <c r="E41" s="27">
        <f>IF($A41="","",IFERROR(SUMPRODUCT((Loan_Input!$A$3:$A$272=$A41)*Loan_Input!$BW$3:$BW$272*Loan_Input!$H$3:$H$272)/SUMIF(Loan_Input!$A$3:$A$272,$A41,Loan_Input!$H$3:$H$272),""))</f>
        <v/>
      </c>
      <c r="F41" s="28">
        <f>IF($A41="","",IFERROR(SUMPRODUCT((Loan_Input!$A$3:$A$272=$A41)*Loan_Input!$AA$3:$AA$272*Loan_Input!$H$3:$H$272)/SUMIF(Loan_Input!$A$3:$A$272,$A41,Loan_Input!$H$3:$H$272),""))</f>
        <v/>
      </c>
      <c r="G41" s="29">
        <f>IF($A41="","",IFERROR(SUMPRODUCT((Loan_Input!$A$3:$A$272=$A41)*Loan_Input!$G$3:$G$272*Loan_Input!$H$3:$H$272)/SUMIF(Loan_Input!$A$3:$A$272,$A41,Loan_Input!$H$3:$H$272),""))</f>
        <v/>
      </c>
      <c r="H41" s="30">
        <f>IF($A41="","",IFERROR(SUMPRODUCT((Loan_Input!$A$3:$A$272=$A41)*Loan_Input!$AM$3:$AM$272*Loan_Input!$H$3:$H$272)/SUMIF(Loan_Input!$A$3:$A$272,$A41,Loan_Input!$H$3:$H$272),""))</f>
        <v/>
      </c>
      <c r="I41" s="27">
        <f>IF($A41="","",IFERROR(SUMPRODUCT((Loan_Input!$A$3:$A$272=$A41)*Loan_Input!$AK$3:$AK$272*Loan_Input!$H$3:$H$272)/SUMIF(Loan_Input!$A$3:$A$272,$A41,Loan_Input!$H$3:$H$272),""))</f>
        <v/>
      </c>
      <c r="J41" s="30">
        <f>IF($A41="","",IFERROR(SUMPRODUCT((Loan_Input!$A$3:$A$272=$A41)*Loan_Input!$AI$3:$AI$272*Loan_Input!$H$3:$H$272)/SUMIF(Loan_Input!$A$3:$A$272,$A41,Loan_Input!$H$3:$H$272),""))</f>
        <v/>
      </c>
      <c r="K41" s="27">
        <f>IF($A41="","",IFERROR(SUMPRODUCT((Loan_Input!$A$3:$A$272=$A41)*Loan_Input!$AN$3:$AN$272*Loan_Input!$H$3:$H$272)/SUMIF(Loan_Input!$A$3:$A$272,$A41,Loan_Input!$H$3:$H$272),""))</f>
        <v/>
      </c>
      <c r="L41" s="31">
        <f>IF($A41="","",IFERROR(SUMPRODUCT((Loan_Input!$A$3:$A$272=$A41)*Loan_Input!$AD$3:$AD$272*Loan_Input!$H$3:$H$272)/SUMIF(Loan_Input!$A$3:$A$272,$A41,Loan_Input!$H$3:$H$272),""))</f>
        <v/>
      </c>
      <c r="M41" s="31">
        <f>IF($A41="","",IFERROR(SUMPRODUCT((Loan_Input!$A$3:$A$272=$A41)*Loan_Input!$AE$3:$AE$272*Loan_Input!$H$3:$H$272)/SUMIF(Loan_Input!$A$3:$A$272,$A41,Loan_Input!$H$3:$H$272),""))</f>
        <v/>
      </c>
      <c r="N41" s="31">
        <f>IF($A41="","",IFERROR(SUMPRODUCT((Loan_Input!$A$3:$A$272=$A41)*Loan_Input!$AF$3:$AF$272*Loan_Input!$H$3:$H$272)/SUMIF(Loan_Input!$A$3:$A$272,$A41,Loan_Input!$H$3:$H$272),""))</f>
        <v/>
      </c>
      <c r="O41" s="27">
        <f>IF($A41="","",IFERROR(SUMPRODUCT((Loan_Input!$A$3:$A$272=$A41)*Loan_Input!$BX$3:$BX$272*Loan_Input!$H$3:$H$272)/SUMIF(Loan_Input!$A$3:$A$272,$A41,Loan_Input!$H$3:$H$272),""))</f>
        <v/>
      </c>
      <c r="P41" s="27">
        <f>IF($A41="","",IFERROR(SUMPRODUCT((Loan_Input!$A$3:$A$272=$A41)*Loan_Input!$BY$3:$BY$272*Loan_Input!$H$3:$H$272)/SUMIF(Loan_Input!$A$3:$A$272,$A41,Loan_Input!$H$3:$H$272),""))</f>
        <v/>
      </c>
      <c r="Q41" s="27">
        <f>IF($A41="","",IFERROR(SUMPRODUCT((Loan_Input!$A$3:$A$272=$A41)*Loan_Input!$BZ$3:$BZ$272*Loan_Input!$H$3:$H$272)/SUMIF(Loan_Input!$A$3:$A$272,$A41,Loan_Input!$H$3:$H$272),""))</f>
        <v/>
      </c>
      <c r="R41" s="27">
        <f>IF($A41="","",IFERROR(SUMPRODUCT((Loan_Input!$A$3:$A$272=$A41)*Loan_Input!$CA$3:$CA$272*Loan_Input!$H$3:$H$272)/SUMIF(Loan_Input!$A$3:$A$272,$A41,Loan_Input!$H$3:$H$272),""))</f>
        <v/>
      </c>
      <c r="S41" s="27">
        <f>IF($A41="","",IFERROR(SUMPRODUCT((Loan_Input!$A$3:$A$272=$A41)*Loan_Input!$CB$3:$CB$272*Loan_Input!$H$3:$H$272)/SUMIF(Loan_Input!$A$3:$A$272,$A41,Loan_Input!$H$3:$H$272),""))</f>
        <v/>
      </c>
      <c r="T41" s="27">
        <f>IF($A41="","",IFERROR(SUMPRODUCT((Loan_Input!$A$3:$A$272=$A41)*Loan_Input!$CC$3:$CC$272*Loan_Input!$H$3:$H$272)/SUMIF(Loan_Input!$A$3:$A$272,$A41,Loan_Input!$H$3:$H$272),""))</f>
        <v/>
      </c>
      <c r="U41" s="27">
        <f>IF($A41="","",IFERROR(SUMPRODUCT((Loan_Input!$A$3:$A$272=$A41)*Loan_Input!$CD$3:$CD$272*Loan_Input!$H$3:$H$272)/SUMIF(Loan_Input!$A$3:$A$272,$A41,Loan_Input!$H$3:$H$272),""))</f>
        <v/>
      </c>
      <c r="V41" s="27">
        <f>IF($A41="","",IFERROR(SUMPRODUCT((Loan_Input!$A$3:$A$272=$A41)*Loan_Input!$CE$3:$CE$272*Loan_Input!$H$3:$H$272)/SUMIF(Loan_Input!$A$3:$A$272,$A41,Loan_Input!$H$3:$H$272),""))</f>
        <v/>
      </c>
      <c r="W41" s="27">
        <f>IF($A41="","",IFERROR(SUMPRODUCT((Loan_Input!$A$3:$A$272=$A41)*Loan_Input!$CF$3:$CF$272*Loan_Input!$H$3:$H$272)/SUMIF(Loan_Input!$A$3:$A$272,$A41,Loan_Input!$H$3:$H$272),""))</f>
        <v/>
      </c>
      <c r="X41" s="27">
        <f>IF($A41="","",IFERROR(SUMPRODUCT((Loan_Input!$A$3:$A$272=$A41)*Loan_Input!$CG$3:$CG$272*Loan_Input!$H$3:$H$272)/SUMIF(Loan_Input!$A$3:$A$272,$A41,Loan_Input!$H$3:$H$272),""))</f>
        <v/>
      </c>
      <c r="Y41" s="27">
        <f>IF($A41="","",IFERROR(SUMPRODUCT((Loan_Input!$A$3:$A$272=$A41)*Loan_Input!$CH$3:$CH$272*Loan_Input!$H$3:$H$272)/SUMIF(Loan_Input!$A$3:$A$272,$A41,Loan_Input!$H$3:$H$272),""))</f>
        <v/>
      </c>
      <c r="Z41" s="27">
        <f>IF($A41="","",IFERROR(SUMPRODUCT((Loan_Input!$A$3:$A$272=$A41)*Loan_Input!$CI$3:$CI$272*Loan_Input!$H$3:$H$272)/SUMIF(Loan_Input!$A$3:$A$272,$A41,Loan_Input!$H$3:$H$272),""))</f>
        <v/>
      </c>
      <c r="AA41" s="27">
        <f>IF($A41="","",IFERROR(SUMPRODUCT((Loan_Input!$A$3:$A$272=$A41)*Loan_Input!$CJ$3:$CJ$272*Loan_Input!$H$3:$H$272)/SUMIF(Loan_Input!$A$3:$A$272,$A41,Loan_Input!$H$3:$H$272),""))</f>
        <v/>
      </c>
      <c r="AB41" s="31">
        <f>IF($A41="","",IFERROR(SUMPRODUCT((Loan_Input!$A$3:$A$272=$A41)*Loan_Input!$AQ$3:$AQ$272*Loan_Input!$H$3:$H$272)/SUMIF(Loan_Input!$A$3:$A$272,$A41,Loan_Input!$H$3:$H$272),""))</f>
        <v/>
      </c>
      <c r="AC41" s="31">
        <f>IF($A41="","",IFERROR(SUMPRODUCT((Loan_Input!$A$3:$A$272=$A41)*Loan_Input!$AW$3:$AW$272*Loan_Input!$H$3:$H$272)/SUMIF(Loan_Input!$A$3:$A$272,$A41,Loan_Input!$H$3:$H$272),""))</f>
        <v/>
      </c>
      <c r="AD41" s="31">
        <f>IF($A41="","",IFERROR(SUMPRODUCT((Loan_Input!$A$3:$A$272=$A41)*Loan_Input!$AU$3:$AU$272*Loan_Input!$H$3:$H$272)/SUMIF(Loan_Input!$A$3:$A$272,$A41,Loan_Input!$H$3:$H$272),""))</f>
        <v/>
      </c>
      <c r="AE41" s="31">
        <f>IF($A41="","",IFERROR(SUMPRODUCT((Loan_Input!$A$3:$A$272=$A41)*(Loan_Input!$AO$3:$AO$272="223f")*Loan_Input!$H$3:$H$272)/SUMIF(Loan_Input!$A$3:$A$272,$A41,Loan_Input!$H$3:$H$272),""))</f>
        <v/>
      </c>
      <c r="AF41" s="31">
        <f>IF($A41="","",IFERROR(SUMPRODUCT((Loan_Input!$A$3:$A$272=$A41)*Loan_Input!$AV$3:$AV$272*Loan_Input!$H$3:$H$272)/SUMIF(Loan_Input!$A$3:$A$272,$A41,Loan_Input!$H$3:$H$272),""))</f>
        <v/>
      </c>
      <c r="AG41" s="31">
        <f>IF($A41="","",IFERROR(SUMPRODUCT((Loan_Input!$A$3:$A$272=$A41)*Loan_Input!$AX$3:$AX$272*Loan_Input!$H$3:$H$272)/SUMIF(Loan_Input!$A$3:$A$272,$A41,Loan_Input!$H$3:$H$272),""))</f>
        <v/>
      </c>
      <c r="AH41" s="31">
        <f>IF($A41="","",IFERROR(SUMPRODUCT((Loan_Input!$A$3:$A$272=$A41)*(Loan_Input!$AR$3:$AR$272+Loan_Input!$AS$3:$AS$272)*Loan_Input!$H$3:$H$272)/SUMIF(Loan_Input!$A$3:$A$272,$A41,Loan_Input!$H$3:$H$272),""))</f>
        <v/>
      </c>
    </row>
    <row r="42">
      <c r="B42">
        <f>IF($A42="","",COUNTIF(Loan_Input!$A$3:$A$272,$A42))</f>
        <v/>
      </c>
      <c r="C42" s="26">
        <f>IF($A42="","",SUMIF(Loan_Input!$A$3:$A$272,$A42,Loan_Input!$H$3:$H$272)/1000000)</f>
        <v/>
      </c>
      <c r="D42" s="27">
        <f>IF($A42="","",IFERROR(SUMPRODUCT((Loan_Input!$A$3:$A$272=$A42)*Loan_Input!$BV$3:$BV$272*Loan_Input!$H$3:$H$272)/SUMIF(Loan_Input!$A$3:$A$272,$A42,Loan_Input!$H$3:$H$272),""))</f>
        <v/>
      </c>
      <c r="E42" s="27">
        <f>IF($A42="","",IFERROR(SUMPRODUCT((Loan_Input!$A$3:$A$272=$A42)*Loan_Input!$BW$3:$BW$272*Loan_Input!$H$3:$H$272)/SUMIF(Loan_Input!$A$3:$A$272,$A42,Loan_Input!$H$3:$H$272),""))</f>
        <v/>
      </c>
      <c r="F42" s="28">
        <f>IF($A42="","",IFERROR(SUMPRODUCT((Loan_Input!$A$3:$A$272=$A42)*Loan_Input!$AA$3:$AA$272*Loan_Input!$H$3:$H$272)/SUMIF(Loan_Input!$A$3:$A$272,$A42,Loan_Input!$H$3:$H$272),""))</f>
        <v/>
      </c>
      <c r="G42" s="29">
        <f>IF($A42="","",IFERROR(SUMPRODUCT((Loan_Input!$A$3:$A$272=$A42)*Loan_Input!$G$3:$G$272*Loan_Input!$H$3:$H$272)/SUMIF(Loan_Input!$A$3:$A$272,$A42,Loan_Input!$H$3:$H$272),""))</f>
        <v/>
      </c>
      <c r="H42" s="30">
        <f>IF($A42="","",IFERROR(SUMPRODUCT((Loan_Input!$A$3:$A$272=$A42)*Loan_Input!$AM$3:$AM$272*Loan_Input!$H$3:$H$272)/SUMIF(Loan_Input!$A$3:$A$272,$A42,Loan_Input!$H$3:$H$272),""))</f>
        <v/>
      </c>
      <c r="I42" s="27">
        <f>IF($A42="","",IFERROR(SUMPRODUCT((Loan_Input!$A$3:$A$272=$A42)*Loan_Input!$AK$3:$AK$272*Loan_Input!$H$3:$H$272)/SUMIF(Loan_Input!$A$3:$A$272,$A42,Loan_Input!$H$3:$H$272),""))</f>
        <v/>
      </c>
      <c r="J42" s="30">
        <f>IF($A42="","",IFERROR(SUMPRODUCT((Loan_Input!$A$3:$A$272=$A42)*Loan_Input!$AI$3:$AI$272*Loan_Input!$H$3:$H$272)/SUMIF(Loan_Input!$A$3:$A$272,$A42,Loan_Input!$H$3:$H$272),""))</f>
        <v/>
      </c>
      <c r="K42" s="27">
        <f>IF($A42="","",IFERROR(SUMPRODUCT((Loan_Input!$A$3:$A$272=$A42)*Loan_Input!$AN$3:$AN$272*Loan_Input!$H$3:$H$272)/SUMIF(Loan_Input!$A$3:$A$272,$A42,Loan_Input!$H$3:$H$272),""))</f>
        <v/>
      </c>
      <c r="L42" s="31">
        <f>IF($A42="","",IFERROR(SUMPRODUCT((Loan_Input!$A$3:$A$272=$A42)*Loan_Input!$AD$3:$AD$272*Loan_Input!$H$3:$H$272)/SUMIF(Loan_Input!$A$3:$A$272,$A42,Loan_Input!$H$3:$H$272),""))</f>
        <v/>
      </c>
      <c r="M42" s="31">
        <f>IF($A42="","",IFERROR(SUMPRODUCT((Loan_Input!$A$3:$A$272=$A42)*Loan_Input!$AE$3:$AE$272*Loan_Input!$H$3:$H$272)/SUMIF(Loan_Input!$A$3:$A$272,$A42,Loan_Input!$H$3:$H$272),""))</f>
        <v/>
      </c>
      <c r="N42" s="31">
        <f>IF($A42="","",IFERROR(SUMPRODUCT((Loan_Input!$A$3:$A$272=$A42)*Loan_Input!$AF$3:$AF$272*Loan_Input!$H$3:$H$272)/SUMIF(Loan_Input!$A$3:$A$272,$A42,Loan_Input!$H$3:$H$272),""))</f>
        <v/>
      </c>
      <c r="O42" s="27">
        <f>IF($A42="","",IFERROR(SUMPRODUCT((Loan_Input!$A$3:$A$272=$A42)*Loan_Input!$BX$3:$BX$272*Loan_Input!$H$3:$H$272)/SUMIF(Loan_Input!$A$3:$A$272,$A42,Loan_Input!$H$3:$H$272),""))</f>
        <v/>
      </c>
      <c r="P42" s="27">
        <f>IF($A42="","",IFERROR(SUMPRODUCT((Loan_Input!$A$3:$A$272=$A42)*Loan_Input!$BY$3:$BY$272*Loan_Input!$H$3:$H$272)/SUMIF(Loan_Input!$A$3:$A$272,$A42,Loan_Input!$H$3:$H$272),""))</f>
        <v/>
      </c>
      <c r="Q42" s="27">
        <f>IF($A42="","",IFERROR(SUMPRODUCT((Loan_Input!$A$3:$A$272=$A42)*Loan_Input!$BZ$3:$BZ$272*Loan_Input!$H$3:$H$272)/SUMIF(Loan_Input!$A$3:$A$272,$A42,Loan_Input!$H$3:$H$272),""))</f>
        <v/>
      </c>
      <c r="R42" s="27">
        <f>IF($A42="","",IFERROR(SUMPRODUCT((Loan_Input!$A$3:$A$272=$A42)*Loan_Input!$CA$3:$CA$272*Loan_Input!$H$3:$H$272)/SUMIF(Loan_Input!$A$3:$A$272,$A42,Loan_Input!$H$3:$H$272),""))</f>
        <v/>
      </c>
      <c r="S42" s="27">
        <f>IF($A42="","",IFERROR(SUMPRODUCT((Loan_Input!$A$3:$A$272=$A42)*Loan_Input!$CB$3:$CB$272*Loan_Input!$H$3:$H$272)/SUMIF(Loan_Input!$A$3:$A$272,$A42,Loan_Input!$H$3:$H$272),""))</f>
        <v/>
      </c>
      <c r="T42" s="27">
        <f>IF($A42="","",IFERROR(SUMPRODUCT((Loan_Input!$A$3:$A$272=$A42)*Loan_Input!$CC$3:$CC$272*Loan_Input!$H$3:$H$272)/SUMIF(Loan_Input!$A$3:$A$272,$A42,Loan_Input!$H$3:$H$272),""))</f>
        <v/>
      </c>
      <c r="U42" s="27">
        <f>IF($A42="","",IFERROR(SUMPRODUCT((Loan_Input!$A$3:$A$272=$A42)*Loan_Input!$CD$3:$CD$272*Loan_Input!$H$3:$H$272)/SUMIF(Loan_Input!$A$3:$A$272,$A42,Loan_Input!$H$3:$H$272),""))</f>
        <v/>
      </c>
      <c r="V42" s="27">
        <f>IF($A42="","",IFERROR(SUMPRODUCT((Loan_Input!$A$3:$A$272=$A42)*Loan_Input!$CE$3:$CE$272*Loan_Input!$H$3:$H$272)/SUMIF(Loan_Input!$A$3:$A$272,$A42,Loan_Input!$H$3:$H$272),""))</f>
        <v/>
      </c>
      <c r="W42" s="27">
        <f>IF($A42="","",IFERROR(SUMPRODUCT((Loan_Input!$A$3:$A$272=$A42)*Loan_Input!$CF$3:$CF$272*Loan_Input!$H$3:$H$272)/SUMIF(Loan_Input!$A$3:$A$272,$A42,Loan_Input!$H$3:$H$272),""))</f>
        <v/>
      </c>
      <c r="X42" s="27">
        <f>IF($A42="","",IFERROR(SUMPRODUCT((Loan_Input!$A$3:$A$272=$A42)*Loan_Input!$CG$3:$CG$272*Loan_Input!$H$3:$H$272)/SUMIF(Loan_Input!$A$3:$A$272,$A42,Loan_Input!$H$3:$H$272),""))</f>
        <v/>
      </c>
      <c r="Y42" s="27">
        <f>IF($A42="","",IFERROR(SUMPRODUCT((Loan_Input!$A$3:$A$272=$A42)*Loan_Input!$CH$3:$CH$272*Loan_Input!$H$3:$H$272)/SUMIF(Loan_Input!$A$3:$A$272,$A42,Loan_Input!$H$3:$H$272),""))</f>
        <v/>
      </c>
      <c r="Z42" s="27">
        <f>IF($A42="","",IFERROR(SUMPRODUCT((Loan_Input!$A$3:$A$272=$A42)*Loan_Input!$CI$3:$CI$272*Loan_Input!$H$3:$H$272)/SUMIF(Loan_Input!$A$3:$A$272,$A42,Loan_Input!$H$3:$H$272),""))</f>
        <v/>
      </c>
      <c r="AA42" s="27">
        <f>IF($A42="","",IFERROR(SUMPRODUCT((Loan_Input!$A$3:$A$272=$A42)*Loan_Input!$CJ$3:$CJ$272*Loan_Input!$H$3:$H$272)/SUMIF(Loan_Input!$A$3:$A$272,$A42,Loan_Input!$H$3:$H$272),""))</f>
        <v/>
      </c>
      <c r="AB42" s="31">
        <f>IF($A42="","",IFERROR(SUMPRODUCT((Loan_Input!$A$3:$A$272=$A42)*Loan_Input!$AQ$3:$AQ$272*Loan_Input!$H$3:$H$272)/SUMIF(Loan_Input!$A$3:$A$272,$A42,Loan_Input!$H$3:$H$272),""))</f>
        <v/>
      </c>
      <c r="AC42" s="31">
        <f>IF($A42="","",IFERROR(SUMPRODUCT((Loan_Input!$A$3:$A$272=$A42)*Loan_Input!$AW$3:$AW$272*Loan_Input!$H$3:$H$272)/SUMIF(Loan_Input!$A$3:$A$272,$A42,Loan_Input!$H$3:$H$272),""))</f>
        <v/>
      </c>
      <c r="AD42" s="31">
        <f>IF($A42="","",IFERROR(SUMPRODUCT((Loan_Input!$A$3:$A$272=$A42)*Loan_Input!$AU$3:$AU$272*Loan_Input!$H$3:$H$272)/SUMIF(Loan_Input!$A$3:$A$272,$A42,Loan_Input!$H$3:$H$272),""))</f>
        <v/>
      </c>
      <c r="AE42" s="31">
        <f>IF($A42="","",IFERROR(SUMPRODUCT((Loan_Input!$A$3:$A$272=$A42)*(Loan_Input!$AO$3:$AO$272="223f")*Loan_Input!$H$3:$H$272)/SUMIF(Loan_Input!$A$3:$A$272,$A42,Loan_Input!$H$3:$H$272),""))</f>
        <v/>
      </c>
      <c r="AF42" s="31">
        <f>IF($A42="","",IFERROR(SUMPRODUCT((Loan_Input!$A$3:$A$272=$A42)*Loan_Input!$AV$3:$AV$272*Loan_Input!$H$3:$H$272)/SUMIF(Loan_Input!$A$3:$A$272,$A42,Loan_Input!$H$3:$H$272),""))</f>
        <v/>
      </c>
      <c r="AG42" s="31">
        <f>IF($A42="","",IFERROR(SUMPRODUCT((Loan_Input!$A$3:$A$272=$A42)*Loan_Input!$AX$3:$AX$272*Loan_Input!$H$3:$H$272)/SUMIF(Loan_Input!$A$3:$A$272,$A42,Loan_Input!$H$3:$H$272),""))</f>
        <v/>
      </c>
      <c r="AH42" s="31">
        <f>IF($A42="","",IFERROR(SUMPRODUCT((Loan_Input!$A$3:$A$272=$A42)*(Loan_Input!$AR$3:$AR$272+Loan_Input!$AS$3:$AS$272)*Loan_Input!$H$3:$H$272)/SUMIF(Loan_Input!$A$3:$A$272,$A42,Loan_Input!$H$3:$H$272),""))</f>
        <v/>
      </c>
    </row>
    <row r="43">
      <c r="B43">
        <f>IF($A43="","",COUNTIF(Loan_Input!$A$3:$A$272,$A43))</f>
        <v/>
      </c>
      <c r="C43" s="26">
        <f>IF($A43="","",SUMIF(Loan_Input!$A$3:$A$272,$A43,Loan_Input!$H$3:$H$272)/1000000)</f>
        <v/>
      </c>
      <c r="D43" s="27">
        <f>IF($A43="","",IFERROR(SUMPRODUCT((Loan_Input!$A$3:$A$272=$A43)*Loan_Input!$BV$3:$BV$272*Loan_Input!$H$3:$H$272)/SUMIF(Loan_Input!$A$3:$A$272,$A43,Loan_Input!$H$3:$H$272),""))</f>
        <v/>
      </c>
      <c r="E43" s="27">
        <f>IF($A43="","",IFERROR(SUMPRODUCT((Loan_Input!$A$3:$A$272=$A43)*Loan_Input!$BW$3:$BW$272*Loan_Input!$H$3:$H$272)/SUMIF(Loan_Input!$A$3:$A$272,$A43,Loan_Input!$H$3:$H$272),""))</f>
        <v/>
      </c>
      <c r="F43" s="28">
        <f>IF($A43="","",IFERROR(SUMPRODUCT((Loan_Input!$A$3:$A$272=$A43)*Loan_Input!$AA$3:$AA$272*Loan_Input!$H$3:$H$272)/SUMIF(Loan_Input!$A$3:$A$272,$A43,Loan_Input!$H$3:$H$272),""))</f>
        <v/>
      </c>
      <c r="G43" s="29">
        <f>IF($A43="","",IFERROR(SUMPRODUCT((Loan_Input!$A$3:$A$272=$A43)*Loan_Input!$G$3:$G$272*Loan_Input!$H$3:$H$272)/SUMIF(Loan_Input!$A$3:$A$272,$A43,Loan_Input!$H$3:$H$272),""))</f>
        <v/>
      </c>
      <c r="H43" s="30">
        <f>IF($A43="","",IFERROR(SUMPRODUCT((Loan_Input!$A$3:$A$272=$A43)*Loan_Input!$AM$3:$AM$272*Loan_Input!$H$3:$H$272)/SUMIF(Loan_Input!$A$3:$A$272,$A43,Loan_Input!$H$3:$H$272),""))</f>
        <v/>
      </c>
      <c r="I43" s="27">
        <f>IF($A43="","",IFERROR(SUMPRODUCT((Loan_Input!$A$3:$A$272=$A43)*Loan_Input!$AK$3:$AK$272*Loan_Input!$H$3:$H$272)/SUMIF(Loan_Input!$A$3:$A$272,$A43,Loan_Input!$H$3:$H$272),""))</f>
        <v/>
      </c>
      <c r="J43" s="30">
        <f>IF($A43="","",IFERROR(SUMPRODUCT((Loan_Input!$A$3:$A$272=$A43)*Loan_Input!$AI$3:$AI$272*Loan_Input!$H$3:$H$272)/SUMIF(Loan_Input!$A$3:$A$272,$A43,Loan_Input!$H$3:$H$272),""))</f>
        <v/>
      </c>
      <c r="K43" s="27">
        <f>IF($A43="","",IFERROR(SUMPRODUCT((Loan_Input!$A$3:$A$272=$A43)*Loan_Input!$AN$3:$AN$272*Loan_Input!$H$3:$H$272)/SUMIF(Loan_Input!$A$3:$A$272,$A43,Loan_Input!$H$3:$H$272),""))</f>
        <v/>
      </c>
      <c r="L43" s="31">
        <f>IF($A43="","",IFERROR(SUMPRODUCT((Loan_Input!$A$3:$A$272=$A43)*Loan_Input!$AD$3:$AD$272*Loan_Input!$H$3:$H$272)/SUMIF(Loan_Input!$A$3:$A$272,$A43,Loan_Input!$H$3:$H$272),""))</f>
        <v/>
      </c>
      <c r="M43" s="31">
        <f>IF($A43="","",IFERROR(SUMPRODUCT((Loan_Input!$A$3:$A$272=$A43)*Loan_Input!$AE$3:$AE$272*Loan_Input!$H$3:$H$272)/SUMIF(Loan_Input!$A$3:$A$272,$A43,Loan_Input!$H$3:$H$272),""))</f>
        <v/>
      </c>
      <c r="N43" s="31">
        <f>IF($A43="","",IFERROR(SUMPRODUCT((Loan_Input!$A$3:$A$272=$A43)*Loan_Input!$AF$3:$AF$272*Loan_Input!$H$3:$H$272)/SUMIF(Loan_Input!$A$3:$A$272,$A43,Loan_Input!$H$3:$H$272),""))</f>
        <v/>
      </c>
      <c r="O43" s="27">
        <f>IF($A43="","",IFERROR(SUMPRODUCT((Loan_Input!$A$3:$A$272=$A43)*Loan_Input!$BX$3:$BX$272*Loan_Input!$H$3:$H$272)/SUMIF(Loan_Input!$A$3:$A$272,$A43,Loan_Input!$H$3:$H$272),""))</f>
        <v/>
      </c>
      <c r="P43" s="27">
        <f>IF($A43="","",IFERROR(SUMPRODUCT((Loan_Input!$A$3:$A$272=$A43)*Loan_Input!$BY$3:$BY$272*Loan_Input!$H$3:$H$272)/SUMIF(Loan_Input!$A$3:$A$272,$A43,Loan_Input!$H$3:$H$272),""))</f>
        <v/>
      </c>
      <c r="Q43" s="27">
        <f>IF($A43="","",IFERROR(SUMPRODUCT((Loan_Input!$A$3:$A$272=$A43)*Loan_Input!$BZ$3:$BZ$272*Loan_Input!$H$3:$H$272)/SUMIF(Loan_Input!$A$3:$A$272,$A43,Loan_Input!$H$3:$H$272),""))</f>
        <v/>
      </c>
      <c r="R43" s="27">
        <f>IF($A43="","",IFERROR(SUMPRODUCT((Loan_Input!$A$3:$A$272=$A43)*Loan_Input!$CA$3:$CA$272*Loan_Input!$H$3:$H$272)/SUMIF(Loan_Input!$A$3:$A$272,$A43,Loan_Input!$H$3:$H$272),""))</f>
        <v/>
      </c>
      <c r="S43" s="27">
        <f>IF($A43="","",IFERROR(SUMPRODUCT((Loan_Input!$A$3:$A$272=$A43)*Loan_Input!$CB$3:$CB$272*Loan_Input!$H$3:$H$272)/SUMIF(Loan_Input!$A$3:$A$272,$A43,Loan_Input!$H$3:$H$272),""))</f>
        <v/>
      </c>
      <c r="T43" s="27">
        <f>IF($A43="","",IFERROR(SUMPRODUCT((Loan_Input!$A$3:$A$272=$A43)*Loan_Input!$CC$3:$CC$272*Loan_Input!$H$3:$H$272)/SUMIF(Loan_Input!$A$3:$A$272,$A43,Loan_Input!$H$3:$H$272),""))</f>
        <v/>
      </c>
      <c r="U43" s="27">
        <f>IF($A43="","",IFERROR(SUMPRODUCT((Loan_Input!$A$3:$A$272=$A43)*Loan_Input!$CD$3:$CD$272*Loan_Input!$H$3:$H$272)/SUMIF(Loan_Input!$A$3:$A$272,$A43,Loan_Input!$H$3:$H$272),""))</f>
        <v/>
      </c>
      <c r="V43" s="27">
        <f>IF($A43="","",IFERROR(SUMPRODUCT((Loan_Input!$A$3:$A$272=$A43)*Loan_Input!$CE$3:$CE$272*Loan_Input!$H$3:$H$272)/SUMIF(Loan_Input!$A$3:$A$272,$A43,Loan_Input!$H$3:$H$272),""))</f>
        <v/>
      </c>
      <c r="W43" s="27">
        <f>IF($A43="","",IFERROR(SUMPRODUCT((Loan_Input!$A$3:$A$272=$A43)*Loan_Input!$CF$3:$CF$272*Loan_Input!$H$3:$H$272)/SUMIF(Loan_Input!$A$3:$A$272,$A43,Loan_Input!$H$3:$H$272),""))</f>
        <v/>
      </c>
      <c r="X43" s="27">
        <f>IF($A43="","",IFERROR(SUMPRODUCT((Loan_Input!$A$3:$A$272=$A43)*Loan_Input!$CG$3:$CG$272*Loan_Input!$H$3:$H$272)/SUMIF(Loan_Input!$A$3:$A$272,$A43,Loan_Input!$H$3:$H$272),""))</f>
        <v/>
      </c>
      <c r="Y43" s="27">
        <f>IF($A43="","",IFERROR(SUMPRODUCT((Loan_Input!$A$3:$A$272=$A43)*Loan_Input!$CH$3:$CH$272*Loan_Input!$H$3:$H$272)/SUMIF(Loan_Input!$A$3:$A$272,$A43,Loan_Input!$H$3:$H$272),""))</f>
        <v/>
      </c>
      <c r="Z43" s="27">
        <f>IF($A43="","",IFERROR(SUMPRODUCT((Loan_Input!$A$3:$A$272=$A43)*Loan_Input!$CI$3:$CI$272*Loan_Input!$H$3:$H$272)/SUMIF(Loan_Input!$A$3:$A$272,$A43,Loan_Input!$H$3:$H$272),""))</f>
        <v/>
      </c>
      <c r="AA43" s="27">
        <f>IF($A43="","",IFERROR(SUMPRODUCT((Loan_Input!$A$3:$A$272=$A43)*Loan_Input!$CJ$3:$CJ$272*Loan_Input!$H$3:$H$272)/SUMIF(Loan_Input!$A$3:$A$272,$A43,Loan_Input!$H$3:$H$272),""))</f>
        <v/>
      </c>
      <c r="AB43" s="31">
        <f>IF($A43="","",IFERROR(SUMPRODUCT((Loan_Input!$A$3:$A$272=$A43)*Loan_Input!$AQ$3:$AQ$272*Loan_Input!$H$3:$H$272)/SUMIF(Loan_Input!$A$3:$A$272,$A43,Loan_Input!$H$3:$H$272),""))</f>
        <v/>
      </c>
      <c r="AC43" s="31">
        <f>IF($A43="","",IFERROR(SUMPRODUCT((Loan_Input!$A$3:$A$272=$A43)*Loan_Input!$AW$3:$AW$272*Loan_Input!$H$3:$H$272)/SUMIF(Loan_Input!$A$3:$A$272,$A43,Loan_Input!$H$3:$H$272),""))</f>
        <v/>
      </c>
      <c r="AD43" s="31">
        <f>IF($A43="","",IFERROR(SUMPRODUCT((Loan_Input!$A$3:$A$272=$A43)*Loan_Input!$AU$3:$AU$272*Loan_Input!$H$3:$H$272)/SUMIF(Loan_Input!$A$3:$A$272,$A43,Loan_Input!$H$3:$H$272),""))</f>
        <v/>
      </c>
      <c r="AE43" s="31">
        <f>IF($A43="","",IFERROR(SUMPRODUCT((Loan_Input!$A$3:$A$272=$A43)*(Loan_Input!$AO$3:$AO$272="223f")*Loan_Input!$H$3:$H$272)/SUMIF(Loan_Input!$A$3:$A$272,$A43,Loan_Input!$H$3:$H$272),""))</f>
        <v/>
      </c>
      <c r="AF43" s="31">
        <f>IF($A43="","",IFERROR(SUMPRODUCT((Loan_Input!$A$3:$A$272=$A43)*Loan_Input!$AV$3:$AV$272*Loan_Input!$H$3:$H$272)/SUMIF(Loan_Input!$A$3:$A$272,$A43,Loan_Input!$H$3:$H$272),""))</f>
        <v/>
      </c>
      <c r="AG43" s="31">
        <f>IF($A43="","",IFERROR(SUMPRODUCT((Loan_Input!$A$3:$A$272=$A43)*Loan_Input!$AX$3:$AX$272*Loan_Input!$H$3:$H$272)/SUMIF(Loan_Input!$A$3:$A$272,$A43,Loan_Input!$H$3:$H$272),""))</f>
        <v/>
      </c>
      <c r="AH43" s="31">
        <f>IF($A43="","",IFERROR(SUMPRODUCT((Loan_Input!$A$3:$A$272=$A43)*(Loan_Input!$AR$3:$AR$272+Loan_Input!$AS$3:$AS$272)*Loan_Input!$H$3:$H$272)/SUMIF(Loan_Input!$A$3:$A$272,$A43,Loan_Input!$H$3:$H$272),""))</f>
        <v/>
      </c>
    </row>
    <row r="44">
      <c r="B44">
        <f>IF($A44="","",COUNTIF(Loan_Input!$A$3:$A$272,$A44))</f>
        <v/>
      </c>
      <c r="C44" s="26">
        <f>IF($A44="","",SUMIF(Loan_Input!$A$3:$A$272,$A44,Loan_Input!$H$3:$H$272)/1000000)</f>
        <v/>
      </c>
      <c r="D44" s="27">
        <f>IF($A44="","",IFERROR(SUMPRODUCT((Loan_Input!$A$3:$A$272=$A44)*Loan_Input!$BV$3:$BV$272*Loan_Input!$H$3:$H$272)/SUMIF(Loan_Input!$A$3:$A$272,$A44,Loan_Input!$H$3:$H$272),""))</f>
        <v/>
      </c>
      <c r="E44" s="27">
        <f>IF($A44="","",IFERROR(SUMPRODUCT((Loan_Input!$A$3:$A$272=$A44)*Loan_Input!$BW$3:$BW$272*Loan_Input!$H$3:$H$272)/SUMIF(Loan_Input!$A$3:$A$272,$A44,Loan_Input!$H$3:$H$272),""))</f>
        <v/>
      </c>
      <c r="F44" s="28">
        <f>IF($A44="","",IFERROR(SUMPRODUCT((Loan_Input!$A$3:$A$272=$A44)*Loan_Input!$AA$3:$AA$272*Loan_Input!$H$3:$H$272)/SUMIF(Loan_Input!$A$3:$A$272,$A44,Loan_Input!$H$3:$H$272),""))</f>
        <v/>
      </c>
      <c r="G44" s="29">
        <f>IF($A44="","",IFERROR(SUMPRODUCT((Loan_Input!$A$3:$A$272=$A44)*Loan_Input!$G$3:$G$272*Loan_Input!$H$3:$H$272)/SUMIF(Loan_Input!$A$3:$A$272,$A44,Loan_Input!$H$3:$H$272),""))</f>
        <v/>
      </c>
      <c r="H44" s="30">
        <f>IF($A44="","",IFERROR(SUMPRODUCT((Loan_Input!$A$3:$A$272=$A44)*Loan_Input!$AM$3:$AM$272*Loan_Input!$H$3:$H$272)/SUMIF(Loan_Input!$A$3:$A$272,$A44,Loan_Input!$H$3:$H$272),""))</f>
        <v/>
      </c>
      <c r="I44" s="27">
        <f>IF($A44="","",IFERROR(SUMPRODUCT((Loan_Input!$A$3:$A$272=$A44)*Loan_Input!$AK$3:$AK$272*Loan_Input!$H$3:$H$272)/SUMIF(Loan_Input!$A$3:$A$272,$A44,Loan_Input!$H$3:$H$272),""))</f>
        <v/>
      </c>
      <c r="J44" s="30">
        <f>IF($A44="","",IFERROR(SUMPRODUCT((Loan_Input!$A$3:$A$272=$A44)*Loan_Input!$AI$3:$AI$272*Loan_Input!$H$3:$H$272)/SUMIF(Loan_Input!$A$3:$A$272,$A44,Loan_Input!$H$3:$H$272),""))</f>
        <v/>
      </c>
      <c r="K44" s="27">
        <f>IF($A44="","",IFERROR(SUMPRODUCT((Loan_Input!$A$3:$A$272=$A44)*Loan_Input!$AN$3:$AN$272*Loan_Input!$H$3:$H$272)/SUMIF(Loan_Input!$A$3:$A$272,$A44,Loan_Input!$H$3:$H$272),""))</f>
        <v/>
      </c>
      <c r="L44" s="31">
        <f>IF($A44="","",IFERROR(SUMPRODUCT((Loan_Input!$A$3:$A$272=$A44)*Loan_Input!$AD$3:$AD$272*Loan_Input!$H$3:$H$272)/SUMIF(Loan_Input!$A$3:$A$272,$A44,Loan_Input!$H$3:$H$272),""))</f>
        <v/>
      </c>
      <c r="M44" s="31">
        <f>IF($A44="","",IFERROR(SUMPRODUCT((Loan_Input!$A$3:$A$272=$A44)*Loan_Input!$AE$3:$AE$272*Loan_Input!$H$3:$H$272)/SUMIF(Loan_Input!$A$3:$A$272,$A44,Loan_Input!$H$3:$H$272),""))</f>
        <v/>
      </c>
      <c r="N44" s="31">
        <f>IF($A44="","",IFERROR(SUMPRODUCT((Loan_Input!$A$3:$A$272=$A44)*Loan_Input!$AF$3:$AF$272*Loan_Input!$H$3:$H$272)/SUMIF(Loan_Input!$A$3:$A$272,$A44,Loan_Input!$H$3:$H$272),""))</f>
        <v/>
      </c>
      <c r="O44" s="27">
        <f>IF($A44="","",IFERROR(SUMPRODUCT((Loan_Input!$A$3:$A$272=$A44)*Loan_Input!$BX$3:$BX$272*Loan_Input!$H$3:$H$272)/SUMIF(Loan_Input!$A$3:$A$272,$A44,Loan_Input!$H$3:$H$272),""))</f>
        <v/>
      </c>
      <c r="P44" s="27">
        <f>IF($A44="","",IFERROR(SUMPRODUCT((Loan_Input!$A$3:$A$272=$A44)*Loan_Input!$BY$3:$BY$272*Loan_Input!$H$3:$H$272)/SUMIF(Loan_Input!$A$3:$A$272,$A44,Loan_Input!$H$3:$H$272),""))</f>
        <v/>
      </c>
      <c r="Q44" s="27">
        <f>IF($A44="","",IFERROR(SUMPRODUCT((Loan_Input!$A$3:$A$272=$A44)*Loan_Input!$BZ$3:$BZ$272*Loan_Input!$H$3:$H$272)/SUMIF(Loan_Input!$A$3:$A$272,$A44,Loan_Input!$H$3:$H$272),""))</f>
        <v/>
      </c>
      <c r="R44" s="27">
        <f>IF($A44="","",IFERROR(SUMPRODUCT((Loan_Input!$A$3:$A$272=$A44)*Loan_Input!$CA$3:$CA$272*Loan_Input!$H$3:$H$272)/SUMIF(Loan_Input!$A$3:$A$272,$A44,Loan_Input!$H$3:$H$272),""))</f>
        <v/>
      </c>
      <c r="S44" s="27">
        <f>IF($A44="","",IFERROR(SUMPRODUCT((Loan_Input!$A$3:$A$272=$A44)*Loan_Input!$CB$3:$CB$272*Loan_Input!$H$3:$H$272)/SUMIF(Loan_Input!$A$3:$A$272,$A44,Loan_Input!$H$3:$H$272),""))</f>
        <v/>
      </c>
      <c r="T44" s="27">
        <f>IF($A44="","",IFERROR(SUMPRODUCT((Loan_Input!$A$3:$A$272=$A44)*Loan_Input!$CC$3:$CC$272*Loan_Input!$H$3:$H$272)/SUMIF(Loan_Input!$A$3:$A$272,$A44,Loan_Input!$H$3:$H$272),""))</f>
        <v/>
      </c>
      <c r="U44" s="27">
        <f>IF($A44="","",IFERROR(SUMPRODUCT((Loan_Input!$A$3:$A$272=$A44)*Loan_Input!$CD$3:$CD$272*Loan_Input!$H$3:$H$272)/SUMIF(Loan_Input!$A$3:$A$272,$A44,Loan_Input!$H$3:$H$272),""))</f>
        <v/>
      </c>
      <c r="V44" s="27">
        <f>IF($A44="","",IFERROR(SUMPRODUCT((Loan_Input!$A$3:$A$272=$A44)*Loan_Input!$CE$3:$CE$272*Loan_Input!$H$3:$H$272)/SUMIF(Loan_Input!$A$3:$A$272,$A44,Loan_Input!$H$3:$H$272),""))</f>
        <v/>
      </c>
      <c r="W44" s="27">
        <f>IF($A44="","",IFERROR(SUMPRODUCT((Loan_Input!$A$3:$A$272=$A44)*Loan_Input!$CF$3:$CF$272*Loan_Input!$H$3:$H$272)/SUMIF(Loan_Input!$A$3:$A$272,$A44,Loan_Input!$H$3:$H$272),""))</f>
        <v/>
      </c>
      <c r="X44" s="27">
        <f>IF($A44="","",IFERROR(SUMPRODUCT((Loan_Input!$A$3:$A$272=$A44)*Loan_Input!$CG$3:$CG$272*Loan_Input!$H$3:$H$272)/SUMIF(Loan_Input!$A$3:$A$272,$A44,Loan_Input!$H$3:$H$272),""))</f>
        <v/>
      </c>
      <c r="Y44" s="27">
        <f>IF($A44="","",IFERROR(SUMPRODUCT((Loan_Input!$A$3:$A$272=$A44)*Loan_Input!$CH$3:$CH$272*Loan_Input!$H$3:$H$272)/SUMIF(Loan_Input!$A$3:$A$272,$A44,Loan_Input!$H$3:$H$272),""))</f>
        <v/>
      </c>
      <c r="Z44" s="27">
        <f>IF($A44="","",IFERROR(SUMPRODUCT((Loan_Input!$A$3:$A$272=$A44)*Loan_Input!$CI$3:$CI$272*Loan_Input!$H$3:$H$272)/SUMIF(Loan_Input!$A$3:$A$272,$A44,Loan_Input!$H$3:$H$272),""))</f>
        <v/>
      </c>
      <c r="AA44" s="27">
        <f>IF($A44="","",IFERROR(SUMPRODUCT((Loan_Input!$A$3:$A$272=$A44)*Loan_Input!$CJ$3:$CJ$272*Loan_Input!$H$3:$H$272)/SUMIF(Loan_Input!$A$3:$A$272,$A44,Loan_Input!$H$3:$H$272),""))</f>
        <v/>
      </c>
      <c r="AB44" s="31">
        <f>IF($A44="","",IFERROR(SUMPRODUCT((Loan_Input!$A$3:$A$272=$A44)*Loan_Input!$AQ$3:$AQ$272*Loan_Input!$H$3:$H$272)/SUMIF(Loan_Input!$A$3:$A$272,$A44,Loan_Input!$H$3:$H$272),""))</f>
        <v/>
      </c>
      <c r="AC44" s="31">
        <f>IF($A44="","",IFERROR(SUMPRODUCT((Loan_Input!$A$3:$A$272=$A44)*Loan_Input!$AW$3:$AW$272*Loan_Input!$H$3:$H$272)/SUMIF(Loan_Input!$A$3:$A$272,$A44,Loan_Input!$H$3:$H$272),""))</f>
        <v/>
      </c>
      <c r="AD44" s="31">
        <f>IF($A44="","",IFERROR(SUMPRODUCT((Loan_Input!$A$3:$A$272=$A44)*Loan_Input!$AU$3:$AU$272*Loan_Input!$H$3:$H$272)/SUMIF(Loan_Input!$A$3:$A$272,$A44,Loan_Input!$H$3:$H$272),""))</f>
        <v/>
      </c>
      <c r="AE44" s="31">
        <f>IF($A44="","",IFERROR(SUMPRODUCT((Loan_Input!$A$3:$A$272=$A44)*(Loan_Input!$AO$3:$AO$272="223f")*Loan_Input!$H$3:$H$272)/SUMIF(Loan_Input!$A$3:$A$272,$A44,Loan_Input!$H$3:$H$272),""))</f>
        <v/>
      </c>
      <c r="AF44" s="31">
        <f>IF($A44="","",IFERROR(SUMPRODUCT((Loan_Input!$A$3:$A$272=$A44)*Loan_Input!$AV$3:$AV$272*Loan_Input!$H$3:$H$272)/SUMIF(Loan_Input!$A$3:$A$272,$A44,Loan_Input!$H$3:$H$272),""))</f>
        <v/>
      </c>
      <c r="AG44" s="31">
        <f>IF($A44="","",IFERROR(SUMPRODUCT((Loan_Input!$A$3:$A$272=$A44)*Loan_Input!$AX$3:$AX$272*Loan_Input!$H$3:$H$272)/SUMIF(Loan_Input!$A$3:$A$272,$A44,Loan_Input!$H$3:$H$272),""))</f>
        <v/>
      </c>
      <c r="AH44" s="31">
        <f>IF($A44="","",IFERROR(SUMPRODUCT((Loan_Input!$A$3:$A$272=$A44)*(Loan_Input!$AR$3:$AR$272+Loan_Input!$AS$3:$AS$272)*Loan_Input!$H$3:$H$272)/SUMIF(Loan_Input!$A$3:$A$272,$A44,Loan_Input!$H$3:$H$272),""))</f>
        <v/>
      </c>
    </row>
    <row r="45">
      <c r="B45">
        <f>IF($A45="","",COUNTIF(Loan_Input!$A$3:$A$272,$A45))</f>
        <v/>
      </c>
      <c r="C45" s="26">
        <f>IF($A45="","",SUMIF(Loan_Input!$A$3:$A$272,$A45,Loan_Input!$H$3:$H$272)/1000000)</f>
        <v/>
      </c>
      <c r="D45" s="27">
        <f>IF($A45="","",IFERROR(SUMPRODUCT((Loan_Input!$A$3:$A$272=$A45)*Loan_Input!$BV$3:$BV$272*Loan_Input!$H$3:$H$272)/SUMIF(Loan_Input!$A$3:$A$272,$A45,Loan_Input!$H$3:$H$272),""))</f>
        <v/>
      </c>
      <c r="E45" s="27">
        <f>IF($A45="","",IFERROR(SUMPRODUCT((Loan_Input!$A$3:$A$272=$A45)*Loan_Input!$BW$3:$BW$272*Loan_Input!$H$3:$H$272)/SUMIF(Loan_Input!$A$3:$A$272,$A45,Loan_Input!$H$3:$H$272),""))</f>
        <v/>
      </c>
      <c r="F45" s="28">
        <f>IF($A45="","",IFERROR(SUMPRODUCT((Loan_Input!$A$3:$A$272=$A45)*Loan_Input!$AA$3:$AA$272*Loan_Input!$H$3:$H$272)/SUMIF(Loan_Input!$A$3:$A$272,$A45,Loan_Input!$H$3:$H$272),""))</f>
        <v/>
      </c>
      <c r="G45" s="29">
        <f>IF($A45="","",IFERROR(SUMPRODUCT((Loan_Input!$A$3:$A$272=$A45)*Loan_Input!$G$3:$G$272*Loan_Input!$H$3:$H$272)/SUMIF(Loan_Input!$A$3:$A$272,$A45,Loan_Input!$H$3:$H$272),""))</f>
        <v/>
      </c>
      <c r="H45" s="30">
        <f>IF($A45="","",IFERROR(SUMPRODUCT((Loan_Input!$A$3:$A$272=$A45)*Loan_Input!$AM$3:$AM$272*Loan_Input!$H$3:$H$272)/SUMIF(Loan_Input!$A$3:$A$272,$A45,Loan_Input!$H$3:$H$272),""))</f>
        <v/>
      </c>
      <c r="I45" s="27">
        <f>IF($A45="","",IFERROR(SUMPRODUCT((Loan_Input!$A$3:$A$272=$A45)*Loan_Input!$AK$3:$AK$272*Loan_Input!$H$3:$H$272)/SUMIF(Loan_Input!$A$3:$A$272,$A45,Loan_Input!$H$3:$H$272),""))</f>
        <v/>
      </c>
      <c r="J45" s="30">
        <f>IF($A45="","",IFERROR(SUMPRODUCT((Loan_Input!$A$3:$A$272=$A45)*Loan_Input!$AI$3:$AI$272*Loan_Input!$H$3:$H$272)/SUMIF(Loan_Input!$A$3:$A$272,$A45,Loan_Input!$H$3:$H$272),""))</f>
        <v/>
      </c>
      <c r="K45" s="27">
        <f>IF($A45="","",IFERROR(SUMPRODUCT((Loan_Input!$A$3:$A$272=$A45)*Loan_Input!$AN$3:$AN$272*Loan_Input!$H$3:$H$272)/SUMIF(Loan_Input!$A$3:$A$272,$A45,Loan_Input!$H$3:$H$272),""))</f>
        <v/>
      </c>
      <c r="L45" s="31">
        <f>IF($A45="","",IFERROR(SUMPRODUCT((Loan_Input!$A$3:$A$272=$A45)*Loan_Input!$AD$3:$AD$272*Loan_Input!$H$3:$H$272)/SUMIF(Loan_Input!$A$3:$A$272,$A45,Loan_Input!$H$3:$H$272),""))</f>
        <v/>
      </c>
      <c r="M45" s="31">
        <f>IF($A45="","",IFERROR(SUMPRODUCT((Loan_Input!$A$3:$A$272=$A45)*Loan_Input!$AE$3:$AE$272*Loan_Input!$H$3:$H$272)/SUMIF(Loan_Input!$A$3:$A$272,$A45,Loan_Input!$H$3:$H$272),""))</f>
        <v/>
      </c>
      <c r="N45" s="31">
        <f>IF($A45="","",IFERROR(SUMPRODUCT((Loan_Input!$A$3:$A$272=$A45)*Loan_Input!$AF$3:$AF$272*Loan_Input!$H$3:$H$272)/SUMIF(Loan_Input!$A$3:$A$272,$A45,Loan_Input!$H$3:$H$272),""))</f>
        <v/>
      </c>
      <c r="O45" s="27">
        <f>IF($A45="","",IFERROR(SUMPRODUCT((Loan_Input!$A$3:$A$272=$A45)*Loan_Input!$BX$3:$BX$272*Loan_Input!$H$3:$H$272)/SUMIF(Loan_Input!$A$3:$A$272,$A45,Loan_Input!$H$3:$H$272),""))</f>
        <v/>
      </c>
      <c r="P45" s="27">
        <f>IF($A45="","",IFERROR(SUMPRODUCT((Loan_Input!$A$3:$A$272=$A45)*Loan_Input!$BY$3:$BY$272*Loan_Input!$H$3:$H$272)/SUMIF(Loan_Input!$A$3:$A$272,$A45,Loan_Input!$H$3:$H$272),""))</f>
        <v/>
      </c>
      <c r="Q45" s="27">
        <f>IF($A45="","",IFERROR(SUMPRODUCT((Loan_Input!$A$3:$A$272=$A45)*Loan_Input!$BZ$3:$BZ$272*Loan_Input!$H$3:$H$272)/SUMIF(Loan_Input!$A$3:$A$272,$A45,Loan_Input!$H$3:$H$272),""))</f>
        <v/>
      </c>
      <c r="R45" s="27">
        <f>IF($A45="","",IFERROR(SUMPRODUCT((Loan_Input!$A$3:$A$272=$A45)*Loan_Input!$CA$3:$CA$272*Loan_Input!$H$3:$H$272)/SUMIF(Loan_Input!$A$3:$A$272,$A45,Loan_Input!$H$3:$H$272),""))</f>
        <v/>
      </c>
      <c r="S45" s="27">
        <f>IF($A45="","",IFERROR(SUMPRODUCT((Loan_Input!$A$3:$A$272=$A45)*Loan_Input!$CB$3:$CB$272*Loan_Input!$H$3:$H$272)/SUMIF(Loan_Input!$A$3:$A$272,$A45,Loan_Input!$H$3:$H$272),""))</f>
        <v/>
      </c>
      <c r="T45" s="27">
        <f>IF($A45="","",IFERROR(SUMPRODUCT((Loan_Input!$A$3:$A$272=$A45)*Loan_Input!$CC$3:$CC$272*Loan_Input!$H$3:$H$272)/SUMIF(Loan_Input!$A$3:$A$272,$A45,Loan_Input!$H$3:$H$272),""))</f>
        <v/>
      </c>
      <c r="U45" s="27">
        <f>IF($A45="","",IFERROR(SUMPRODUCT((Loan_Input!$A$3:$A$272=$A45)*Loan_Input!$CD$3:$CD$272*Loan_Input!$H$3:$H$272)/SUMIF(Loan_Input!$A$3:$A$272,$A45,Loan_Input!$H$3:$H$272),""))</f>
        <v/>
      </c>
      <c r="V45" s="27">
        <f>IF($A45="","",IFERROR(SUMPRODUCT((Loan_Input!$A$3:$A$272=$A45)*Loan_Input!$CE$3:$CE$272*Loan_Input!$H$3:$H$272)/SUMIF(Loan_Input!$A$3:$A$272,$A45,Loan_Input!$H$3:$H$272),""))</f>
        <v/>
      </c>
      <c r="W45" s="27">
        <f>IF($A45="","",IFERROR(SUMPRODUCT((Loan_Input!$A$3:$A$272=$A45)*Loan_Input!$CF$3:$CF$272*Loan_Input!$H$3:$H$272)/SUMIF(Loan_Input!$A$3:$A$272,$A45,Loan_Input!$H$3:$H$272),""))</f>
        <v/>
      </c>
      <c r="X45" s="27">
        <f>IF($A45="","",IFERROR(SUMPRODUCT((Loan_Input!$A$3:$A$272=$A45)*Loan_Input!$CG$3:$CG$272*Loan_Input!$H$3:$H$272)/SUMIF(Loan_Input!$A$3:$A$272,$A45,Loan_Input!$H$3:$H$272),""))</f>
        <v/>
      </c>
      <c r="Y45" s="27">
        <f>IF($A45="","",IFERROR(SUMPRODUCT((Loan_Input!$A$3:$A$272=$A45)*Loan_Input!$CH$3:$CH$272*Loan_Input!$H$3:$H$272)/SUMIF(Loan_Input!$A$3:$A$272,$A45,Loan_Input!$H$3:$H$272),""))</f>
        <v/>
      </c>
      <c r="Z45" s="27">
        <f>IF($A45="","",IFERROR(SUMPRODUCT((Loan_Input!$A$3:$A$272=$A45)*Loan_Input!$CI$3:$CI$272*Loan_Input!$H$3:$H$272)/SUMIF(Loan_Input!$A$3:$A$272,$A45,Loan_Input!$H$3:$H$272),""))</f>
        <v/>
      </c>
      <c r="AA45" s="27">
        <f>IF($A45="","",IFERROR(SUMPRODUCT((Loan_Input!$A$3:$A$272=$A45)*Loan_Input!$CJ$3:$CJ$272*Loan_Input!$H$3:$H$272)/SUMIF(Loan_Input!$A$3:$A$272,$A45,Loan_Input!$H$3:$H$272),""))</f>
        <v/>
      </c>
      <c r="AB45" s="31">
        <f>IF($A45="","",IFERROR(SUMPRODUCT((Loan_Input!$A$3:$A$272=$A45)*Loan_Input!$AQ$3:$AQ$272*Loan_Input!$H$3:$H$272)/SUMIF(Loan_Input!$A$3:$A$272,$A45,Loan_Input!$H$3:$H$272),""))</f>
        <v/>
      </c>
      <c r="AC45" s="31">
        <f>IF($A45="","",IFERROR(SUMPRODUCT((Loan_Input!$A$3:$A$272=$A45)*Loan_Input!$AW$3:$AW$272*Loan_Input!$H$3:$H$272)/SUMIF(Loan_Input!$A$3:$A$272,$A45,Loan_Input!$H$3:$H$272),""))</f>
        <v/>
      </c>
      <c r="AD45" s="31">
        <f>IF($A45="","",IFERROR(SUMPRODUCT((Loan_Input!$A$3:$A$272=$A45)*Loan_Input!$AU$3:$AU$272*Loan_Input!$H$3:$H$272)/SUMIF(Loan_Input!$A$3:$A$272,$A45,Loan_Input!$H$3:$H$272),""))</f>
        <v/>
      </c>
      <c r="AE45" s="31">
        <f>IF($A45="","",IFERROR(SUMPRODUCT((Loan_Input!$A$3:$A$272=$A45)*(Loan_Input!$AO$3:$AO$272="223f")*Loan_Input!$H$3:$H$272)/SUMIF(Loan_Input!$A$3:$A$272,$A45,Loan_Input!$H$3:$H$272),""))</f>
        <v/>
      </c>
      <c r="AF45" s="31">
        <f>IF($A45="","",IFERROR(SUMPRODUCT((Loan_Input!$A$3:$A$272=$A45)*Loan_Input!$AV$3:$AV$272*Loan_Input!$H$3:$H$272)/SUMIF(Loan_Input!$A$3:$A$272,$A45,Loan_Input!$H$3:$H$272),""))</f>
        <v/>
      </c>
      <c r="AG45" s="31">
        <f>IF($A45="","",IFERROR(SUMPRODUCT((Loan_Input!$A$3:$A$272=$A45)*Loan_Input!$AX$3:$AX$272*Loan_Input!$H$3:$H$272)/SUMIF(Loan_Input!$A$3:$A$272,$A45,Loan_Input!$H$3:$H$272),""))</f>
        <v/>
      </c>
      <c r="AH45" s="31">
        <f>IF($A45="","",IFERROR(SUMPRODUCT((Loan_Input!$A$3:$A$272=$A45)*(Loan_Input!$AR$3:$AR$272+Loan_Input!$AS$3:$AS$272)*Loan_Input!$H$3:$H$272)/SUMIF(Loan_Input!$A$3:$A$272,$A45,Loan_Input!$H$3:$H$272),""))</f>
        <v/>
      </c>
    </row>
    <row r="46">
      <c r="B46">
        <f>IF($A46="","",COUNTIF(Loan_Input!$A$3:$A$272,$A46))</f>
        <v/>
      </c>
      <c r="C46" s="26">
        <f>IF($A46="","",SUMIF(Loan_Input!$A$3:$A$272,$A46,Loan_Input!$H$3:$H$272)/1000000)</f>
        <v/>
      </c>
      <c r="D46" s="27">
        <f>IF($A46="","",IFERROR(SUMPRODUCT((Loan_Input!$A$3:$A$272=$A46)*Loan_Input!$BV$3:$BV$272*Loan_Input!$H$3:$H$272)/SUMIF(Loan_Input!$A$3:$A$272,$A46,Loan_Input!$H$3:$H$272),""))</f>
        <v/>
      </c>
      <c r="E46" s="27">
        <f>IF($A46="","",IFERROR(SUMPRODUCT((Loan_Input!$A$3:$A$272=$A46)*Loan_Input!$BW$3:$BW$272*Loan_Input!$H$3:$H$272)/SUMIF(Loan_Input!$A$3:$A$272,$A46,Loan_Input!$H$3:$H$272),""))</f>
        <v/>
      </c>
      <c r="F46" s="28">
        <f>IF($A46="","",IFERROR(SUMPRODUCT((Loan_Input!$A$3:$A$272=$A46)*Loan_Input!$AA$3:$AA$272*Loan_Input!$H$3:$H$272)/SUMIF(Loan_Input!$A$3:$A$272,$A46,Loan_Input!$H$3:$H$272),""))</f>
        <v/>
      </c>
      <c r="G46" s="29">
        <f>IF($A46="","",IFERROR(SUMPRODUCT((Loan_Input!$A$3:$A$272=$A46)*Loan_Input!$G$3:$G$272*Loan_Input!$H$3:$H$272)/SUMIF(Loan_Input!$A$3:$A$272,$A46,Loan_Input!$H$3:$H$272),""))</f>
        <v/>
      </c>
      <c r="H46" s="30">
        <f>IF($A46="","",IFERROR(SUMPRODUCT((Loan_Input!$A$3:$A$272=$A46)*Loan_Input!$AM$3:$AM$272*Loan_Input!$H$3:$H$272)/SUMIF(Loan_Input!$A$3:$A$272,$A46,Loan_Input!$H$3:$H$272),""))</f>
        <v/>
      </c>
      <c r="I46" s="27">
        <f>IF($A46="","",IFERROR(SUMPRODUCT((Loan_Input!$A$3:$A$272=$A46)*Loan_Input!$AK$3:$AK$272*Loan_Input!$H$3:$H$272)/SUMIF(Loan_Input!$A$3:$A$272,$A46,Loan_Input!$H$3:$H$272),""))</f>
        <v/>
      </c>
      <c r="J46" s="30">
        <f>IF($A46="","",IFERROR(SUMPRODUCT((Loan_Input!$A$3:$A$272=$A46)*Loan_Input!$AI$3:$AI$272*Loan_Input!$H$3:$H$272)/SUMIF(Loan_Input!$A$3:$A$272,$A46,Loan_Input!$H$3:$H$272),""))</f>
        <v/>
      </c>
      <c r="K46" s="27">
        <f>IF($A46="","",IFERROR(SUMPRODUCT((Loan_Input!$A$3:$A$272=$A46)*Loan_Input!$AN$3:$AN$272*Loan_Input!$H$3:$H$272)/SUMIF(Loan_Input!$A$3:$A$272,$A46,Loan_Input!$H$3:$H$272),""))</f>
        <v/>
      </c>
      <c r="L46" s="31">
        <f>IF($A46="","",IFERROR(SUMPRODUCT((Loan_Input!$A$3:$A$272=$A46)*Loan_Input!$AD$3:$AD$272*Loan_Input!$H$3:$H$272)/SUMIF(Loan_Input!$A$3:$A$272,$A46,Loan_Input!$H$3:$H$272),""))</f>
        <v/>
      </c>
      <c r="M46" s="31">
        <f>IF($A46="","",IFERROR(SUMPRODUCT((Loan_Input!$A$3:$A$272=$A46)*Loan_Input!$AE$3:$AE$272*Loan_Input!$H$3:$H$272)/SUMIF(Loan_Input!$A$3:$A$272,$A46,Loan_Input!$H$3:$H$272),""))</f>
        <v/>
      </c>
      <c r="N46" s="31">
        <f>IF($A46="","",IFERROR(SUMPRODUCT((Loan_Input!$A$3:$A$272=$A46)*Loan_Input!$AF$3:$AF$272*Loan_Input!$H$3:$H$272)/SUMIF(Loan_Input!$A$3:$A$272,$A46,Loan_Input!$H$3:$H$272),""))</f>
        <v/>
      </c>
      <c r="O46" s="27">
        <f>IF($A46="","",IFERROR(SUMPRODUCT((Loan_Input!$A$3:$A$272=$A46)*Loan_Input!$BX$3:$BX$272*Loan_Input!$H$3:$H$272)/SUMIF(Loan_Input!$A$3:$A$272,$A46,Loan_Input!$H$3:$H$272),""))</f>
        <v/>
      </c>
      <c r="P46" s="27">
        <f>IF($A46="","",IFERROR(SUMPRODUCT((Loan_Input!$A$3:$A$272=$A46)*Loan_Input!$BY$3:$BY$272*Loan_Input!$H$3:$H$272)/SUMIF(Loan_Input!$A$3:$A$272,$A46,Loan_Input!$H$3:$H$272),""))</f>
        <v/>
      </c>
      <c r="Q46" s="27">
        <f>IF($A46="","",IFERROR(SUMPRODUCT((Loan_Input!$A$3:$A$272=$A46)*Loan_Input!$BZ$3:$BZ$272*Loan_Input!$H$3:$H$272)/SUMIF(Loan_Input!$A$3:$A$272,$A46,Loan_Input!$H$3:$H$272),""))</f>
        <v/>
      </c>
      <c r="R46" s="27">
        <f>IF($A46="","",IFERROR(SUMPRODUCT((Loan_Input!$A$3:$A$272=$A46)*Loan_Input!$CA$3:$CA$272*Loan_Input!$H$3:$H$272)/SUMIF(Loan_Input!$A$3:$A$272,$A46,Loan_Input!$H$3:$H$272),""))</f>
        <v/>
      </c>
      <c r="S46" s="27">
        <f>IF($A46="","",IFERROR(SUMPRODUCT((Loan_Input!$A$3:$A$272=$A46)*Loan_Input!$CB$3:$CB$272*Loan_Input!$H$3:$H$272)/SUMIF(Loan_Input!$A$3:$A$272,$A46,Loan_Input!$H$3:$H$272),""))</f>
        <v/>
      </c>
      <c r="T46" s="27">
        <f>IF($A46="","",IFERROR(SUMPRODUCT((Loan_Input!$A$3:$A$272=$A46)*Loan_Input!$CC$3:$CC$272*Loan_Input!$H$3:$H$272)/SUMIF(Loan_Input!$A$3:$A$272,$A46,Loan_Input!$H$3:$H$272),""))</f>
        <v/>
      </c>
      <c r="U46" s="27">
        <f>IF($A46="","",IFERROR(SUMPRODUCT((Loan_Input!$A$3:$A$272=$A46)*Loan_Input!$CD$3:$CD$272*Loan_Input!$H$3:$H$272)/SUMIF(Loan_Input!$A$3:$A$272,$A46,Loan_Input!$H$3:$H$272),""))</f>
        <v/>
      </c>
      <c r="V46" s="27">
        <f>IF($A46="","",IFERROR(SUMPRODUCT((Loan_Input!$A$3:$A$272=$A46)*Loan_Input!$CE$3:$CE$272*Loan_Input!$H$3:$H$272)/SUMIF(Loan_Input!$A$3:$A$272,$A46,Loan_Input!$H$3:$H$272),""))</f>
        <v/>
      </c>
      <c r="W46" s="27">
        <f>IF($A46="","",IFERROR(SUMPRODUCT((Loan_Input!$A$3:$A$272=$A46)*Loan_Input!$CF$3:$CF$272*Loan_Input!$H$3:$H$272)/SUMIF(Loan_Input!$A$3:$A$272,$A46,Loan_Input!$H$3:$H$272),""))</f>
        <v/>
      </c>
      <c r="X46" s="27">
        <f>IF($A46="","",IFERROR(SUMPRODUCT((Loan_Input!$A$3:$A$272=$A46)*Loan_Input!$CG$3:$CG$272*Loan_Input!$H$3:$H$272)/SUMIF(Loan_Input!$A$3:$A$272,$A46,Loan_Input!$H$3:$H$272),""))</f>
        <v/>
      </c>
      <c r="Y46" s="27">
        <f>IF($A46="","",IFERROR(SUMPRODUCT((Loan_Input!$A$3:$A$272=$A46)*Loan_Input!$CH$3:$CH$272*Loan_Input!$H$3:$H$272)/SUMIF(Loan_Input!$A$3:$A$272,$A46,Loan_Input!$H$3:$H$272),""))</f>
        <v/>
      </c>
      <c r="Z46" s="27">
        <f>IF($A46="","",IFERROR(SUMPRODUCT((Loan_Input!$A$3:$A$272=$A46)*Loan_Input!$CI$3:$CI$272*Loan_Input!$H$3:$H$272)/SUMIF(Loan_Input!$A$3:$A$272,$A46,Loan_Input!$H$3:$H$272),""))</f>
        <v/>
      </c>
      <c r="AA46" s="27">
        <f>IF($A46="","",IFERROR(SUMPRODUCT((Loan_Input!$A$3:$A$272=$A46)*Loan_Input!$CJ$3:$CJ$272*Loan_Input!$H$3:$H$272)/SUMIF(Loan_Input!$A$3:$A$272,$A46,Loan_Input!$H$3:$H$272),""))</f>
        <v/>
      </c>
      <c r="AB46" s="31">
        <f>IF($A46="","",IFERROR(SUMPRODUCT((Loan_Input!$A$3:$A$272=$A46)*Loan_Input!$AQ$3:$AQ$272*Loan_Input!$H$3:$H$272)/SUMIF(Loan_Input!$A$3:$A$272,$A46,Loan_Input!$H$3:$H$272),""))</f>
        <v/>
      </c>
      <c r="AC46" s="31">
        <f>IF($A46="","",IFERROR(SUMPRODUCT((Loan_Input!$A$3:$A$272=$A46)*Loan_Input!$AW$3:$AW$272*Loan_Input!$H$3:$H$272)/SUMIF(Loan_Input!$A$3:$A$272,$A46,Loan_Input!$H$3:$H$272),""))</f>
        <v/>
      </c>
      <c r="AD46" s="31">
        <f>IF($A46="","",IFERROR(SUMPRODUCT((Loan_Input!$A$3:$A$272=$A46)*Loan_Input!$AU$3:$AU$272*Loan_Input!$H$3:$H$272)/SUMIF(Loan_Input!$A$3:$A$272,$A46,Loan_Input!$H$3:$H$272),""))</f>
        <v/>
      </c>
      <c r="AE46" s="31">
        <f>IF($A46="","",IFERROR(SUMPRODUCT((Loan_Input!$A$3:$A$272=$A46)*(Loan_Input!$AO$3:$AO$272="223f")*Loan_Input!$H$3:$H$272)/SUMIF(Loan_Input!$A$3:$A$272,$A46,Loan_Input!$H$3:$H$272),""))</f>
        <v/>
      </c>
      <c r="AF46" s="31">
        <f>IF($A46="","",IFERROR(SUMPRODUCT((Loan_Input!$A$3:$A$272=$A46)*Loan_Input!$AV$3:$AV$272*Loan_Input!$H$3:$H$272)/SUMIF(Loan_Input!$A$3:$A$272,$A46,Loan_Input!$H$3:$H$272),""))</f>
        <v/>
      </c>
      <c r="AG46" s="31">
        <f>IF($A46="","",IFERROR(SUMPRODUCT((Loan_Input!$A$3:$A$272=$A46)*Loan_Input!$AX$3:$AX$272*Loan_Input!$H$3:$H$272)/SUMIF(Loan_Input!$A$3:$A$272,$A46,Loan_Input!$H$3:$H$272),""))</f>
        <v/>
      </c>
      <c r="AH46" s="31">
        <f>IF($A46="","",IFERROR(SUMPRODUCT((Loan_Input!$A$3:$A$272=$A46)*(Loan_Input!$AR$3:$AR$272+Loan_Input!$AS$3:$AS$272)*Loan_Input!$H$3:$H$272)/SUMIF(Loan_Input!$A$3:$A$272,$A46,Loan_Input!$H$3:$H$272),""))</f>
        <v/>
      </c>
    </row>
    <row r="47">
      <c r="B47">
        <f>IF($A47="","",COUNTIF(Loan_Input!$A$3:$A$272,$A47))</f>
        <v/>
      </c>
      <c r="C47" s="26">
        <f>IF($A47="","",SUMIF(Loan_Input!$A$3:$A$272,$A47,Loan_Input!$H$3:$H$272)/1000000)</f>
        <v/>
      </c>
      <c r="D47" s="27">
        <f>IF($A47="","",IFERROR(SUMPRODUCT((Loan_Input!$A$3:$A$272=$A47)*Loan_Input!$BV$3:$BV$272*Loan_Input!$H$3:$H$272)/SUMIF(Loan_Input!$A$3:$A$272,$A47,Loan_Input!$H$3:$H$272),""))</f>
        <v/>
      </c>
      <c r="E47" s="27">
        <f>IF($A47="","",IFERROR(SUMPRODUCT((Loan_Input!$A$3:$A$272=$A47)*Loan_Input!$BW$3:$BW$272*Loan_Input!$H$3:$H$272)/SUMIF(Loan_Input!$A$3:$A$272,$A47,Loan_Input!$H$3:$H$272),""))</f>
        <v/>
      </c>
      <c r="F47" s="28">
        <f>IF($A47="","",IFERROR(SUMPRODUCT((Loan_Input!$A$3:$A$272=$A47)*Loan_Input!$AA$3:$AA$272*Loan_Input!$H$3:$H$272)/SUMIF(Loan_Input!$A$3:$A$272,$A47,Loan_Input!$H$3:$H$272),""))</f>
        <v/>
      </c>
      <c r="G47" s="29">
        <f>IF($A47="","",IFERROR(SUMPRODUCT((Loan_Input!$A$3:$A$272=$A47)*Loan_Input!$G$3:$G$272*Loan_Input!$H$3:$H$272)/SUMIF(Loan_Input!$A$3:$A$272,$A47,Loan_Input!$H$3:$H$272),""))</f>
        <v/>
      </c>
      <c r="H47" s="30">
        <f>IF($A47="","",IFERROR(SUMPRODUCT((Loan_Input!$A$3:$A$272=$A47)*Loan_Input!$AM$3:$AM$272*Loan_Input!$H$3:$H$272)/SUMIF(Loan_Input!$A$3:$A$272,$A47,Loan_Input!$H$3:$H$272),""))</f>
        <v/>
      </c>
      <c r="I47" s="27">
        <f>IF($A47="","",IFERROR(SUMPRODUCT((Loan_Input!$A$3:$A$272=$A47)*Loan_Input!$AK$3:$AK$272*Loan_Input!$H$3:$H$272)/SUMIF(Loan_Input!$A$3:$A$272,$A47,Loan_Input!$H$3:$H$272),""))</f>
        <v/>
      </c>
      <c r="J47" s="30">
        <f>IF($A47="","",IFERROR(SUMPRODUCT((Loan_Input!$A$3:$A$272=$A47)*Loan_Input!$AI$3:$AI$272*Loan_Input!$H$3:$H$272)/SUMIF(Loan_Input!$A$3:$A$272,$A47,Loan_Input!$H$3:$H$272),""))</f>
        <v/>
      </c>
      <c r="K47" s="27">
        <f>IF($A47="","",IFERROR(SUMPRODUCT((Loan_Input!$A$3:$A$272=$A47)*Loan_Input!$AN$3:$AN$272*Loan_Input!$H$3:$H$272)/SUMIF(Loan_Input!$A$3:$A$272,$A47,Loan_Input!$H$3:$H$272),""))</f>
        <v/>
      </c>
      <c r="L47" s="31">
        <f>IF($A47="","",IFERROR(SUMPRODUCT((Loan_Input!$A$3:$A$272=$A47)*Loan_Input!$AD$3:$AD$272*Loan_Input!$H$3:$H$272)/SUMIF(Loan_Input!$A$3:$A$272,$A47,Loan_Input!$H$3:$H$272),""))</f>
        <v/>
      </c>
      <c r="M47" s="31">
        <f>IF($A47="","",IFERROR(SUMPRODUCT((Loan_Input!$A$3:$A$272=$A47)*Loan_Input!$AE$3:$AE$272*Loan_Input!$H$3:$H$272)/SUMIF(Loan_Input!$A$3:$A$272,$A47,Loan_Input!$H$3:$H$272),""))</f>
        <v/>
      </c>
      <c r="N47" s="31">
        <f>IF($A47="","",IFERROR(SUMPRODUCT((Loan_Input!$A$3:$A$272=$A47)*Loan_Input!$AF$3:$AF$272*Loan_Input!$H$3:$H$272)/SUMIF(Loan_Input!$A$3:$A$272,$A47,Loan_Input!$H$3:$H$272),""))</f>
        <v/>
      </c>
      <c r="O47" s="27">
        <f>IF($A47="","",IFERROR(SUMPRODUCT((Loan_Input!$A$3:$A$272=$A47)*Loan_Input!$BX$3:$BX$272*Loan_Input!$H$3:$H$272)/SUMIF(Loan_Input!$A$3:$A$272,$A47,Loan_Input!$H$3:$H$272),""))</f>
        <v/>
      </c>
      <c r="P47" s="27">
        <f>IF($A47="","",IFERROR(SUMPRODUCT((Loan_Input!$A$3:$A$272=$A47)*Loan_Input!$BY$3:$BY$272*Loan_Input!$H$3:$H$272)/SUMIF(Loan_Input!$A$3:$A$272,$A47,Loan_Input!$H$3:$H$272),""))</f>
        <v/>
      </c>
      <c r="Q47" s="27">
        <f>IF($A47="","",IFERROR(SUMPRODUCT((Loan_Input!$A$3:$A$272=$A47)*Loan_Input!$BZ$3:$BZ$272*Loan_Input!$H$3:$H$272)/SUMIF(Loan_Input!$A$3:$A$272,$A47,Loan_Input!$H$3:$H$272),""))</f>
        <v/>
      </c>
      <c r="R47" s="27">
        <f>IF($A47="","",IFERROR(SUMPRODUCT((Loan_Input!$A$3:$A$272=$A47)*Loan_Input!$CA$3:$CA$272*Loan_Input!$H$3:$H$272)/SUMIF(Loan_Input!$A$3:$A$272,$A47,Loan_Input!$H$3:$H$272),""))</f>
        <v/>
      </c>
      <c r="S47" s="27">
        <f>IF($A47="","",IFERROR(SUMPRODUCT((Loan_Input!$A$3:$A$272=$A47)*Loan_Input!$CB$3:$CB$272*Loan_Input!$H$3:$H$272)/SUMIF(Loan_Input!$A$3:$A$272,$A47,Loan_Input!$H$3:$H$272),""))</f>
        <v/>
      </c>
      <c r="T47" s="27">
        <f>IF($A47="","",IFERROR(SUMPRODUCT((Loan_Input!$A$3:$A$272=$A47)*Loan_Input!$CC$3:$CC$272*Loan_Input!$H$3:$H$272)/SUMIF(Loan_Input!$A$3:$A$272,$A47,Loan_Input!$H$3:$H$272),""))</f>
        <v/>
      </c>
      <c r="U47" s="27">
        <f>IF($A47="","",IFERROR(SUMPRODUCT((Loan_Input!$A$3:$A$272=$A47)*Loan_Input!$CD$3:$CD$272*Loan_Input!$H$3:$H$272)/SUMIF(Loan_Input!$A$3:$A$272,$A47,Loan_Input!$H$3:$H$272),""))</f>
        <v/>
      </c>
      <c r="V47" s="27">
        <f>IF($A47="","",IFERROR(SUMPRODUCT((Loan_Input!$A$3:$A$272=$A47)*Loan_Input!$CE$3:$CE$272*Loan_Input!$H$3:$H$272)/SUMIF(Loan_Input!$A$3:$A$272,$A47,Loan_Input!$H$3:$H$272),""))</f>
        <v/>
      </c>
      <c r="W47" s="27">
        <f>IF($A47="","",IFERROR(SUMPRODUCT((Loan_Input!$A$3:$A$272=$A47)*Loan_Input!$CF$3:$CF$272*Loan_Input!$H$3:$H$272)/SUMIF(Loan_Input!$A$3:$A$272,$A47,Loan_Input!$H$3:$H$272),""))</f>
        <v/>
      </c>
      <c r="X47" s="27">
        <f>IF($A47="","",IFERROR(SUMPRODUCT((Loan_Input!$A$3:$A$272=$A47)*Loan_Input!$CG$3:$CG$272*Loan_Input!$H$3:$H$272)/SUMIF(Loan_Input!$A$3:$A$272,$A47,Loan_Input!$H$3:$H$272),""))</f>
        <v/>
      </c>
      <c r="Y47" s="27">
        <f>IF($A47="","",IFERROR(SUMPRODUCT((Loan_Input!$A$3:$A$272=$A47)*Loan_Input!$CH$3:$CH$272*Loan_Input!$H$3:$H$272)/SUMIF(Loan_Input!$A$3:$A$272,$A47,Loan_Input!$H$3:$H$272),""))</f>
        <v/>
      </c>
      <c r="Z47" s="27">
        <f>IF($A47="","",IFERROR(SUMPRODUCT((Loan_Input!$A$3:$A$272=$A47)*Loan_Input!$CI$3:$CI$272*Loan_Input!$H$3:$H$272)/SUMIF(Loan_Input!$A$3:$A$272,$A47,Loan_Input!$H$3:$H$272),""))</f>
        <v/>
      </c>
      <c r="AA47" s="27">
        <f>IF($A47="","",IFERROR(SUMPRODUCT((Loan_Input!$A$3:$A$272=$A47)*Loan_Input!$CJ$3:$CJ$272*Loan_Input!$H$3:$H$272)/SUMIF(Loan_Input!$A$3:$A$272,$A47,Loan_Input!$H$3:$H$272),""))</f>
        <v/>
      </c>
      <c r="AB47" s="31">
        <f>IF($A47="","",IFERROR(SUMPRODUCT((Loan_Input!$A$3:$A$272=$A47)*Loan_Input!$AQ$3:$AQ$272*Loan_Input!$H$3:$H$272)/SUMIF(Loan_Input!$A$3:$A$272,$A47,Loan_Input!$H$3:$H$272),""))</f>
        <v/>
      </c>
      <c r="AC47" s="31">
        <f>IF($A47="","",IFERROR(SUMPRODUCT((Loan_Input!$A$3:$A$272=$A47)*Loan_Input!$AW$3:$AW$272*Loan_Input!$H$3:$H$272)/SUMIF(Loan_Input!$A$3:$A$272,$A47,Loan_Input!$H$3:$H$272),""))</f>
        <v/>
      </c>
      <c r="AD47" s="31">
        <f>IF($A47="","",IFERROR(SUMPRODUCT((Loan_Input!$A$3:$A$272=$A47)*Loan_Input!$AU$3:$AU$272*Loan_Input!$H$3:$H$272)/SUMIF(Loan_Input!$A$3:$A$272,$A47,Loan_Input!$H$3:$H$272),""))</f>
        <v/>
      </c>
      <c r="AE47" s="31">
        <f>IF($A47="","",IFERROR(SUMPRODUCT((Loan_Input!$A$3:$A$272=$A47)*(Loan_Input!$AO$3:$AO$272="223f")*Loan_Input!$H$3:$H$272)/SUMIF(Loan_Input!$A$3:$A$272,$A47,Loan_Input!$H$3:$H$272),""))</f>
        <v/>
      </c>
      <c r="AF47" s="31">
        <f>IF($A47="","",IFERROR(SUMPRODUCT((Loan_Input!$A$3:$A$272=$A47)*Loan_Input!$AV$3:$AV$272*Loan_Input!$H$3:$H$272)/SUMIF(Loan_Input!$A$3:$A$272,$A47,Loan_Input!$H$3:$H$272),""))</f>
        <v/>
      </c>
      <c r="AG47" s="31">
        <f>IF($A47="","",IFERROR(SUMPRODUCT((Loan_Input!$A$3:$A$272=$A47)*Loan_Input!$AX$3:$AX$272*Loan_Input!$H$3:$H$272)/SUMIF(Loan_Input!$A$3:$A$272,$A47,Loan_Input!$H$3:$H$272),""))</f>
        <v/>
      </c>
      <c r="AH47" s="31">
        <f>IF($A47="","",IFERROR(SUMPRODUCT((Loan_Input!$A$3:$A$272=$A47)*(Loan_Input!$AR$3:$AR$272+Loan_Input!$AS$3:$AS$272)*Loan_Input!$H$3:$H$272)/SUMIF(Loan_Input!$A$3:$A$272,$A47,Loan_Input!$H$3:$H$272),""))</f>
        <v/>
      </c>
    </row>
    <row r="48">
      <c r="B48">
        <f>IF($A48="","",COUNTIF(Loan_Input!$A$3:$A$272,$A48))</f>
        <v/>
      </c>
      <c r="C48" s="26">
        <f>IF($A48="","",SUMIF(Loan_Input!$A$3:$A$272,$A48,Loan_Input!$H$3:$H$272)/1000000)</f>
        <v/>
      </c>
      <c r="D48" s="27">
        <f>IF($A48="","",IFERROR(SUMPRODUCT((Loan_Input!$A$3:$A$272=$A48)*Loan_Input!$BV$3:$BV$272*Loan_Input!$H$3:$H$272)/SUMIF(Loan_Input!$A$3:$A$272,$A48,Loan_Input!$H$3:$H$272),""))</f>
        <v/>
      </c>
      <c r="E48" s="27">
        <f>IF($A48="","",IFERROR(SUMPRODUCT((Loan_Input!$A$3:$A$272=$A48)*Loan_Input!$BW$3:$BW$272*Loan_Input!$H$3:$H$272)/SUMIF(Loan_Input!$A$3:$A$272,$A48,Loan_Input!$H$3:$H$272),""))</f>
        <v/>
      </c>
      <c r="F48" s="28">
        <f>IF($A48="","",IFERROR(SUMPRODUCT((Loan_Input!$A$3:$A$272=$A48)*Loan_Input!$AA$3:$AA$272*Loan_Input!$H$3:$H$272)/SUMIF(Loan_Input!$A$3:$A$272,$A48,Loan_Input!$H$3:$H$272),""))</f>
        <v/>
      </c>
      <c r="G48" s="29">
        <f>IF($A48="","",IFERROR(SUMPRODUCT((Loan_Input!$A$3:$A$272=$A48)*Loan_Input!$G$3:$G$272*Loan_Input!$H$3:$H$272)/SUMIF(Loan_Input!$A$3:$A$272,$A48,Loan_Input!$H$3:$H$272),""))</f>
        <v/>
      </c>
      <c r="H48" s="30">
        <f>IF($A48="","",IFERROR(SUMPRODUCT((Loan_Input!$A$3:$A$272=$A48)*Loan_Input!$AM$3:$AM$272*Loan_Input!$H$3:$H$272)/SUMIF(Loan_Input!$A$3:$A$272,$A48,Loan_Input!$H$3:$H$272),""))</f>
        <v/>
      </c>
      <c r="I48" s="27">
        <f>IF($A48="","",IFERROR(SUMPRODUCT((Loan_Input!$A$3:$A$272=$A48)*Loan_Input!$AK$3:$AK$272*Loan_Input!$H$3:$H$272)/SUMIF(Loan_Input!$A$3:$A$272,$A48,Loan_Input!$H$3:$H$272),""))</f>
        <v/>
      </c>
      <c r="J48" s="30">
        <f>IF($A48="","",IFERROR(SUMPRODUCT((Loan_Input!$A$3:$A$272=$A48)*Loan_Input!$AI$3:$AI$272*Loan_Input!$H$3:$H$272)/SUMIF(Loan_Input!$A$3:$A$272,$A48,Loan_Input!$H$3:$H$272),""))</f>
        <v/>
      </c>
      <c r="K48" s="27">
        <f>IF($A48="","",IFERROR(SUMPRODUCT((Loan_Input!$A$3:$A$272=$A48)*Loan_Input!$AN$3:$AN$272*Loan_Input!$H$3:$H$272)/SUMIF(Loan_Input!$A$3:$A$272,$A48,Loan_Input!$H$3:$H$272),""))</f>
        <v/>
      </c>
      <c r="L48" s="31">
        <f>IF($A48="","",IFERROR(SUMPRODUCT((Loan_Input!$A$3:$A$272=$A48)*Loan_Input!$AD$3:$AD$272*Loan_Input!$H$3:$H$272)/SUMIF(Loan_Input!$A$3:$A$272,$A48,Loan_Input!$H$3:$H$272),""))</f>
        <v/>
      </c>
      <c r="M48" s="31">
        <f>IF($A48="","",IFERROR(SUMPRODUCT((Loan_Input!$A$3:$A$272=$A48)*Loan_Input!$AE$3:$AE$272*Loan_Input!$H$3:$H$272)/SUMIF(Loan_Input!$A$3:$A$272,$A48,Loan_Input!$H$3:$H$272),""))</f>
        <v/>
      </c>
      <c r="N48" s="31">
        <f>IF($A48="","",IFERROR(SUMPRODUCT((Loan_Input!$A$3:$A$272=$A48)*Loan_Input!$AF$3:$AF$272*Loan_Input!$H$3:$H$272)/SUMIF(Loan_Input!$A$3:$A$272,$A48,Loan_Input!$H$3:$H$272),""))</f>
        <v/>
      </c>
      <c r="O48" s="27">
        <f>IF($A48="","",IFERROR(SUMPRODUCT((Loan_Input!$A$3:$A$272=$A48)*Loan_Input!$BX$3:$BX$272*Loan_Input!$H$3:$H$272)/SUMIF(Loan_Input!$A$3:$A$272,$A48,Loan_Input!$H$3:$H$272),""))</f>
        <v/>
      </c>
      <c r="P48" s="27">
        <f>IF($A48="","",IFERROR(SUMPRODUCT((Loan_Input!$A$3:$A$272=$A48)*Loan_Input!$BY$3:$BY$272*Loan_Input!$H$3:$H$272)/SUMIF(Loan_Input!$A$3:$A$272,$A48,Loan_Input!$H$3:$H$272),""))</f>
        <v/>
      </c>
      <c r="Q48" s="27">
        <f>IF($A48="","",IFERROR(SUMPRODUCT((Loan_Input!$A$3:$A$272=$A48)*Loan_Input!$BZ$3:$BZ$272*Loan_Input!$H$3:$H$272)/SUMIF(Loan_Input!$A$3:$A$272,$A48,Loan_Input!$H$3:$H$272),""))</f>
        <v/>
      </c>
      <c r="R48" s="27">
        <f>IF($A48="","",IFERROR(SUMPRODUCT((Loan_Input!$A$3:$A$272=$A48)*Loan_Input!$CA$3:$CA$272*Loan_Input!$H$3:$H$272)/SUMIF(Loan_Input!$A$3:$A$272,$A48,Loan_Input!$H$3:$H$272),""))</f>
        <v/>
      </c>
      <c r="S48" s="27">
        <f>IF($A48="","",IFERROR(SUMPRODUCT((Loan_Input!$A$3:$A$272=$A48)*Loan_Input!$CB$3:$CB$272*Loan_Input!$H$3:$H$272)/SUMIF(Loan_Input!$A$3:$A$272,$A48,Loan_Input!$H$3:$H$272),""))</f>
        <v/>
      </c>
      <c r="T48" s="27">
        <f>IF($A48="","",IFERROR(SUMPRODUCT((Loan_Input!$A$3:$A$272=$A48)*Loan_Input!$CC$3:$CC$272*Loan_Input!$H$3:$H$272)/SUMIF(Loan_Input!$A$3:$A$272,$A48,Loan_Input!$H$3:$H$272),""))</f>
        <v/>
      </c>
      <c r="U48" s="27">
        <f>IF($A48="","",IFERROR(SUMPRODUCT((Loan_Input!$A$3:$A$272=$A48)*Loan_Input!$CD$3:$CD$272*Loan_Input!$H$3:$H$272)/SUMIF(Loan_Input!$A$3:$A$272,$A48,Loan_Input!$H$3:$H$272),""))</f>
        <v/>
      </c>
      <c r="V48" s="27">
        <f>IF($A48="","",IFERROR(SUMPRODUCT((Loan_Input!$A$3:$A$272=$A48)*Loan_Input!$CE$3:$CE$272*Loan_Input!$H$3:$H$272)/SUMIF(Loan_Input!$A$3:$A$272,$A48,Loan_Input!$H$3:$H$272),""))</f>
        <v/>
      </c>
      <c r="W48" s="27">
        <f>IF($A48="","",IFERROR(SUMPRODUCT((Loan_Input!$A$3:$A$272=$A48)*Loan_Input!$CF$3:$CF$272*Loan_Input!$H$3:$H$272)/SUMIF(Loan_Input!$A$3:$A$272,$A48,Loan_Input!$H$3:$H$272),""))</f>
        <v/>
      </c>
      <c r="X48" s="27">
        <f>IF($A48="","",IFERROR(SUMPRODUCT((Loan_Input!$A$3:$A$272=$A48)*Loan_Input!$CG$3:$CG$272*Loan_Input!$H$3:$H$272)/SUMIF(Loan_Input!$A$3:$A$272,$A48,Loan_Input!$H$3:$H$272),""))</f>
        <v/>
      </c>
      <c r="Y48" s="27">
        <f>IF($A48="","",IFERROR(SUMPRODUCT((Loan_Input!$A$3:$A$272=$A48)*Loan_Input!$CH$3:$CH$272*Loan_Input!$H$3:$H$272)/SUMIF(Loan_Input!$A$3:$A$272,$A48,Loan_Input!$H$3:$H$272),""))</f>
        <v/>
      </c>
      <c r="Z48" s="27">
        <f>IF($A48="","",IFERROR(SUMPRODUCT((Loan_Input!$A$3:$A$272=$A48)*Loan_Input!$CI$3:$CI$272*Loan_Input!$H$3:$H$272)/SUMIF(Loan_Input!$A$3:$A$272,$A48,Loan_Input!$H$3:$H$272),""))</f>
        <v/>
      </c>
      <c r="AA48" s="27">
        <f>IF($A48="","",IFERROR(SUMPRODUCT((Loan_Input!$A$3:$A$272=$A48)*Loan_Input!$CJ$3:$CJ$272*Loan_Input!$H$3:$H$272)/SUMIF(Loan_Input!$A$3:$A$272,$A48,Loan_Input!$H$3:$H$272),""))</f>
        <v/>
      </c>
      <c r="AB48" s="31">
        <f>IF($A48="","",IFERROR(SUMPRODUCT((Loan_Input!$A$3:$A$272=$A48)*Loan_Input!$AQ$3:$AQ$272*Loan_Input!$H$3:$H$272)/SUMIF(Loan_Input!$A$3:$A$272,$A48,Loan_Input!$H$3:$H$272),""))</f>
        <v/>
      </c>
      <c r="AC48" s="31">
        <f>IF($A48="","",IFERROR(SUMPRODUCT((Loan_Input!$A$3:$A$272=$A48)*Loan_Input!$AW$3:$AW$272*Loan_Input!$H$3:$H$272)/SUMIF(Loan_Input!$A$3:$A$272,$A48,Loan_Input!$H$3:$H$272),""))</f>
        <v/>
      </c>
      <c r="AD48" s="31">
        <f>IF($A48="","",IFERROR(SUMPRODUCT((Loan_Input!$A$3:$A$272=$A48)*Loan_Input!$AU$3:$AU$272*Loan_Input!$H$3:$H$272)/SUMIF(Loan_Input!$A$3:$A$272,$A48,Loan_Input!$H$3:$H$272),""))</f>
        <v/>
      </c>
      <c r="AE48" s="31">
        <f>IF($A48="","",IFERROR(SUMPRODUCT((Loan_Input!$A$3:$A$272=$A48)*(Loan_Input!$AO$3:$AO$272="223f")*Loan_Input!$H$3:$H$272)/SUMIF(Loan_Input!$A$3:$A$272,$A48,Loan_Input!$H$3:$H$272),""))</f>
        <v/>
      </c>
      <c r="AF48" s="31">
        <f>IF($A48="","",IFERROR(SUMPRODUCT((Loan_Input!$A$3:$A$272=$A48)*Loan_Input!$AV$3:$AV$272*Loan_Input!$H$3:$H$272)/SUMIF(Loan_Input!$A$3:$A$272,$A48,Loan_Input!$H$3:$H$272),""))</f>
        <v/>
      </c>
      <c r="AG48" s="31">
        <f>IF($A48="","",IFERROR(SUMPRODUCT((Loan_Input!$A$3:$A$272=$A48)*Loan_Input!$AX$3:$AX$272*Loan_Input!$H$3:$H$272)/SUMIF(Loan_Input!$A$3:$A$272,$A48,Loan_Input!$H$3:$H$272),""))</f>
        <v/>
      </c>
      <c r="AH48" s="31">
        <f>IF($A48="","",IFERROR(SUMPRODUCT((Loan_Input!$A$3:$A$272=$A48)*(Loan_Input!$AR$3:$AR$272+Loan_Input!$AS$3:$AS$272)*Loan_Input!$H$3:$H$272)/SUMIF(Loan_Input!$A$3:$A$272,$A48,Loan_Input!$H$3:$H$272),""))</f>
        <v/>
      </c>
    </row>
    <row r="49">
      <c r="B49">
        <f>IF($A49="","",COUNTIF(Loan_Input!$A$3:$A$272,$A49))</f>
        <v/>
      </c>
      <c r="C49" s="26">
        <f>IF($A49="","",SUMIF(Loan_Input!$A$3:$A$272,$A49,Loan_Input!$H$3:$H$272)/1000000)</f>
        <v/>
      </c>
      <c r="D49" s="27">
        <f>IF($A49="","",IFERROR(SUMPRODUCT((Loan_Input!$A$3:$A$272=$A49)*Loan_Input!$BV$3:$BV$272*Loan_Input!$H$3:$H$272)/SUMIF(Loan_Input!$A$3:$A$272,$A49,Loan_Input!$H$3:$H$272),""))</f>
        <v/>
      </c>
      <c r="E49" s="27">
        <f>IF($A49="","",IFERROR(SUMPRODUCT((Loan_Input!$A$3:$A$272=$A49)*Loan_Input!$BW$3:$BW$272*Loan_Input!$H$3:$H$272)/SUMIF(Loan_Input!$A$3:$A$272,$A49,Loan_Input!$H$3:$H$272),""))</f>
        <v/>
      </c>
      <c r="F49" s="28">
        <f>IF($A49="","",IFERROR(SUMPRODUCT((Loan_Input!$A$3:$A$272=$A49)*Loan_Input!$AA$3:$AA$272*Loan_Input!$H$3:$H$272)/SUMIF(Loan_Input!$A$3:$A$272,$A49,Loan_Input!$H$3:$H$272),""))</f>
        <v/>
      </c>
      <c r="G49" s="29">
        <f>IF($A49="","",IFERROR(SUMPRODUCT((Loan_Input!$A$3:$A$272=$A49)*Loan_Input!$G$3:$G$272*Loan_Input!$H$3:$H$272)/SUMIF(Loan_Input!$A$3:$A$272,$A49,Loan_Input!$H$3:$H$272),""))</f>
        <v/>
      </c>
      <c r="H49" s="30">
        <f>IF($A49="","",IFERROR(SUMPRODUCT((Loan_Input!$A$3:$A$272=$A49)*Loan_Input!$AM$3:$AM$272*Loan_Input!$H$3:$H$272)/SUMIF(Loan_Input!$A$3:$A$272,$A49,Loan_Input!$H$3:$H$272),""))</f>
        <v/>
      </c>
      <c r="I49" s="27">
        <f>IF($A49="","",IFERROR(SUMPRODUCT((Loan_Input!$A$3:$A$272=$A49)*Loan_Input!$AK$3:$AK$272*Loan_Input!$H$3:$H$272)/SUMIF(Loan_Input!$A$3:$A$272,$A49,Loan_Input!$H$3:$H$272),""))</f>
        <v/>
      </c>
      <c r="J49" s="30">
        <f>IF($A49="","",IFERROR(SUMPRODUCT((Loan_Input!$A$3:$A$272=$A49)*Loan_Input!$AI$3:$AI$272*Loan_Input!$H$3:$H$272)/SUMIF(Loan_Input!$A$3:$A$272,$A49,Loan_Input!$H$3:$H$272),""))</f>
        <v/>
      </c>
      <c r="K49" s="27">
        <f>IF($A49="","",IFERROR(SUMPRODUCT((Loan_Input!$A$3:$A$272=$A49)*Loan_Input!$AN$3:$AN$272*Loan_Input!$H$3:$H$272)/SUMIF(Loan_Input!$A$3:$A$272,$A49,Loan_Input!$H$3:$H$272),""))</f>
        <v/>
      </c>
      <c r="L49" s="31">
        <f>IF($A49="","",IFERROR(SUMPRODUCT((Loan_Input!$A$3:$A$272=$A49)*Loan_Input!$AD$3:$AD$272*Loan_Input!$H$3:$H$272)/SUMIF(Loan_Input!$A$3:$A$272,$A49,Loan_Input!$H$3:$H$272),""))</f>
        <v/>
      </c>
      <c r="M49" s="31">
        <f>IF($A49="","",IFERROR(SUMPRODUCT((Loan_Input!$A$3:$A$272=$A49)*Loan_Input!$AE$3:$AE$272*Loan_Input!$H$3:$H$272)/SUMIF(Loan_Input!$A$3:$A$272,$A49,Loan_Input!$H$3:$H$272),""))</f>
        <v/>
      </c>
      <c r="N49" s="31">
        <f>IF($A49="","",IFERROR(SUMPRODUCT((Loan_Input!$A$3:$A$272=$A49)*Loan_Input!$AF$3:$AF$272*Loan_Input!$H$3:$H$272)/SUMIF(Loan_Input!$A$3:$A$272,$A49,Loan_Input!$H$3:$H$272),""))</f>
        <v/>
      </c>
      <c r="O49" s="27">
        <f>IF($A49="","",IFERROR(SUMPRODUCT((Loan_Input!$A$3:$A$272=$A49)*Loan_Input!$BX$3:$BX$272*Loan_Input!$H$3:$H$272)/SUMIF(Loan_Input!$A$3:$A$272,$A49,Loan_Input!$H$3:$H$272),""))</f>
        <v/>
      </c>
      <c r="P49" s="27">
        <f>IF($A49="","",IFERROR(SUMPRODUCT((Loan_Input!$A$3:$A$272=$A49)*Loan_Input!$BY$3:$BY$272*Loan_Input!$H$3:$H$272)/SUMIF(Loan_Input!$A$3:$A$272,$A49,Loan_Input!$H$3:$H$272),""))</f>
        <v/>
      </c>
      <c r="Q49" s="27">
        <f>IF($A49="","",IFERROR(SUMPRODUCT((Loan_Input!$A$3:$A$272=$A49)*Loan_Input!$BZ$3:$BZ$272*Loan_Input!$H$3:$H$272)/SUMIF(Loan_Input!$A$3:$A$272,$A49,Loan_Input!$H$3:$H$272),""))</f>
        <v/>
      </c>
      <c r="R49" s="27">
        <f>IF($A49="","",IFERROR(SUMPRODUCT((Loan_Input!$A$3:$A$272=$A49)*Loan_Input!$CA$3:$CA$272*Loan_Input!$H$3:$H$272)/SUMIF(Loan_Input!$A$3:$A$272,$A49,Loan_Input!$H$3:$H$272),""))</f>
        <v/>
      </c>
      <c r="S49" s="27">
        <f>IF($A49="","",IFERROR(SUMPRODUCT((Loan_Input!$A$3:$A$272=$A49)*Loan_Input!$CB$3:$CB$272*Loan_Input!$H$3:$H$272)/SUMIF(Loan_Input!$A$3:$A$272,$A49,Loan_Input!$H$3:$H$272),""))</f>
        <v/>
      </c>
      <c r="T49" s="27">
        <f>IF($A49="","",IFERROR(SUMPRODUCT((Loan_Input!$A$3:$A$272=$A49)*Loan_Input!$CC$3:$CC$272*Loan_Input!$H$3:$H$272)/SUMIF(Loan_Input!$A$3:$A$272,$A49,Loan_Input!$H$3:$H$272),""))</f>
        <v/>
      </c>
      <c r="U49" s="27">
        <f>IF($A49="","",IFERROR(SUMPRODUCT((Loan_Input!$A$3:$A$272=$A49)*Loan_Input!$CD$3:$CD$272*Loan_Input!$H$3:$H$272)/SUMIF(Loan_Input!$A$3:$A$272,$A49,Loan_Input!$H$3:$H$272),""))</f>
        <v/>
      </c>
      <c r="V49" s="27">
        <f>IF($A49="","",IFERROR(SUMPRODUCT((Loan_Input!$A$3:$A$272=$A49)*Loan_Input!$CE$3:$CE$272*Loan_Input!$H$3:$H$272)/SUMIF(Loan_Input!$A$3:$A$272,$A49,Loan_Input!$H$3:$H$272),""))</f>
        <v/>
      </c>
      <c r="W49" s="27">
        <f>IF($A49="","",IFERROR(SUMPRODUCT((Loan_Input!$A$3:$A$272=$A49)*Loan_Input!$CF$3:$CF$272*Loan_Input!$H$3:$H$272)/SUMIF(Loan_Input!$A$3:$A$272,$A49,Loan_Input!$H$3:$H$272),""))</f>
        <v/>
      </c>
      <c r="X49" s="27">
        <f>IF($A49="","",IFERROR(SUMPRODUCT((Loan_Input!$A$3:$A$272=$A49)*Loan_Input!$CG$3:$CG$272*Loan_Input!$H$3:$H$272)/SUMIF(Loan_Input!$A$3:$A$272,$A49,Loan_Input!$H$3:$H$272),""))</f>
        <v/>
      </c>
      <c r="Y49" s="27">
        <f>IF($A49="","",IFERROR(SUMPRODUCT((Loan_Input!$A$3:$A$272=$A49)*Loan_Input!$CH$3:$CH$272*Loan_Input!$H$3:$H$272)/SUMIF(Loan_Input!$A$3:$A$272,$A49,Loan_Input!$H$3:$H$272),""))</f>
        <v/>
      </c>
      <c r="Z49" s="27">
        <f>IF($A49="","",IFERROR(SUMPRODUCT((Loan_Input!$A$3:$A$272=$A49)*Loan_Input!$CI$3:$CI$272*Loan_Input!$H$3:$H$272)/SUMIF(Loan_Input!$A$3:$A$272,$A49,Loan_Input!$H$3:$H$272),""))</f>
        <v/>
      </c>
      <c r="AA49" s="27">
        <f>IF($A49="","",IFERROR(SUMPRODUCT((Loan_Input!$A$3:$A$272=$A49)*Loan_Input!$CJ$3:$CJ$272*Loan_Input!$H$3:$H$272)/SUMIF(Loan_Input!$A$3:$A$272,$A49,Loan_Input!$H$3:$H$272),""))</f>
        <v/>
      </c>
      <c r="AB49" s="31">
        <f>IF($A49="","",IFERROR(SUMPRODUCT((Loan_Input!$A$3:$A$272=$A49)*Loan_Input!$AQ$3:$AQ$272*Loan_Input!$H$3:$H$272)/SUMIF(Loan_Input!$A$3:$A$272,$A49,Loan_Input!$H$3:$H$272),""))</f>
        <v/>
      </c>
      <c r="AC49" s="31">
        <f>IF($A49="","",IFERROR(SUMPRODUCT((Loan_Input!$A$3:$A$272=$A49)*Loan_Input!$AW$3:$AW$272*Loan_Input!$H$3:$H$272)/SUMIF(Loan_Input!$A$3:$A$272,$A49,Loan_Input!$H$3:$H$272),""))</f>
        <v/>
      </c>
      <c r="AD49" s="31">
        <f>IF($A49="","",IFERROR(SUMPRODUCT((Loan_Input!$A$3:$A$272=$A49)*Loan_Input!$AU$3:$AU$272*Loan_Input!$H$3:$H$272)/SUMIF(Loan_Input!$A$3:$A$272,$A49,Loan_Input!$H$3:$H$272),""))</f>
        <v/>
      </c>
      <c r="AE49" s="31">
        <f>IF($A49="","",IFERROR(SUMPRODUCT((Loan_Input!$A$3:$A$272=$A49)*(Loan_Input!$AO$3:$AO$272="223f")*Loan_Input!$H$3:$H$272)/SUMIF(Loan_Input!$A$3:$A$272,$A49,Loan_Input!$H$3:$H$272),""))</f>
        <v/>
      </c>
      <c r="AF49" s="31">
        <f>IF($A49="","",IFERROR(SUMPRODUCT((Loan_Input!$A$3:$A$272=$A49)*Loan_Input!$AV$3:$AV$272*Loan_Input!$H$3:$H$272)/SUMIF(Loan_Input!$A$3:$A$272,$A49,Loan_Input!$H$3:$H$272),""))</f>
        <v/>
      </c>
      <c r="AG49" s="31">
        <f>IF($A49="","",IFERROR(SUMPRODUCT((Loan_Input!$A$3:$A$272=$A49)*Loan_Input!$AX$3:$AX$272*Loan_Input!$H$3:$H$272)/SUMIF(Loan_Input!$A$3:$A$272,$A49,Loan_Input!$H$3:$H$272),""))</f>
        <v/>
      </c>
      <c r="AH49" s="31">
        <f>IF($A49="","",IFERROR(SUMPRODUCT((Loan_Input!$A$3:$A$272=$A49)*(Loan_Input!$AR$3:$AR$272+Loan_Input!$AS$3:$AS$272)*Loan_Input!$H$3:$H$272)/SUMIF(Loan_Input!$A$3:$A$272,$A49,Loan_Input!$H$3:$H$272),""))</f>
        <v/>
      </c>
    </row>
    <row r="50">
      <c r="B50">
        <f>IF($A50="","",COUNTIF(Loan_Input!$A$3:$A$272,$A50))</f>
        <v/>
      </c>
      <c r="C50" s="26">
        <f>IF($A50="","",SUMIF(Loan_Input!$A$3:$A$272,$A50,Loan_Input!$H$3:$H$272)/1000000)</f>
        <v/>
      </c>
      <c r="D50" s="27">
        <f>IF($A50="","",IFERROR(SUMPRODUCT((Loan_Input!$A$3:$A$272=$A50)*Loan_Input!$BV$3:$BV$272*Loan_Input!$H$3:$H$272)/SUMIF(Loan_Input!$A$3:$A$272,$A50,Loan_Input!$H$3:$H$272),""))</f>
        <v/>
      </c>
      <c r="E50" s="27">
        <f>IF($A50="","",IFERROR(SUMPRODUCT((Loan_Input!$A$3:$A$272=$A50)*Loan_Input!$BW$3:$BW$272*Loan_Input!$H$3:$H$272)/SUMIF(Loan_Input!$A$3:$A$272,$A50,Loan_Input!$H$3:$H$272),""))</f>
        <v/>
      </c>
      <c r="F50" s="28">
        <f>IF($A50="","",IFERROR(SUMPRODUCT((Loan_Input!$A$3:$A$272=$A50)*Loan_Input!$AA$3:$AA$272*Loan_Input!$H$3:$H$272)/SUMIF(Loan_Input!$A$3:$A$272,$A50,Loan_Input!$H$3:$H$272),""))</f>
        <v/>
      </c>
      <c r="G50" s="29">
        <f>IF($A50="","",IFERROR(SUMPRODUCT((Loan_Input!$A$3:$A$272=$A50)*Loan_Input!$G$3:$G$272*Loan_Input!$H$3:$H$272)/SUMIF(Loan_Input!$A$3:$A$272,$A50,Loan_Input!$H$3:$H$272),""))</f>
        <v/>
      </c>
      <c r="H50" s="30">
        <f>IF($A50="","",IFERROR(SUMPRODUCT((Loan_Input!$A$3:$A$272=$A50)*Loan_Input!$AM$3:$AM$272*Loan_Input!$H$3:$H$272)/SUMIF(Loan_Input!$A$3:$A$272,$A50,Loan_Input!$H$3:$H$272),""))</f>
        <v/>
      </c>
      <c r="I50" s="27">
        <f>IF($A50="","",IFERROR(SUMPRODUCT((Loan_Input!$A$3:$A$272=$A50)*Loan_Input!$AK$3:$AK$272*Loan_Input!$H$3:$H$272)/SUMIF(Loan_Input!$A$3:$A$272,$A50,Loan_Input!$H$3:$H$272),""))</f>
        <v/>
      </c>
      <c r="J50" s="30">
        <f>IF($A50="","",IFERROR(SUMPRODUCT((Loan_Input!$A$3:$A$272=$A50)*Loan_Input!$AI$3:$AI$272*Loan_Input!$H$3:$H$272)/SUMIF(Loan_Input!$A$3:$A$272,$A50,Loan_Input!$H$3:$H$272),""))</f>
        <v/>
      </c>
      <c r="K50" s="27">
        <f>IF($A50="","",IFERROR(SUMPRODUCT((Loan_Input!$A$3:$A$272=$A50)*Loan_Input!$AN$3:$AN$272*Loan_Input!$H$3:$H$272)/SUMIF(Loan_Input!$A$3:$A$272,$A50,Loan_Input!$H$3:$H$272),""))</f>
        <v/>
      </c>
      <c r="L50" s="31">
        <f>IF($A50="","",IFERROR(SUMPRODUCT((Loan_Input!$A$3:$A$272=$A50)*Loan_Input!$AD$3:$AD$272*Loan_Input!$H$3:$H$272)/SUMIF(Loan_Input!$A$3:$A$272,$A50,Loan_Input!$H$3:$H$272),""))</f>
        <v/>
      </c>
      <c r="M50" s="31">
        <f>IF($A50="","",IFERROR(SUMPRODUCT((Loan_Input!$A$3:$A$272=$A50)*Loan_Input!$AE$3:$AE$272*Loan_Input!$H$3:$H$272)/SUMIF(Loan_Input!$A$3:$A$272,$A50,Loan_Input!$H$3:$H$272),""))</f>
        <v/>
      </c>
      <c r="N50" s="31">
        <f>IF($A50="","",IFERROR(SUMPRODUCT((Loan_Input!$A$3:$A$272=$A50)*Loan_Input!$AF$3:$AF$272*Loan_Input!$H$3:$H$272)/SUMIF(Loan_Input!$A$3:$A$272,$A50,Loan_Input!$H$3:$H$272),""))</f>
        <v/>
      </c>
      <c r="O50" s="27">
        <f>IF($A50="","",IFERROR(SUMPRODUCT((Loan_Input!$A$3:$A$272=$A50)*Loan_Input!$BX$3:$BX$272*Loan_Input!$H$3:$H$272)/SUMIF(Loan_Input!$A$3:$A$272,$A50,Loan_Input!$H$3:$H$272),""))</f>
        <v/>
      </c>
      <c r="P50" s="27">
        <f>IF($A50="","",IFERROR(SUMPRODUCT((Loan_Input!$A$3:$A$272=$A50)*Loan_Input!$BY$3:$BY$272*Loan_Input!$H$3:$H$272)/SUMIF(Loan_Input!$A$3:$A$272,$A50,Loan_Input!$H$3:$H$272),""))</f>
        <v/>
      </c>
      <c r="Q50" s="27">
        <f>IF($A50="","",IFERROR(SUMPRODUCT((Loan_Input!$A$3:$A$272=$A50)*Loan_Input!$BZ$3:$BZ$272*Loan_Input!$H$3:$H$272)/SUMIF(Loan_Input!$A$3:$A$272,$A50,Loan_Input!$H$3:$H$272),""))</f>
        <v/>
      </c>
      <c r="R50" s="27">
        <f>IF($A50="","",IFERROR(SUMPRODUCT((Loan_Input!$A$3:$A$272=$A50)*Loan_Input!$CA$3:$CA$272*Loan_Input!$H$3:$H$272)/SUMIF(Loan_Input!$A$3:$A$272,$A50,Loan_Input!$H$3:$H$272),""))</f>
        <v/>
      </c>
      <c r="S50" s="27">
        <f>IF($A50="","",IFERROR(SUMPRODUCT((Loan_Input!$A$3:$A$272=$A50)*Loan_Input!$CB$3:$CB$272*Loan_Input!$H$3:$H$272)/SUMIF(Loan_Input!$A$3:$A$272,$A50,Loan_Input!$H$3:$H$272),""))</f>
        <v/>
      </c>
      <c r="T50" s="27">
        <f>IF($A50="","",IFERROR(SUMPRODUCT((Loan_Input!$A$3:$A$272=$A50)*Loan_Input!$CC$3:$CC$272*Loan_Input!$H$3:$H$272)/SUMIF(Loan_Input!$A$3:$A$272,$A50,Loan_Input!$H$3:$H$272),""))</f>
        <v/>
      </c>
      <c r="U50" s="27">
        <f>IF($A50="","",IFERROR(SUMPRODUCT((Loan_Input!$A$3:$A$272=$A50)*Loan_Input!$CD$3:$CD$272*Loan_Input!$H$3:$H$272)/SUMIF(Loan_Input!$A$3:$A$272,$A50,Loan_Input!$H$3:$H$272),""))</f>
        <v/>
      </c>
      <c r="V50" s="27">
        <f>IF($A50="","",IFERROR(SUMPRODUCT((Loan_Input!$A$3:$A$272=$A50)*Loan_Input!$CE$3:$CE$272*Loan_Input!$H$3:$H$272)/SUMIF(Loan_Input!$A$3:$A$272,$A50,Loan_Input!$H$3:$H$272),""))</f>
        <v/>
      </c>
      <c r="W50" s="27">
        <f>IF($A50="","",IFERROR(SUMPRODUCT((Loan_Input!$A$3:$A$272=$A50)*Loan_Input!$CF$3:$CF$272*Loan_Input!$H$3:$H$272)/SUMIF(Loan_Input!$A$3:$A$272,$A50,Loan_Input!$H$3:$H$272),""))</f>
        <v/>
      </c>
      <c r="X50" s="27">
        <f>IF($A50="","",IFERROR(SUMPRODUCT((Loan_Input!$A$3:$A$272=$A50)*Loan_Input!$CG$3:$CG$272*Loan_Input!$H$3:$H$272)/SUMIF(Loan_Input!$A$3:$A$272,$A50,Loan_Input!$H$3:$H$272),""))</f>
        <v/>
      </c>
      <c r="Y50" s="27">
        <f>IF($A50="","",IFERROR(SUMPRODUCT((Loan_Input!$A$3:$A$272=$A50)*Loan_Input!$CH$3:$CH$272*Loan_Input!$H$3:$H$272)/SUMIF(Loan_Input!$A$3:$A$272,$A50,Loan_Input!$H$3:$H$272),""))</f>
        <v/>
      </c>
      <c r="Z50" s="27">
        <f>IF($A50="","",IFERROR(SUMPRODUCT((Loan_Input!$A$3:$A$272=$A50)*Loan_Input!$CI$3:$CI$272*Loan_Input!$H$3:$H$272)/SUMIF(Loan_Input!$A$3:$A$272,$A50,Loan_Input!$H$3:$H$272),""))</f>
        <v/>
      </c>
      <c r="AA50" s="27">
        <f>IF($A50="","",IFERROR(SUMPRODUCT((Loan_Input!$A$3:$A$272=$A50)*Loan_Input!$CJ$3:$CJ$272*Loan_Input!$H$3:$H$272)/SUMIF(Loan_Input!$A$3:$A$272,$A50,Loan_Input!$H$3:$H$272),""))</f>
        <v/>
      </c>
      <c r="AB50" s="31">
        <f>IF($A50="","",IFERROR(SUMPRODUCT((Loan_Input!$A$3:$A$272=$A50)*Loan_Input!$AQ$3:$AQ$272*Loan_Input!$H$3:$H$272)/SUMIF(Loan_Input!$A$3:$A$272,$A50,Loan_Input!$H$3:$H$272),""))</f>
        <v/>
      </c>
      <c r="AC50" s="31">
        <f>IF($A50="","",IFERROR(SUMPRODUCT((Loan_Input!$A$3:$A$272=$A50)*Loan_Input!$AW$3:$AW$272*Loan_Input!$H$3:$H$272)/SUMIF(Loan_Input!$A$3:$A$272,$A50,Loan_Input!$H$3:$H$272),""))</f>
        <v/>
      </c>
      <c r="AD50" s="31">
        <f>IF($A50="","",IFERROR(SUMPRODUCT((Loan_Input!$A$3:$A$272=$A50)*Loan_Input!$AU$3:$AU$272*Loan_Input!$H$3:$H$272)/SUMIF(Loan_Input!$A$3:$A$272,$A50,Loan_Input!$H$3:$H$272),""))</f>
        <v/>
      </c>
      <c r="AE50" s="31">
        <f>IF($A50="","",IFERROR(SUMPRODUCT((Loan_Input!$A$3:$A$272=$A50)*(Loan_Input!$AO$3:$AO$272="223f")*Loan_Input!$H$3:$H$272)/SUMIF(Loan_Input!$A$3:$A$272,$A50,Loan_Input!$H$3:$H$272),""))</f>
        <v/>
      </c>
      <c r="AF50" s="31">
        <f>IF($A50="","",IFERROR(SUMPRODUCT((Loan_Input!$A$3:$A$272=$A50)*Loan_Input!$AV$3:$AV$272*Loan_Input!$H$3:$H$272)/SUMIF(Loan_Input!$A$3:$A$272,$A50,Loan_Input!$H$3:$H$272),""))</f>
        <v/>
      </c>
      <c r="AG50" s="31">
        <f>IF($A50="","",IFERROR(SUMPRODUCT((Loan_Input!$A$3:$A$272=$A50)*Loan_Input!$AX$3:$AX$272*Loan_Input!$H$3:$H$272)/SUMIF(Loan_Input!$A$3:$A$272,$A50,Loan_Input!$H$3:$H$272),""))</f>
        <v/>
      </c>
      <c r="AH50" s="31">
        <f>IF($A50="","",IFERROR(SUMPRODUCT((Loan_Input!$A$3:$A$272=$A50)*(Loan_Input!$AR$3:$AR$272+Loan_Input!$AS$3:$AS$272)*Loan_Input!$H$3:$H$272)/SUMIF(Loan_Input!$A$3:$A$272,$A50,Loan_Input!$H$3:$H$272),""))</f>
        <v/>
      </c>
    </row>
    <row r="51">
      <c r="B51">
        <f>IF($A51="","",COUNTIF(Loan_Input!$A$3:$A$272,$A51))</f>
        <v/>
      </c>
      <c r="C51" s="26">
        <f>IF($A51="","",SUMIF(Loan_Input!$A$3:$A$272,$A51,Loan_Input!$H$3:$H$272)/1000000)</f>
        <v/>
      </c>
      <c r="D51" s="27">
        <f>IF($A51="","",IFERROR(SUMPRODUCT((Loan_Input!$A$3:$A$272=$A51)*Loan_Input!$BV$3:$BV$272*Loan_Input!$H$3:$H$272)/SUMIF(Loan_Input!$A$3:$A$272,$A51,Loan_Input!$H$3:$H$272),""))</f>
        <v/>
      </c>
      <c r="E51" s="27">
        <f>IF($A51="","",IFERROR(SUMPRODUCT((Loan_Input!$A$3:$A$272=$A51)*Loan_Input!$BW$3:$BW$272*Loan_Input!$H$3:$H$272)/SUMIF(Loan_Input!$A$3:$A$272,$A51,Loan_Input!$H$3:$H$272),""))</f>
        <v/>
      </c>
      <c r="F51" s="28">
        <f>IF($A51="","",IFERROR(SUMPRODUCT((Loan_Input!$A$3:$A$272=$A51)*Loan_Input!$AA$3:$AA$272*Loan_Input!$H$3:$H$272)/SUMIF(Loan_Input!$A$3:$A$272,$A51,Loan_Input!$H$3:$H$272),""))</f>
        <v/>
      </c>
      <c r="G51" s="29">
        <f>IF($A51="","",IFERROR(SUMPRODUCT((Loan_Input!$A$3:$A$272=$A51)*Loan_Input!$G$3:$G$272*Loan_Input!$H$3:$H$272)/SUMIF(Loan_Input!$A$3:$A$272,$A51,Loan_Input!$H$3:$H$272),""))</f>
        <v/>
      </c>
      <c r="H51" s="30">
        <f>IF($A51="","",IFERROR(SUMPRODUCT((Loan_Input!$A$3:$A$272=$A51)*Loan_Input!$AM$3:$AM$272*Loan_Input!$H$3:$H$272)/SUMIF(Loan_Input!$A$3:$A$272,$A51,Loan_Input!$H$3:$H$272),""))</f>
        <v/>
      </c>
      <c r="I51" s="27">
        <f>IF($A51="","",IFERROR(SUMPRODUCT((Loan_Input!$A$3:$A$272=$A51)*Loan_Input!$AK$3:$AK$272*Loan_Input!$H$3:$H$272)/SUMIF(Loan_Input!$A$3:$A$272,$A51,Loan_Input!$H$3:$H$272),""))</f>
        <v/>
      </c>
      <c r="J51" s="30">
        <f>IF($A51="","",IFERROR(SUMPRODUCT((Loan_Input!$A$3:$A$272=$A51)*Loan_Input!$AI$3:$AI$272*Loan_Input!$H$3:$H$272)/SUMIF(Loan_Input!$A$3:$A$272,$A51,Loan_Input!$H$3:$H$272),""))</f>
        <v/>
      </c>
      <c r="K51" s="27">
        <f>IF($A51="","",IFERROR(SUMPRODUCT((Loan_Input!$A$3:$A$272=$A51)*Loan_Input!$AN$3:$AN$272*Loan_Input!$H$3:$H$272)/SUMIF(Loan_Input!$A$3:$A$272,$A51,Loan_Input!$H$3:$H$272),""))</f>
        <v/>
      </c>
      <c r="L51" s="31">
        <f>IF($A51="","",IFERROR(SUMPRODUCT((Loan_Input!$A$3:$A$272=$A51)*Loan_Input!$AD$3:$AD$272*Loan_Input!$H$3:$H$272)/SUMIF(Loan_Input!$A$3:$A$272,$A51,Loan_Input!$H$3:$H$272),""))</f>
        <v/>
      </c>
      <c r="M51" s="31">
        <f>IF($A51="","",IFERROR(SUMPRODUCT((Loan_Input!$A$3:$A$272=$A51)*Loan_Input!$AE$3:$AE$272*Loan_Input!$H$3:$H$272)/SUMIF(Loan_Input!$A$3:$A$272,$A51,Loan_Input!$H$3:$H$272),""))</f>
        <v/>
      </c>
      <c r="N51" s="31">
        <f>IF($A51="","",IFERROR(SUMPRODUCT((Loan_Input!$A$3:$A$272=$A51)*Loan_Input!$AF$3:$AF$272*Loan_Input!$H$3:$H$272)/SUMIF(Loan_Input!$A$3:$A$272,$A51,Loan_Input!$H$3:$H$272),""))</f>
        <v/>
      </c>
      <c r="O51" s="27">
        <f>IF($A51="","",IFERROR(SUMPRODUCT((Loan_Input!$A$3:$A$272=$A51)*Loan_Input!$BX$3:$BX$272*Loan_Input!$H$3:$H$272)/SUMIF(Loan_Input!$A$3:$A$272,$A51,Loan_Input!$H$3:$H$272),""))</f>
        <v/>
      </c>
      <c r="P51" s="27">
        <f>IF($A51="","",IFERROR(SUMPRODUCT((Loan_Input!$A$3:$A$272=$A51)*Loan_Input!$BY$3:$BY$272*Loan_Input!$H$3:$H$272)/SUMIF(Loan_Input!$A$3:$A$272,$A51,Loan_Input!$H$3:$H$272),""))</f>
        <v/>
      </c>
      <c r="Q51" s="27">
        <f>IF($A51="","",IFERROR(SUMPRODUCT((Loan_Input!$A$3:$A$272=$A51)*Loan_Input!$BZ$3:$BZ$272*Loan_Input!$H$3:$H$272)/SUMIF(Loan_Input!$A$3:$A$272,$A51,Loan_Input!$H$3:$H$272),""))</f>
        <v/>
      </c>
      <c r="R51" s="27">
        <f>IF($A51="","",IFERROR(SUMPRODUCT((Loan_Input!$A$3:$A$272=$A51)*Loan_Input!$CA$3:$CA$272*Loan_Input!$H$3:$H$272)/SUMIF(Loan_Input!$A$3:$A$272,$A51,Loan_Input!$H$3:$H$272),""))</f>
        <v/>
      </c>
      <c r="S51" s="27">
        <f>IF($A51="","",IFERROR(SUMPRODUCT((Loan_Input!$A$3:$A$272=$A51)*Loan_Input!$CB$3:$CB$272*Loan_Input!$H$3:$H$272)/SUMIF(Loan_Input!$A$3:$A$272,$A51,Loan_Input!$H$3:$H$272),""))</f>
        <v/>
      </c>
      <c r="T51" s="27">
        <f>IF($A51="","",IFERROR(SUMPRODUCT((Loan_Input!$A$3:$A$272=$A51)*Loan_Input!$CC$3:$CC$272*Loan_Input!$H$3:$H$272)/SUMIF(Loan_Input!$A$3:$A$272,$A51,Loan_Input!$H$3:$H$272),""))</f>
        <v/>
      </c>
      <c r="U51" s="27">
        <f>IF($A51="","",IFERROR(SUMPRODUCT((Loan_Input!$A$3:$A$272=$A51)*Loan_Input!$CD$3:$CD$272*Loan_Input!$H$3:$H$272)/SUMIF(Loan_Input!$A$3:$A$272,$A51,Loan_Input!$H$3:$H$272),""))</f>
        <v/>
      </c>
      <c r="V51" s="27">
        <f>IF($A51="","",IFERROR(SUMPRODUCT((Loan_Input!$A$3:$A$272=$A51)*Loan_Input!$CE$3:$CE$272*Loan_Input!$H$3:$H$272)/SUMIF(Loan_Input!$A$3:$A$272,$A51,Loan_Input!$H$3:$H$272),""))</f>
        <v/>
      </c>
      <c r="W51" s="27">
        <f>IF($A51="","",IFERROR(SUMPRODUCT((Loan_Input!$A$3:$A$272=$A51)*Loan_Input!$CF$3:$CF$272*Loan_Input!$H$3:$H$272)/SUMIF(Loan_Input!$A$3:$A$272,$A51,Loan_Input!$H$3:$H$272),""))</f>
        <v/>
      </c>
      <c r="X51" s="27">
        <f>IF($A51="","",IFERROR(SUMPRODUCT((Loan_Input!$A$3:$A$272=$A51)*Loan_Input!$CG$3:$CG$272*Loan_Input!$H$3:$H$272)/SUMIF(Loan_Input!$A$3:$A$272,$A51,Loan_Input!$H$3:$H$272),""))</f>
        <v/>
      </c>
      <c r="Y51" s="27">
        <f>IF($A51="","",IFERROR(SUMPRODUCT((Loan_Input!$A$3:$A$272=$A51)*Loan_Input!$CH$3:$CH$272*Loan_Input!$H$3:$H$272)/SUMIF(Loan_Input!$A$3:$A$272,$A51,Loan_Input!$H$3:$H$272),""))</f>
        <v/>
      </c>
      <c r="Z51" s="27">
        <f>IF($A51="","",IFERROR(SUMPRODUCT((Loan_Input!$A$3:$A$272=$A51)*Loan_Input!$CI$3:$CI$272*Loan_Input!$H$3:$H$272)/SUMIF(Loan_Input!$A$3:$A$272,$A51,Loan_Input!$H$3:$H$272),""))</f>
        <v/>
      </c>
      <c r="AA51" s="27">
        <f>IF($A51="","",IFERROR(SUMPRODUCT((Loan_Input!$A$3:$A$272=$A51)*Loan_Input!$CJ$3:$CJ$272*Loan_Input!$H$3:$H$272)/SUMIF(Loan_Input!$A$3:$A$272,$A51,Loan_Input!$H$3:$H$272),""))</f>
        <v/>
      </c>
      <c r="AB51" s="31">
        <f>IF($A51="","",IFERROR(SUMPRODUCT((Loan_Input!$A$3:$A$272=$A51)*Loan_Input!$AQ$3:$AQ$272*Loan_Input!$H$3:$H$272)/SUMIF(Loan_Input!$A$3:$A$272,$A51,Loan_Input!$H$3:$H$272),""))</f>
        <v/>
      </c>
      <c r="AC51" s="31">
        <f>IF($A51="","",IFERROR(SUMPRODUCT((Loan_Input!$A$3:$A$272=$A51)*Loan_Input!$AW$3:$AW$272*Loan_Input!$H$3:$H$272)/SUMIF(Loan_Input!$A$3:$A$272,$A51,Loan_Input!$H$3:$H$272),""))</f>
        <v/>
      </c>
      <c r="AD51" s="31">
        <f>IF($A51="","",IFERROR(SUMPRODUCT((Loan_Input!$A$3:$A$272=$A51)*Loan_Input!$AU$3:$AU$272*Loan_Input!$H$3:$H$272)/SUMIF(Loan_Input!$A$3:$A$272,$A51,Loan_Input!$H$3:$H$272),""))</f>
        <v/>
      </c>
      <c r="AE51" s="31">
        <f>IF($A51="","",IFERROR(SUMPRODUCT((Loan_Input!$A$3:$A$272=$A51)*(Loan_Input!$AO$3:$AO$272="223f")*Loan_Input!$H$3:$H$272)/SUMIF(Loan_Input!$A$3:$A$272,$A51,Loan_Input!$H$3:$H$272),""))</f>
        <v/>
      </c>
      <c r="AF51" s="31">
        <f>IF($A51="","",IFERROR(SUMPRODUCT((Loan_Input!$A$3:$A$272=$A51)*Loan_Input!$AV$3:$AV$272*Loan_Input!$H$3:$H$272)/SUMIF(Loan_Input!$A$3:$A$272,$A51,Loan_Input!$H$3:$H$272),""))</f>
        <v/>
      </c>
      <c r="AG51" s="31">
        <f>IF($A51="","",IFERROR(SUMPRODUCT((Loan_Input!$A$3:$A$272=$A51)*Loan_Input!$AX$3:$AX$272*Loan_Input!$H$3:$H$272)/SUMIF(Loan_Input!$A$3:$A$272,$A51,Loan_Input!$H$3:$H$272),""))</f>
        <v/>
      </c>
      <c r="AH51" s="31">
        <f>IF($A51="","",IFERROR(SUMPRODUCT((Loan_Input!$A$3:$A$272=$A51)*(Loan_Input!$AR$3:$AR$272+Loan_Input!$AS$3:$AS$272)*Loan_Input!$H$3:$H$272)/SUMIF(Loan_Input!$A$3:$A$272,$A51,Loan_Input!$H$3:$H$272),""))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1" customWidth="1" min="1" max="1"/>
    <col width="40" customWidth="1" min="2" max="2"/>
    <col width="40" customWidth="1" min="3" max="3"/>
    <col width="22" customWidth="1" min="4" max="4"/>
    <col width="33" customWidth="1" min="5" max="5"/>
  </cols>
  <sheetData>
    <row r="1">
      <c r="A1" s="9" t="inlineStr">
        <is>
          <t>Metric</t>
        </is>
      </c>
      <c r="B1" s="32" t="inlineStr">
        <is>
          <t>GNR_2024_NEW</t>
        </is>
      </c>
      <c r="C1" s="32" t="inlineStr">
        <is>
          <t>GNR_2014_SEASONED</t>
        </is>
      </c>
      <c r="D1" s="9" t="inlineStr">
        <is>
          <t>Difference (A − B)</t>
        </is>
      </c>
      <c r="E1" s="9" t="inlineStr">
        <is>
          <t>Driver</t>
        </is>
      </c>
    </row>
    <row r="2">
      <c r="A2" s="33" t="inlineStr">
        <is>
          <t># of loans</t>
        </is>
      </c>
      <c r="B2" s="34">
        <f>IFERROR(VLOOKUP($B$1,Deal_Summary!$A:$B,2,FALSE),"")</f>
        <v/>
      </c>
      <c r="C2" s="34">
        <f>IFERROR(VLOOKUP($C$1,Deal_Summary!$A:$B,2,FALSE),"")</f>
        <v/>
      </c>
      <c r="D2" s="34">
        <f>IFERROR(B2-C2,"")</f>
        <v/>
      </c>
      <c r="E2" s="20" t="inlineStr"/>
    </row>
    <row r="3">
      <c r="A3" s="33" t="inlineStr">
        <is>
          <t>Total UPB ($mn)</t>
        </is>
      </c>
      <c r="B3" s="35">
        <f>IFERROR(VLOOKUP($B$1,Deal_Summary!$A:$C,3,FALSE),"")</f>
        <v/>
      </c>
      <c r="C3" s="35">
        <f>IFERROR(VLOOKUP($C$1,Deal_Summary!$A:$C,3,FALSE),"")</f>
        <v/>
      </c>
      <c r="D3" s="35">
        <f>IFERROR(B3-C3,"")</f>
        <v/>
      </c>
      <c r="E3" s="20" t="inlineStr"/>
    </row>
    <row r="4">
      <c r="A4" s="33" t="inlineStr">
        <is>
          <t>Weighted predicted CPR (%)</t>
        </is>
      </c>
      <c r="B4" s="36">
        <f>IFERROR(VLOOKUP($B$1,Deal_Summary!$A:$D,4,FALSE),"")</f>
        <v/>
      </c>
      <c r="C4" s="36">
        <f>IFERROR(VLOOKUP($C$1,Deal_Summary!$A:$D,4,FALSE),"")</f>
        <v/>
      </c>
      <c r="D4" s="36">
        <f>IFERROR(B4-C4,"")</f>
        <v/>
      </c>
      <c r="E4" s="20" t="inlineStr">
        <is>
          <t>(top-line model output)</t>
        </is>
      </c>
    </row>
    <row r="5">
      <c r="A5" s="33" t="inlineStr">
        <is>
          <t>Weighted baseline CPR (%)</t>
        </is>
      </c>
      <c r="B5" s="36">
        <f>IFERROR(VLOOKUP($B$1,Deal_Summary!$A:$E,5,FALSE),"")</f>
        <v/>
      </c>
      <c r="C5" s="36">
        <f>IFERROR(VLOOKUP($C$1,Deal_Summary!$A:$E,5,FALSE),"")</f>
        <v/>
      </c>
      <c r="D5" s="36">
        <f>IFERROR(B5-C5,"")</f>
        <v/>
      </c>
      <c r="E5" s="20" t="inlineStr">
        <is>
          <t>(intercept only — model floor)</t>
        </is>
      </c>
    </row>
    <row r="6">
      <c r="A6" s="33" t="inlineStr">
        <is>
          <t>Weighted loan age (months)</t>
        </is>
      </c>
      <c r="B6" s="37">
        <f>IFERROR(VLOOKUP($B$1,Deal_Summary!$A:$F,6,FALSE),"")</f>
        <v/>
      </c>
      <c r="C6" s="37">
        <f>IFERROR(VLOOKUP($C$1,Deal_Summary!$A:$F,6,FALSE),"")</f>
        <v/>
      </c>
      <c r="D6" s="37">
        <f>IFERROR(B6-C6,"")</f>
        <v/>
      </c>
      <c r="E6" s="20" t="inlineStr">
        <is>
          <t>Drives age/burnout effect</t>
        </is>
      </c>
    </row>
    <row r="7">
      <c r="A7" s="33" t="inlineStr">
        <is>
          <t>Weighted loan rate (%)</t>
        </is>
      </c>
      <c r="B7" s="21">
        <f>IFERROR(VLOOKUP($B$1,Deal_Summary!$A:$G,7,FALSE),"")</f>
        <v/>
      </c>
      <c r="C7" s="21">
        <f>IFERROR(VLOOKUP($C$1,Deal_Summary!$A:$G,7,FALSE),"")</f>
        <v/>
      </c>
      <c r="D7" s="21">
        <f>IFERROR(B7-C7,"")</f>
        <v/>
      </c>
      <c r="E7" s="20" t="inlineStr"/>
    </row>
    <row r="8">
      <c r="A8" s="33" t="inlineStr">
        <is>
          <t>Weighted refi incentive (bps)</t>
        </is>
      </c>
      <c r="B8" s="38">
        <f>IFERROR(VLOOKUP($B$1,Deal_Summary!$A:$H,8,FALSE),"")</f>
        <v/>
      </c>
      <c r="C8" s="38">
        <f>IFERROR(VLOOKUP($C$1,Deal_Summary!$A:$H,8,FALSE),"")</f>
        <v/>
      </c>
      <c r="D8" s="38">
        <f>IFERROR(B8-C8,"")</f>
        <v/>
      </c>
      <c r="E8" s="20" t="inlineStr">
        <is>
          <t>Primary refi S-curve driver</t>
        </is>
      </c>
    </row>
    <row r="9">
      <c r="A9" s="33" t="inlineStr">
        <is>
          <t>Weighted penalty pts</t>
        </is>
      </c>
      <c r="B9" s="36">
        <f>IFERROR(VLOOKUP($B$1,Deal_Summary!$A:$I,9,FALSE),"")</f>
        <v/>
      </c>
      <c r="C9" s="36">
        <f>IFERROR(VLOOKUP($C$1,Deal_Summary!$A:$I,9,FALSE),"")</f>
        <v/>
      </c>
      <c r="D9" s="36">
        <f>IFERROR(B9-C9,"")</f>
        <v/>
      </c>
      <c r="E9" s="20" t="inlineStr">
        <is>
          <t>Dampens refi response</t>
        </is>
      </c>
    </row>
    <row r="10">
      <c r="A10" s="33" t="inlineStr">
        <is>
          <t>Weighted SATO (bps)</t>
        </is>
      </c>
      <c r="B10" s="38">
        <f>IFERROR(VLOOKUP($B$1,Deal_Summary!$A:$J,10,FALSE),"")</f>
        <v/>
      </c>
      <c r="C10" s="38">
        <f>IFERROR(VLOOKUP($C$1,Deal_Summary!$A:$J,10,FALSE),"")</f>
        <v/>
      </c>
      <c r="D10" s="38">
        <f>IFERROR(B10-C10,"")</f>
        <v/>
      </c>
      <c r="E10" s="20" t="inlineStr">
        <is>
          <t>Borrower quality</t>
        </is>
      </c>
    </row>
    <row r="11">
      <c r="A11" s="33" t="inlineStr">
        <is>
          <t>Weighted UPB ($mn per loan)</t>
        </is>
      </c>
      <c r="B11" s="36">
        <f>IFERROR(VLOOKUP($B$1,Deal_Summary!$A:$K,11,FALSE),"")</f>
        <v/>
      </c>
      <c r="C11" s="36">
        <f>IFERROR(VLOOKUP($C$1,Deal_Summary!$A:$K,11,FALSE),"")</f>
        <v/>
      </c>
      <c r="D11" s="36">
        <f>IFERROR(B11-C11,"")</f>
        <v/>
      </c>
      <c r="E11" s="20" t="inlineStr">
        <is>
          <t>Larger loans refi more</t>
        </is>
      </c>
    </row>
    <row r="12">
      <c r="A12" s="33" t="inlineStr">
        <is>
          <t>% in lockout (UPB-wtd)</t>
        </is>
      </c>
      <c r="B12" s="39">
        <f>IFERROR(VLOOKUP($B$1,Deal_Summary!$A:$L,12,FALSE),"")</f>
        <v/>
      </c>
      <c r="C12" s="39">
        <f>IFERROR(VLOOKUP($C$1,Deal_Summary!$A:$L,12,FALSE),"")</f>
        <v/>
      </c>
      <c r="D12" s="39">
        <f>IFERROR(B12-C12,"")</f>
        <v/>
      </c>
      <c r="E12" s="20" t="inlineStr">
        <is>
          <t>Hard-zero floor</t>
        </is>
      </c>
    </row>
    <row r="13">
      <c r="A13" s="33" t="inlineStr">
        <is>
          <t>% in penalty window</t>
        </is>
      </c>
      <c r="B13" s="39">
        <f>IFERROR(VLOOKUP($B$1,Deal_Summary!$A:$M,13,FALSE),"")</f>
        <v/>
      </c>
      <c r="C13" s="39">
        <f>IFERROR(VLOOKUP($C$1,Deal_Summary!$A:$M,13,FALSE),"")</f>
        <v/>
      </c>
      <c r="D13" s="39">
        <f>IFERROR(B13-C13,"")</f>
        <v/>
      </c>
      <c r="E13" s="20" t="inlineStr">
        <is>
          <t>Penalty applies</t>
        </is>
      </c>
    </row>
    <row r="14">
      <c r="A14" s="33" t="inlineStr">
        <is>
          <t>% open window</t>
        </is>
      </c>
      <c r="B14" s="39">
        <f>IFERROR(VLOOKUP($B$1,Deal_Summary!$A:$N,14,FALSE),"")</f>
        <v/>
      </c>
      <c r="C14" s="39">
        <f>IFERROR(VLOOKUP($C$1,Deal_Summary!$A:$N,14,FALSE),"")</f>
        <v/>
      </c>
      <c r="D14" s="39">
        <f>IFERROR(B14-C14,"")</f>
        <v/>
      </c>
      <c r="E14" s="20" t="inlineStr">
        <is>
          <t>No call protection</t>
        </is>
      </c>
    </row>
    <row r="15">
      <c r="A15" s="40" t="inlineStr">
        <is>
          <t>CPR attr: REFI</t>
        </is>
      </c>
      <c r="B15" s="41">
        <f>IFERROR(VLOOKUP($B$1,Deal_Summary!$A:$O,15,FALSE),"")</f>
        <v/>
      </c>
      <c r="C15" s="41">
        <f>IFERROR(VLOOKUP($C$1,Deal_Summary!$A:$O,15,FALSE),"")</f>
        <v/>
      </c>
      <c r="D15" s="41">
        <f>IFERROR(B15-C15,"")</f>
        <v/>
      </c>
      <c r="E15" s="42" t="inlineStr">
        <is>
          <t>Refi incentive</t>
        </is>
      </c>
    </row>
    <row r="16">
      <c r="A16" s="40" t="inlineStr">
        <is>
          <t>CPR attr: AGE</t>
        </is>
      </c>
      <c r="B16" s="41">
        <f>IFERROR(VLOOKUP($B$1,Deal_Summary!$A:$P,16,FALSE),"")</f>
        <v/>
      </c>
      <c r="C16" s="41">
        <f>IFERROR(VLOOKUP($C$1,Deal_Summary!$A:$P,16,FALSE),"")</f>
        <v/>
      </c>
      <c r="D16" s="41">
        <f>IFERROR(B16-C16,"")</f>
        <v/>
      </c>
      <c r="E16" s="42" t="inlineStr">
        <is>
          <t>Loan age / seasoning / burnout</t>
        </is>
      </c>
    </row>
    <row r="17">
      <c r="A17" s="40" t="inlineStr">
        <is>
          <t>CPR attr: PENALTY</t>
        </is>
      </c>
      <c r="B17" s="41">
        <f>IFERROR(VLOOKUP($B$1,Deal_Summary!$A:$Q,17,FALSE),"")</f>
        <v/>
      </c>
      <c r="C17" s="41">
        <f>IFERROR(VLOOKUP($C$1,Deal_Summary!$A:$Q,17,FALSE),"")</f>
        <v/>
      </c>
      <c r="D17" s="41">
        <f>IFERROR(B17-C17,"")</f>
        <v/>
      </c>
      <c r="E17" s="42" t="inlineStr">
        <is>
          <t>Penalty point S-curve</t>
        </is>
      </c>
    </row>
    <row r="18">
      <c r="A18" s="40" t="inlineStr">
        <is>
          <t>CPR attr: SATO</t>
        </is>
      </c>
      <c r="B18" s="41">
        <f>IFERROR(VLOOKUP($B$1,Deal_Summary!$A:$R,18,FALSE),"")</f>
        <v/>
      </c>
      <c r="C18" s="41">
        <f>IFERROR(VLOOKUP($C$1,Deal_Summary!$A:$R,18,FALSE),"")</f>
        <v/>
      </c>
      <c r="D18" s="41">
        <f>IFERROR(B18-C18,"")</f>
        <v/>
      </c>
      <c r="E18" s="42" t="inlineStr">
        <is>
          <t>Spread at origination</t>
        </is>
      </c>
    </row>
    <row r="19">
      <c r="A19" s="40" t="inlineStr">
        <is>
          <t>CPR attr: SIZE</t>
        </is>
      </c>
      <c r="B19" s="41">
        <f>IFERROR(VLOOKUP($B$1,Deal_Summary!$A:$S,19,FALSE),"")</f>
        <v/>
      </c>
      <c r="C19" s="41">
        <f>IFERROR(VLOOKUP($C$1,Deal_Summary!$A:$S,19,FALSE),"")</f>
        <v/>
      </c>
      <c r="D19" s="41">
        <f>IFERROR(B19-C19,"")</f>
        <v/>
      </c>
      <c r="E19" s="42" t="inlineStr">
        <is>
          <t>Loan size effect</t>
        </is>
      </c>
    </row>
    <row r="20">
      <c r="A20" s="40" t="inlineStr">
        <is>
          <t>CPR attr: M2M</t>
        </is>
      </c>
      <c r="B20" s="41">
        <f>IFERROR(VLOOKUP($B$1,Deal_Summary!$A:$T,20,FALSE),"")</f>
        <v/>
      </c>
      <c r="C20" s="41">
        <f>IFERROR(VLOOKUP($C$1,Deal_Summary!$A:$T,20,FALSE),"")</f>
        <v/>
      </c>
      <c r="D20" s="41">
        <f>IFERROR(B20-C20,"")</f>
        <v/>
      </c>
      <c r="E20" s="42" t="inlineStr">
        <is>
          <t>Months to maturity</t>
        </is>
      </c>
    </row>
    <row r="21">
      <c r="A21" s="40" t="inlineStr">
        <is>
          <t>CPR attr: MPL</t>
        </is>
      </c>
      <c r="B21" s="41">
        <f>IFERROR(VLOOKUP($B$1,Deal_Summary!$A:$U,21,FALSE),"")</f>
        <v/>
      </c>
      <c r="C21" s="41">
        <f>IFERROR(VLOOKUP($C$1,Deal_Summary!$A:$U,21,FALSE),"")</f>
        <v/>
      </c>
      <c r="D21" s="41">
        <f>IFERROR(B21-C21,"")</f>
        <v/>
      </c>
      <c r="E21" s="42" t="inlineStr">
        <is>
          <t>Months post lockout</t>
        </is>
      </c>
    </row>
    <row r="22">
      <c r="A22" s="40" t="inlineStr">
        <is>
          <t>CPR attr: INTERACT</t>
        </is>
      </c>
      <c r="B22" s="41">
        <f>IFERROR(VLOOKUP($B$1,Deal_Summary!$A:$V,22,FALSE),"")</f>
        <v/>
      </c>
      <c r="C22" s="41">
        <f>IFERROR(VLOOKUP($C$1,Deal_Summary!$A:$V,22,FALSE),"")</f>
        <v/>
      </c>
      <c r="D22" s="41">
        <f>IFERROR(B22-C22,"")</f>
        <v/>
      </c>
      <c r="E22" s="42" t="inlineStr">
        <is>
          <t>Refi × penalty interaction</t>
        </is>
      </c>
    </row>
    <row r="23">
      <c r="A23" s="40" t="inlineStr">
        <is>
          <t>CPR attr: PHASE</t>
        </is>
      </c>
      <c r="B23" s="41">
        <f>IFERROR(VLOOKUP($B$1,Deal_Summary!$A:$W,23,FALSE),"")</f>
        <v/>
      </c>
      <c r="C23" s="41">
        <f>IFERROR(VLOOKUP($C$1,Deal_Summary!$A:$W,23,FALSE),"")</f>
        <v/>
      </c>
      <c r="D23" s="41">
        <f>IFERROR(B23-C23,"")</f>
        <v/>
      </c>
      <c r="E23" s="42" t="inlineStr">
        <is>
          <t>In-penalty phase indicator</t>
        </is>
      </c>
    </row>
    <row r="24">
      <c r="A24" s="40" t="inlineStr">
        <is>
          <t>CPR attr: FHA</t>
        </is>
      </c>
      <c r="B24" s="41">
        <f>IFERROR(VLOOKUP($B$1,Deal_Summary!$A:$X,24,FALSE),"")</f>
        <v/>
      </c>
      <c r="C24" s="41">
        <f>IFERROR(VLOOKUP($C$1,Deal_Summary!$A:$X,24,FALSE),"")</f>
        <v/>
      </c>
      <c r="D24" s="41">
        <f>IFERROR(B24-C24,"")</f>
        <v/>
      </c>
      <c r="E24" s="42" t="inlineStr">
        <is>
          <t>FHA program (vs 223f)</t>
        </is>
      </c>
    </row>
    <row r="25">
      <c r="A25" s="40" t="inlineStr">
        <is>
          <t>CPR attr: PURPOSE</t>
        </is>
      </c>
      <c r="B25" s="41">
        <f>IFERROR(VLOOKUP($B$1,Deal_Summary!$A:$Y,25,FALSE),"")</f>
        <v/>
      </c>
      <c r="C25" s="41">
        <f>IFERROR(VLOOKUP($C$1,Deal_Summary!$A:$Y,25,FALSE),"")</f>
        <v/>
      </c>
      <c r="D25" s="41">
        <f>IFERROR(B25-C25,"")</f>
        <v/>
      </c>
      <c r="E25" s="42" t="inlineStr">
        <is>
          <t>NC vs RP</t>
        </is>
      </c>
    </row>
    <row r="26">
      <c r="A26" s="40" t="inlineStr">
        <is>
          <t>CPR attr: AFFORDABLE</t>
        </is>
      </c>
      <c r="B26" s="41">
        <f>IFERROR(VLOOKUP($B$1,Deal_Summary!$A:$Z,26,FALSE),"")</f>
        <v/>
      </c>
      <c r="C26" s="41">
        <f>IFERROR(VLOOKUP($C$1,Deal_Summary!$A:$Z,26,FALSE),"")</f>
        <v/>
      </c>
      <c r="D26" s="41">
        <f>IFERROR(B26-C26,"")</f>
        <v/>
      </c>
      <c r="E26" s="42" t="inlineStr">
        <is>
          <t>AFF/BAF/MKT vs unknown</t>
        </is>
      </c>
    </row>
    <row r="27">
      <c r="A27" s="40" t="inlineStr">
        <is>
          <t>CPR attr: POOL</t>
        </is>
      </c>
      <c r="B27" s="41">
        <f>IFERROR(VLOOKUP($B$1,Deal_Summary!$A:$AA,27,FALSE),"")</f>
        <v/>
      </c>
      <c r="C27" s="41">
        <f>IFERROR(VLOOKUP($C$1,Deal_Summary!$A:$AA,27,FALSE),"")</f>
        <v/>
      </c>
      <c r="D27" s="41">
        <f>IFERROR(B27-C27,"")</f>
        <v/>
      </c>
      <c r="E27" s="42" t="inlineStr">
        <is>
          <t>Pool type (LM/PN/LS/RX dummies)</t>
        </is>
      </c>
    </row>
    <row r="28">
      <c r="A28" s="43" t="inlineStr">
        <is>
          <t>Composition: % NC</t>
        </is>
      </c>
      <c r="B28" s="44">
        <f>IFERROR(VLOOKUP($B$1,Deal_Summary!$A:$AB,28,FALSE),"")</f>
        <v/>
      </c>
      <c r="C28" s="44">
        <f>IFERROR(VLOOKUP($C$1,Deal_Summary!$A:$AB,28,FALSE),"")</f>
        <v/>
      </c>
      <c r="D28" s="44">
        <f>IFERROR(B28-C28,"")</f>
        <v/>
      </c>
      <c r="E28" s="45" t="inlineStr"/>
    </row>
    <row r="29">
      <c r="A29" s="43" t="inlineStr">
        <is>
          <t>Composition: % 232 healthcare</t>
        </is>
      </c>
      <c r="B29" s="44">
        <f>IFERROR(VLOOKUP($B$1,Deal_Summary!$A:$AC,29,FALSE),"")</f>
        <v/>
      </c>
      <c r="C29" s="44">
        <f>IFERROR(VLOOKUP($C$1,Deal_Summary!$A:$AC,29,FALSE),"")</f>
        <v/>
      </c>
      <c r="D29" s="44">
        <f>IFERROR(B29-C29,"")</f>
        <v/>
      </c>
      <c r="E29" s="45" t="inlineStr"/>
    </row>
    <row r="30">
      <c r="A30" s="43" t="inlineStr">
        <is>
          <t>Composition: % 221(d)(4)</t>
        </is>
      </c>
      <c r="B30" s="44">
        <f>IFERROR(VLOOKUP($B$1,Deal_Summary!$A:$AD,30,FALSE),"")</f>
        <v/>
      </c>
      <c r="C30" s="44">
        <f>IFERROR(VLOOKUP($C$1,Deal_Summary!$A:$AD,30,FALSE),"")</f>
        <v/>
      </c>
      <c r="D30" s="44">
        <f>IFERROR(B30-C30,"")</f>
        <v/>
      </c>
      <c r="E30" s="45" t="inlineStr"/>
    </row>
    <row r="31">
      <c r="A31" s="43" t="inlineStr">
        <is>
          <t>Composition: % 223(f)</t>
        </is>
      </c>
      <c r="B31" s="44">
        <f>IFERROR(VLOOKUP($B$1,Deal_Summary!$A:$AE,31,FALSE),"")</f>
        <v/>
      </c>
      <c r="C31" s="44">
        <f>IFERROR(VLOOKUP($C$1,Deal_Summary!$A:$AE,31,FALSE),"")</f>
        <v/>
      </c>
      <c r="D31" s="44">
        <f>IFERROR(B31-C31,"")</f>
        <v/>
      </c>
      <c r="E31" s="45" t="inlineStr"/>
    </row>
    <row r="32">
      <c r="A32" s="43" t="inlineStr">
        <is>
          <t>Composition: % 223(a)(7)</t>
        </is>
      </c>
      <c r="B32" s="44">
        <f>IFERROR(VLOOKUP($B$1,Deal_Summary!$A:$AF,32,FALSE),"")</f>
        <v/>
      </c>
      <c r="C32" s="44">
        <f>IFERROR(VLOOKUP($C$1,Deal_Summary!$A:$AF,32,FALSE),"")</f>
        <v/>
      </c>
      <c r="D32" s="44">
        <f>IFERROR(B32-C32,"")</f>
        <v/>
      </c>
      <c r="E32" s="45" t="inlineStr"/>
    </row>
    <row r="33">
      <c r="A33" s="43" t="inlineStr">
        <is>
          <t>Composition: % 538 USDA</t>
        </is>
      </c>
      <c r="B33" s="44">
        <f>IFERROR(VLOOKUP($B$1,Deal_Summary!$A:$AG,33,FALSE),"")</f>
        <v/>
      </c>
      <c r="C33" s="44">
        <f>IFERROR(VLOOKUP($C$1,Deal_Summary!$A:$AG,33,FALSE),"")</f>
        <v/>
      </c>
      <c r="D33" s="44">
        <f>IFERROR(B33-C33,"")</f>
        <v/>
      </c>
      <c r="E33" s="45" t="inlineStr"/>
    </row>
    <row r="34">
      <c r="A34" s="43" t="inlineStr">
        <is>
          <t>Composition: % AFF or BAF</t>
        </is>
      </c>
      <c r="B34" s="44">
        <f>IFERROR(VLOOKUP($B$1,Deal_Summary!$A:$AH,34,FALSE),"")</f>
        <v/>
      </c>
      <c r="C34" s="44">
        <f>IFERROR(VLOOKUP($C$1,Deal_Summary!$A:$AH,34,FALSE),"")</f>
        <v/>
      </c>
      <c r="D34" s="44">
        <f>IFERROR(B34-C34,"")</f>
        <v/>
      </c>
      <c r="E34" s="4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6" customWidth="1" min="1" max="1"/>
    <col width="17" customWidth="1" min="2" max="2"/>
    <col width="13" customWidth="1" min="3" max="3"/>
    <col width="14" customWidth="1" min="4" max="4"/>
    <col width="12" customWidth="1" min="5" max="5"/>
    <col width="12" customWidth="1" min="6" max="6"/>
    <col width="12" customWidth="1" min="7" max="7"/>
  </cols>
  <sheetData>
    <row r="1">
      <c r="A1" s="46" t="inlineStr">
        <is>
          <t>Model validation summary</t>
        </is>
      </c>
    </row>
    <row r="2"/>
    <row r="3">
      <c r="A3" s="8" t="inlineStr">
        <is>
          <t>Train period</t>
        </is>
      </c>
      <c r="B3" t="inlineStr">
        <is>
          <t>201812 – 202406</t>
        </is>
      </c>
    </row>
    <row r="4">
      <c r="A4" s="8" t="inlineStr">
        <is>
          <t>Train observations</t>
        </is>
      </c>
      <c r="B4" t="n">
        <v>932014</v>
      </c>
    </row>
    <row r="5">
      <c r="A5" s="8" t="inlineStr">
        <is>
          <t>Train events (voluntary prepays)</t>
        </is>
      </c>
      <c r="B5" t="n">
        <v>8881</v>
      </c>
    </row>
    <row r="6">
      <c r="A6" s="8" t="inlineStr">
        <is>
          <t>Train AUC</t>
        </is>
      </c>
      <c r="B6" t="n">
        <v>0.7693</v>
      </c>
    </row>
    <row r="7">
      <c r="A7" s="8" t="inlineStr">
        <is>
          <t>Train predicted CPR (%)</t>
        </is>
      </c>
      <c r="B7" t="n">
        <v>10.84</v>
      </c>
    </row>
    <row r="8">
      <c r="A8" s="8" t="inlineStr">
        <is>
          <t>Train actual CPR (%)</t>
        </is>
      </c>
      <c r="B8" t="n">
        <v>10.85</v>
      </c>
    </row>
    <row r="9">
      <c r="A9" s="8" t="inlineStr"/>
      <c r="B9" t="inlineStr"/>
    </row>
    <row r="10">
      <c r="A10" s="8" t="inlineStr">
        <is>
          <t>Test period</t>
        </is>
      </c>
      <c r="B10" t="inlineStr">
        <is>
          <t>202407 – 202603</t>
        </is>
      </c>
    </row>
    <row r="11">
      <c r="A11" s="8" t="inlineStr">
        <is>
          <t>Test observations</t>
        </is>
      </c>
      <c r="B11" t="n">
        <v>308876</v>
      </c>
    </row>
    <row r="12">
      <c r="A12" s="8" t="inlineStr">
        <is>
          <t>Test events (voluntary prepays)</t>
        </is>
      </c>
      <c r="B12" t="n">
        <v>749</v>
      </c>
    </row>
    <row r="13">
      <c r="A13" s="8" t="inlineStr">
        <is>
          <t>Test AUC</t>
        </is>
      </c>
      <c r="B13" t="n">
        <v>0.586</v>
      </c>
    </row>
    <row r="14">
      <c r="A14" s="8" t="inlineStr">
        <is>
          <t>Test predicted CPR (%)</t>
        </is>
      </c>
      <c r="B14" t="n">
        <v>4.25</v>
      </c>
    </row>
    <row r="15">
      <c r="A15" s="8" t="inlineStr">
        <is>
          <t>Test actual CPR (%)</t>
        </is>
      </c>
      <c r="B15" t="n">
        <v>2.87</v>
      </c>
    </row>
    <row r="16"/>
    <row r="17"/>
    <row r="18">
      <c r="A18" s="47" t="inlineStr">
        <is>
          <t>Out-of-sample calibration by predicted decile</t>
        </is>
      </c>
    </row>
    <row r="19">
      <c r="A19" s="9" t="inlineStr">
        <is>
          <t>decile</t>
        </is>
      </c>
      <c r="B19" s="9" t="inlineStr">
        <is>
          <t>n</t>
        </is>
      </c>
      <c r="C19" s="9" t="inlineStr">
        <is>
          <t>upb_mn</t>
        </is>
      </c>
      <c r="D19" s="9" t="inlineStr">
        <is>
          <t>pred_smm</t>
        </is>
      </c>
      <c r="E19" s="9" t="inlineStr">
        <is>
          <t>actual_smm</t>
        </is>
      </c>
      <c r="F19" s="9" t="inlineStr">
        <is>
          <t>pred_cpr</t>
        </is>
      </c>
      <c r="G19" s="9" t="inlineStr">
        <is>
          <t>actual_cpr</t>
        </is>
      </c>
    </row>
    <row r="20">
      <c r="A20" t="n">
        <v>0</v>
      </c>
      <c r="B20" t="n">
        <v>30888</v>
      </c>
      <c r="C20" t="n">
        <v>84051.0533</v>
      </c>
      <c r="D20" t="n">
        <v>0.0005999999999999999</v>
      </c>
      <c r="E20" t="n">
        <v>0.0009</v>
      </c>
      <c r="F20" t="n">
        <v>0.7745</v>
      </c>
      <c r="G20" t="n">
        <v>1.0272</v>
      </c>
    </row>
    <row r="21">
      <c r="A21" t="n">
        <v>1</v>
      </c>
      <c r="B21" t="n">
        <v>30888</v>
      </c>
      <c r="C21" t="n">
        <v>145650.3198</v>
      </c>
      <c r="D21" t="n">
        <v>0.0011</v>
      </c>
      <c r="E21" t="n">
        <v>0.0008</v>
      </c>
      <c r="F21" t="n">
        <v>1.2953</v>
      </c>
      <c r="G21" t="n">
        <v>1.0063</v>
      </c>
    </row>
    <row r="22">
      <c r="A22" t="n">
        <v>2</v>
      </c>
      <c r="B22" t="n">
        <v>30887</v>
      </c>
      <c r="C22" t="n">
        <v>216051.8965</v>
      </c>
      <c r="D22" t="n">
        <v>0.0015</v>
      </c>
      <c r="E22" t="n">
        <v>0.0009</v>
      </c>
      <c r="F22" t="n">
        <v>1.7567</v>
      </c>
      <c r="G22" t="n">
        <v>1.0891</v>
      </c>
    </row>
    <row r="23">
      <c r="A23" t="n">
        <v>3</v>
      </c>
      <c r="B23" t="n">
        <v>30888</v>
      </c>
      <c r="C23" t="n">
        <v>259475.0408</v>
      </c>
      <c r="D23" t="n">
        <v>0.0019</v>
      </c>
      <c r="E23" t="n">
        <v>0.0009</v>
      </c>
      <c r="F23" t="n">
        <v>2.2616</v>
      </c>
      <c r="G23" t="n">
        <v>1.1191</v>
      </c>
    </row>
    <row r="24">
      <c r="A24" t="n">
        <v>4</v>
      </c>
      <c r="B24" t="n">
        <v>30887</v>
      </c>
      <c r="C24" t="n">
        <v>291383.0569</v>
      </c>
      <c r="D24" t="n">
        <v>0.0024</v>
      </c>
      <c r="E24" t="n">
        <v>0.0012</v>
      </c>
      <c r="F24" t="n">
        <v>2.8393</v>
      </c>
      <c r="G24" t="n">
        <v>1.4498</v>
      </c>
    </row>
    <row r="25">
      <c r="A25" t="n">
        <v>5</v>
      </c>
      <c r="B25" t="n">
        <v>30888</v>
      </c>
      <c r="C25" t="n">
        <v>353108.5297</v>
      </c>
      <c r="D25" t="n">
        <v>0.003</v>
      </c>
      <c r="E25" t="n">
        <v>0.0013</v>
      </c>
      <c r="F25" t="n">
        <v>3.4865</v>
      </c>
      <c r="G25" t="n">
        <v>1.5433</v>
      </c>
    </row>
    <row r="26">
      <c r="A26" t="n">
        <v>6</v>
      </c>
      <c r="B26" t="n">
        <v>30887</v>
      </c>
      <c r="C26" t="n">
        <v>414148.3755</v>
      </c>
      <c r="D26" t="n">
        <v>0.0036</v>
      </c>
      <c r="E26" t="n">
        <v>0.0018</v>
      </c>
      <c r="F26" t="n">
        <v>4.2442</v>
      </c>
      <c r="G26" t="n">
        <v>2.0887</v>
      </c>
    </row>
    <row r="27">
      <c r="A27" t="n">
        <v>7</v>
      </c>
      <c r="B27" t="n">
        <v>30888</v>
      </c>
      <c r="C27" t="n">
        <v>454247.2324</v>
      </c>
      <c r="D27" t="n">
        <v>0.0045</v>
      </c>
      <c r="E27" t="n">
        <v>0.0015</v>
      </c>
      <c r="F27" t="n">
        <v>5.3178</v>
      </c>
      <c r="G27" t="n">
        <v>1.7681</v>
      </c>
    </row>
    <row r="28">
      <c r="A28" t="n">
        <v>8</v>
      </c>
      <c r="B28" t="n">
        <v>30887</v>
      </c>
      <c r="C28" t="n">
        <v>470362.1077</v>
      </c>
      <c r="D28" t="n">
        <v>0.0061</v>
      </c>
      <c r="E28" t="n">
        <v>0.0013</v>
      </c>
      <c r="F28" t="n">
        <v>7.1027</v>
      </c>
      <c r="G28" t="n">
        <v>1.6049</v>
      </c>
    </row>
    <row r="29">
      <c r="A29" t="n">
        <v>9</v>
      </c>
      <c r="B29" t="n">
        <v>30888</v>
      </c>
      <c r="C29" t="n">
        <v>443978.091</v>
      </c>
      <c r="D29" t="n">
        <v>0.0115</v>
      </c>
      <c r="E29" t="n">
        <v>0.0023</v>
      </c>
      <c r="F29" t="n">
        <v>12.9664</v>
      </c>
      <c r="G29" t="n">
        <v>2.7004</v>
      </c>
    </row>
    <row r="30"/>
    <row r="31"/>
    <row r="32"/>
    <row r="33">
      <c r="A33" s="47" t="inlineStr">
        <is>
          <t>Out-of-sample CPR by segment</t>
        </is>
      </c>
    </row>
    <row r="34">
      <c r="A34" s="9" t="inlineStr">
        <is>
          <t>segment_field</t>
        </is>
      </c>
      <c r="B34" s="9" t="inlineStr">
        <is>
          <t>segment_value</t>
        </is>
      </c>
      <c r="C34" s="9" t="inlineStr">
        <is>
          <t>n</t>
        </is>
      </c>
      <c r="D34" s="9" t="inlineStr">
        <is>
          <t>upb_mn</t>
        </is>
      </c>
      <c r="E34" s="9" t="inlineStr">
        <is>
          <t>pred_cpr</t>
        </is>
      </c>
      <c r="F34" s="9" t="inlineStr">
        <is>
          <t>actual_cpr</t>
        </is>
      </c>
    </row>
    <row r="35">
      <c r="A35" t="inlineStr">
        <is>
          <t>loan_purpose</t>
        </is>
      </c>
      <c r="B35" t="inlineStr">
        <is>
          <t>538</t>
        </is>
      </c>
      <c r="C35" t="n">
        <v>24958</v>
      </c>
      <c r="D35" t="n">
        <v>37766.7644</v>
      </c>
      <c r="E35" t="n">
        <v>1.2831</v>
      </c>
      <c r="F35" t="n">
        <v>1.2174</v>
      </c>
    </row>
    <row r="36">
      <c r="A36" t="inlineStr">
        <is>
          <t>loan_purpose</t>
        </is>
      </c>
      <c r="B36" t="inlineStr">
        <is>
          <t>NC</t>
        </is>
      </c>
      <c r="C36" t="n">
        <v>42003</v>
      </c>
      <c r="D36" t="n">
        <v>660489.0558</v>
      </c>
      <c r="E36" t="n">
        <v>5.5929</v>
      </c>
      <c r="F36" t="n">
        <v>1.2316</v>
      </c>
    </row>
    <row r="37">
      <c r="A37" t="inlineStr">
        <is>
          <t>loan_purpose</t>
        </is>
      </c>
      <c r="B37" t="inlineStr">
        <is>
          <t>OTHER</t>
        </is>
      </c>
      <c r="C37" t="n">
        <v>3340</v>
      </c>
      <c r="D37" t="n">
        <v>36326.3687</v>
      </c>
      <c r="E37" t="n">
        <v>7.4987</v>
      </c>
      <c r="F37" t="n">
        <v>1.6318</v>
      </c>
    </row>
    <row r="38">
      <c r="A38" t="inlineStr">
        <is>
          <t>loan_purpose</t>
        </is>
      </c>
      <c r="B38" t="inlineStr">
        <is>
          <t>RP</t>
        </is>
      </c>
      <c r="C38" t="n">
        <v>238575</v>
      </c>
      <c r="D38" t="n">
        <v>2397873.5148</v>
      </c>
      <c r="E38" t="n">
        <v>5.3092</v>
      </c>
      <c r="F38" t="n">
        <v>1.8484</v>
      </c>
    </row>
    <row r="39">
      <c r="A39" t="inlineStr">
        <is>
          <t>fha_category</t>
        </is>
      </c>
      <c r="B39" t="inlineStr">
        <is>
          <t>220</t>
        </is>
      </c>
      <c r="C39" t="n">
        <v>608</v>
      </c>
      <c r="D39" t="n">
        <v>24464.1497</v>
      </c>
      <c r="E39" t="n">
        <v>4.1405</v>
      </c>
      <c r="F39" t="n">
        <v>0.3828</v>
      </c>
    </row>
    <row r="40">
      <c r="A40" t="inlineStr">
        <is>
          <t>fha_category</t>
        </is>
      </c>
      <c r="B40" t="inlineStr">
        <is>
          <t>221d4</t>
        </is>
      </c>
      <c r="C40" t="n">
        <v>53960</v>
      </c>
      <c r="D40" t="n">
        <v>755454.6131</v>
      </c>
      <c r="E40" t="n">
        <v>5.4552</v>
      </c>
      <c r="F40" t="n">
        <v>0.8627</v>
      </c>
    </row>
    <row r="41">
      <c r="A41" t="inlineStr">
        <is>
          <t>fha_category</t>
        </is>
      </c>
      <c r="B41" t="inlineStr">
        <is>
          <t>223a7</t>
        </is>
      </c>
      <c r="C41" t="n">
        <v>28624</v>
      </c>
      <c r="D41" t="n">
        <v>205450.2085</v>
      </c>
      <c r="E41" t="n">
        <v>4.1429</v>
      </c>
      <c r="F41" t="n">
        <v>1.3222</v>
      </c>
    </row>
    <row r="42">
      <c r="A42" t="inlineStr">
        <is>
          <t>fha_category</t>
        </is>
      </c>
      <c r="B42" t="inlineStr">
        <is>
          <t>223f</t>
        </is>
      </c>
      <c r="C42" t="n">
        <v>117313</v>
      </c>
      <c r="D42" t="n">
        <v>1300382.2464</v>
      </c>
      <c r="E42" t="n">
        <v>5.1457</v>
      </c>
      <c r="F42" t="n">
        <v>1.2834</v>
      </c>
    </row>
    <row r="43">
      <c r="A43" t="inlineStr">
        <is>
          <t>fha_category</t>
        </is>
      </c>
      <c r="B43" t="inlineStr">
        <is>
          <t>232</t>
        </is>
      </c>
      <c r="C43" t="n">
        <v>77961</v>
      </c>
      <c r="D43" t="n">
        <v>752531.681</v>
      </c>
      <c r="E43" t="n">
        <v>5.9012</v>
      </c>
      <c r="F43" t="n">
        <v>3.0671</v>
      </c>
    </row>
    <row r="44">
      <c r="A44" t="inlineStr">
        <is>
          <t>fha_category</t>
        </is>
      </c>
      <c r="B44" t="inlineStr">
        <is>
          <t>241</t>
        </is>
      </c>
      <c r="C44" t="n">
        <v>2112</v>
      </c>
      <c r="D44" t="n">
        <v>20079.6718</v>
      </c>
      <c r="E44" t="n">
        <v>10.6229</v>
      </c>
      <c r="F44" t="n">
        <v>15.304</v>
      </c>
    </row>
    <row r="45">
      <c r="A45" t="inlineStr">
        <is>
          <t>fha_category</t>
        </is>
      </c>
      <c r="B45" t="inlineStr">
        <is>
          <t>538</t>
        </is>
      </c>
      <c r="C45" t="n">
        <v>24958</v>
      </c>
      <c r="D45" t="n">
        <v>37766.7644</v>
      </c>
      <c r="E45" t="n">
        <v>1.2831</v>
      </c>
      <c r="F45" t="n">
        <v>1.2174</v>
      </c>
    </row>
    <row r="46">
      <c r="A46" t="inlineStr">
        <is>
          <t>fha_category</t>
        </is>
      </c>
      <c r="B46" t="inlineStr">
        <is>
          <t>OTHER</t>
        </is>
      </c>
      <c r="C46" t="n">
        <v>3340</v>
      </c>
      <c r="D46" t="n">
        <v>36326.3687</v>
      </c>
      <c r="E46" t="n">
        <v>7.4987</v>
      </c>
      <c r="F46" t="n">
        <v>1.6318</v>
      </c>
    </row>
    <row r="47">
      <c r="A47" t="inlineStr">
        <is>
          <t>affordable_status</t>
        </is>
      </c>
      <c r="B47" t="n">
        <v/>
      </c>
      <c r="C47" t="n">
        <v>33104</v>
      </c>
      <c r="D47" t="n">
        <v>181678.547</v>
      </c>
      <c r="E47" t="n">
        <v>5.7753</v>
      </c>
      <c r="F47" t="n">
        <v>2.683</v>
      </c>
    </row>
    <row r="48">
      <c r="A48" t="inlineStr">
        <is>
          <t>affordable_status</t>
        </is>
      </c>
      <c r="B48" t="inlineStr">
        <is>
          <t>AFF</t>
        </is>
      </c>
      <c r="C48" t="n">
        <v>12079</v>
      </c>
      <c r="D48" t="n">
        <v>167964.9981</v>
      </c>
      <c r="E48" t="n">
        <v>3.7469</v>
      </c>
      <c r="F48" t="n">
        <v>1.1431</v>
      </c>
    </row>
    <row r="49">
      <c r="A49" t="inlineStr">
        <is>
          <t>affordable_status</t>
        </is>
      </c>
      <c r="B49" t="inlineStr">
        <is>
          <t>BAF</t>
        </is>
      </c>
      <c r="C49" t="n">
        <v>49755</v>
      </c>
      <c r="D49" t="n">
        <v>558054.3554999999</v>
      </c>
      <c r="E49" t="n">
        <v>2.7647</v>
      </c>
      <c r="F49" t="n">
        <v>0.5044</v>
      </c>
    </row>
    <row r="50">
      <c r="A50" t="inlineStr">
        <is>
          <t>affordable_status</t>
        </is>
      </c>
      <c r="B50" t="inlineStr">
        <is>
          <t>MKT</t>
        </is>
      </c>
      <c r="C50" t="n">
        <v>213938</v>
      </c>
      <c r="D50" t="n">
        <v>2224757.8032</v>
      </c>
      <c r="E50" t="n">
        <v>6.0692</v>
      </c>
      <c r="F50" t="n">
        <v>1.9712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2026-05-20T13:25:19Z</dcterms:created>
  <dcterms:modified xsi:type="dcterms:W3CDTF">2026-05-20T13:25:23Z</dcterms:modified>
</cp:coreProperties>
</file>